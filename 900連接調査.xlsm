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r\source\repos\MesureKeyTrill\"/>
    </mc:Choice>
  </mc:AlternateContent>
  <xr:revisionPtr revIDLastSave="0" documentId="13_ncr:1_{D0D063B5-F094-47D2-9BEB-DB2CDB3DBDD5}" xr6:coauthVersionLast="47" xr6:coauthVersionMax="47" xr10:uidLastSave="{00000000-0000-0000-0000-000000000000}"/>
  <bookViews>
    <workbookView xWindow="-120" yWindow="-120" windowWidth="20730" windowHeight="11040" xr2:uid="{FF3339E8-8DAD-4E4A-ACFC-CC66EAA9A42E}"/>
  </bookViews>
  <sheets>
    <sheet name="入力" sheetId="11" r:id="rId1"/>
    <sheet name="順位一覧" sheetId="12" r:id="rId2"/>
    <sheet name="変換データ" sheetId="8" r:id="rId3"/>
    <sheet name="結果まとめ" sheetId="10" r:id="rId4"/>
  </sheets>
  <definedNames>
    <definedName name="ColKana">入力!$E$6:$AH$6</definedName>
    <definedName name="ColName">入力!$E$7:$AH$7</definedName>
    <definedName name="CountBlank">入力!$D$1</definedName>
    <definedName name="InputArea">入力!$E$8:$AH$37</definedName>
    <definedName name="_xlnm.Print_Area" localSheetId="1">順位一覧!$L$1:$Z$101</definedName>
    <definedName name="_xlnm.Print_Area" localSheetId="0">入力!$A$2:$AH$37</definedName>
    <definedName name="_xlnm.Print_Area" localSheetId="2">変換データ!$A$1:$BG$63</definedName>
    <definedName name="_xlnm.Print_Titles" localSheetId="1">順位一覧!$1:$1</definedName>
    <definedName name="RowKana">入力!$C$8:$C$37</definedName>
    <definedName name="RowName">入力!$D$8:$D$37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R1" i="12"/>
  <c r="Q1" i="12"/>
  <c r="P1" i="12"/>
  <c r="O1" i="12"/>
  <c r="U1" i="12"/>
  <c r="T1" i="12"/>
  <c r="W63" i="10"/>
  <c r="V63" i="10"/>
  <c r="U63" i="10"/>
  <c r="T63" i="10"/>
  <c r="S63" i="10"/>
  <c r="W61" i="10"/>
  <c r="V61" i="10"/>
  <c r="U61" i="10"/>
  <c r="T61" i="10"/>
  <c r="S61" i="10"/>
  <c r="W59" i="10"/>
  <c r="V59" i="10"/>
  <c r="U59" i="10"/>
  <c r="T59" i="10"/>
  <c r="Q63" i="10"/>
  <c r="P63" i="10"/>
  <c r="O63" i="10"/>
  <c r="N63" i="10"/>
  <c r="M63" i="10"/>
  <c r="Q61" i="10"/>
  <c r="P61" i="10"/>
  <c r="O61" i="10"/>
  <c r="N61" i="10"/>
  <c r="Q59" i="10"/>
  <c r="P59" i="10"/>
  <c r="O59" i="10"/>
  <c r="N59" i="10"/>
  <c r="M59" i="10"/>
  <c r="AJ63" i="10"/>
  <c r="AI63" i="10"/>
  <c r="AH63" i="10"/>
  <c r="AG63" i="10"/>
  <c r="AF63" i="10"/>
  <c r="AJ61" i="10"/>
  <c r="AI61" i="10"/>
  <c r="AH61" i="10"/>
  <c r="AG61" i="10"/>
  <c r="AF61" i="10"/>
  <c r="AJ59" i="10"/>
  <c r="AI59" i="10"/>
  <c r="AH59" i="10"/>
  <c r="AG59" i="10"/>
  <c r="AD63" i="10"/>
  <c r="AC63" i="10"/>
  <c r="AB63" i="10"/>
  <c r="AA63" i="10"/>
  <c r="Z63" i="10"/>
  <c r="AD61" i="10"/>
  <c r="AC61" i="10"/>
  <c r="AB61" i="10"/>
  <c r="AA61" i="10"/>
  <c r="AD59" i="10"/>
  <c r="AC59" i="10"/>
  <c r="AB59" i="10"/>
  <c r="AA59" i="10"/>
  <c r="Z59" i="10"/>
  <c r="K63" i="10"/>
  <c r="J63" i="10"/>
  <c r="I63" i="10"/>
  <c r="H63" i="10"/>
  <c r="G63" i="10"/>
  <c r="K61" i="10"/>
  <c r="J61" i="10"/>
  <c r="I61" i="10"/>
  <c r="H61" i="10"/>
  <c r="G61" i="10"/>
  <c r="K59" i="10"/>
  <c r="J59" i="10"/>
  <c r="I59" i="10"/>
  <c r="H59" i="10"/>
  <c r="G59" i="10"/>
  <c r="E63" i="10"/>
  <c r="D63" i="10"/>
  <c r="C63" i="10"/>
  <c r="B63" i="10"/>
  <c r="A63" i="10"/>
  <c r="E61" i="10"/>
  <c r="D61" i="10"/>
  <c r="C61" i="10"/>
  <c r="B61" i="10"/>
  <c r="A61" i="10"/>
  <c r="E59" i="10"/>
  <c r="D59" i="10"/>
  <c r="C59" i="10"/>
  <c r="B59" i="10"/>
  <c r="M61" i="10"/>
  <c r="AJ54" i="10"/>
  <c r="AI54" i="10"/>
  <c r="AH54" i="10"/>
  <c r="AG54" i="10"/>
  <c r="AF54" i="10"/>
  <c r="AJ52" i="10"/>
  <c r="AI52" i="10"/>
  <c r="AH52" i="10"/>
  <c r="AG52" i="10"/>
  <c r="AF52" i="10"/>
  <c r="AJ50" i="10"/>
  <c r="AI50" i="10"/>
  <c r="AH50" i="10"/>
  <c r="AG50" i="10"/>
  <c r="AF50" i="10"/>
  <c r="AD54" i="10"/>
  <c r="AC54" i="10"/>
  <c r="AB54" i="10"/>
  <c r="AA54" i="10"/>
  <c r="Z54" i="10"/>
  <c r="AD52" i="10"/>
  <c r="AC52" i="10"/>
  <c r="AB52" i="10"/>
  <c r="AA52" i="10"/>
  <c r="AD50" i="10"/>
  <c r="AC50" i="10"/>
  <c r="AB50" i="10"/>
  <c r="AA50" i="10"/>
  <c r="W54" i="10"/>
  <c r="V54" i="10"/>
  <c r="U54" i="10"/>
  <c r="T54" i="10"/>
  <c r="S54" i="10"/>
  <c r="W52" i="10"/>
  <c r="V52" i="10"/>
  <c r="U52" i="10"/>
  <c r="T52" i="10"/>
  <c r="S52" i="10"/>
  <c r="W50" i="10"/>
  <c r="V50" i="10"/>
  <c r="U50" i="10"/>
  <c r="T50" i="10"/>
  <c r="S50" i="10"/>
  <c r="Q54" i="10"/>
  <c r="P54" i="10"/>
  <c r="O54" i="10"/>
  <c r="N54" i="10"/>
  <c r="M54" i="10"/>
  <c r="Q52" i="10"/>
  <c r="P52" i="10"/>
  <c r="O52" i="10"/>
  <c r="N52" i="10"/>
  <c r="Q50" i="10"/>
  <c r="P50" i="10"/>
  <c r="O50" i="10"/>
  <c r="N50" i="10"/>
  <c r="M50" i="10"/>
  <c r="K54" i="10"/>
  <c r="J54" i="10"/>
  <c r="I54" i="10"/>
  <c r="H54" i="10"/>
  <c r="G54" i="10"/>
  <c r="K52" i="10"/>
  <c r="J52" i="10"/>
  <c r="I52" i="10"/>
  <c r="H52" i="10"/>
  <c r="G52" i="10"/>
  <c r="K50" i="10"/>
  <c r="J50" i="10"/>
  <c r="I50" i="10"/>
  <c r="H50" i="10"/>
  <c r="G50" i="10"/>
  <c r="E54" i="10"/>
  <c r="D54" i="10"/>
  <c r="C54" i="10"/>
  <c r="B54" i="10"/>
  <c r="A54" i="10"/>
  <c r="E52" i="10"/>
  <c r="D52" i="10"/>
  <c r="C52" i="10"/>
  <c r="B52" i="10"/>
  <c r="A52" i="10"/>
  <c r="E50" i="10"/>
  <c r="D50" i="10"/>
  <c r="C50" i="10"/>
  <c r="B50" i="10"/>
  <c r="AJ46" i="10"/>
  <c r="AI46" i="10"/>
  <c r="AH46" i="10"/>
  <c r="AG46" i="10"/>
  <c r="AF46" i="10"/>
  <c r="AJ44" i="10"/>
  <c r="AI44" i="10"/>
  <c r="AH44" i="10"/>
  <c r="AG44" i="10"/>
  <c r="AF44" i="10"/>
  <c r="AJ42" i="10"/>
  <c r="AI42" i="10"/>
  <c r="AH42" i="10"/>
  <c r="AG42" i="10"/>
  <c r="AD46" i="10"/>
  <c r="AC46" i="10"/>
  <c r="AB46" i="10"/>
  <c r="AA46" i="10"/>
  <c r="Z46" i="10"/>
  <c r="AD44" i="10"/>
  <c r="AC44" i="10"/>
  <c r="AB44" i="10"/>
  <c r="AA44" i="10"/>
  <c r="Z44" i="10"/>
  <c r="AD42" i="10"/>
  <c r="AC42" i="10"/>
  <c r="AB42" i="10"/>
  <c r="AA42" i="10"/>
  <c r="W46" i="10"/>
  <c r="V46" i="10"/>
  <c r="U46" i="10"/>
  <c r="T46" i="10"/>
  <c r="S46" i="10"/>
  <c r="W44" i="10"/>
  <c r="V44" i="10"/>
  <c r="U44" i="10"/>
  <c r="T44" i="10"/>
  <c r="S44" i="10"/>
  <c r="W42" i="10"/>
  <c r="V42" i="10"/>
  <c r="U42" i="10"/>
  <c r="T42" i="10"/>
  <c r="Q46" i="10"/>
  <c r="P46" i="10"/>
  <c r="O46" i="10"/>
  <c r="N46" i="10"/>
  <c r="M46" i="10"/>
  <c r="Q44" i="10"/>
  <c r="P44" i="10"/>
  <c r="O44" i="10"/>
  <c r="N44" i="10"/>
  <c r="M44" i="10"/>
  <c r="Q42" i="10"/>
  <c r="P42" i="10"/>
  <c r="O42" i="10"/>
  <c r="N42" i="10"/>
  <c r="M42" i="10"/>
  <c r="K46" i="10"/>
  <c r="J46" i="10"/>
  <c r="I46" i="10"/>
  <c r="H46" i="10"/>
  <c r="G46" i="10"/>
  <c r="K44" i="10"/>
  <c r="J44" i="10"/>
  <c r="I44" i="10"/>
  <c r="H44" i="10"/>
  <c r="G44" i="10"/>
  <c r="K42" i="10"/>
  <c r="J42" i="10"/>
  <c r="I42" i="10"/>
  <c r="H42" i="10"/>
  <c r="G42" i="10"/>
  <c r="E46" i="10"/>
  <c r="D46" i="10"/>
  <c r="C46" i="10"/>
  <c r="B46" i="10"/>
  <c r="A46" i="10"/>
  <c r="E44" i="10"/>
  <c r="D44" i="10"/>
  <c r="C44" i="10"/>
  <c r="B44" i="10"/>
  <c r="A44" i="10"/>
  <c r="E42" i="10"/>
  <c r="D42" i="10"/>
  <c r="C42" i="10"/>
  <c r="B42" i="10"/>
  <c r="BG57" i="8" a="1"/>
  <c r="BG57" i="8" s="1"/>
  <c r="BF57" i="8" a="1"/>
  <c r="BF57" i="8" s="1"/>
  <c r="BE57" i="8" a="1"/>
  <c r="BE57" i="8" s="1"/>
  <c r="BD57" i="8" a="1"/>
  <c r="BD57" i="8" s="1"/>
  <c r="BC57" i="8" a="1"/>
  <c r="BC57" i="8" s="1"/>
  <c r="BA57" i="8" a="1"/>
  <c r="BA57" i="8" s="1"/>
  <c r="AZ57" i="8" a="1"/>
  <c r="AZ57" i="8" s="1"/>
  <c r="AY57" i="8" a="1"/>
  <c r="AY57" i="8" s="1"/>
  <c r="AX57" i="8" a="1"/>
  <c r="AX57" i="8" s="1"/>
  <c r="AW57" i="8" a="1"/>
  <c r="AW57" i="8" s="1"/>
  <c r="AU57" i="8" a="1"/>
  <c r="AU57" i="8" s="1"/>
  <c r="AT57" i="8" a="1"/>
  <c r="AT57" i="8" s="1"/>
  <c r="AS57" i="8" a="1"/>
  <c r="AS57" i="8" s="1"/>
  <c r="AR57" i="8" a="1"/>
  <c r="AR57" i="8" s="1"/>
  <c r="AQ57" i="8" a="1"/>
  <c r="AQ57" i="8" s="1"/>
  <c r="AO57" i="8" a="1"/>
  <c r="AO57" i="8" s="1"/>
  <c r="AN57" i="8" a="1"/>
  <c r="AN57" i="8" s="1"/>
  <c r="AM57" i="8" a="1"/>
  <c r="AM57" i="8" s="1"/>
  <c r="AL57" i="8" a="1"/>
  <c r="AL57" i="8" s="1"/>
  <c r="AK57" i="8" a="1"/>
  <c r="AK57" i="8" s="1"/>
  <c r="AI57" i="8" a="1"/>
  <c r="AI57" i="8" s="1"/>
  <c r="AH57" i="8" a="1"/>
  <c r="AH57" i="8" s="1"/>
  <c r="AG57" i="8" a="1"/>
  <c r="AG57" i="8" s="1"/>
  <c r="AF57" i="8" a="1"/>
  <c r="AF57" i="8" s="1"/>
  <c r="AE57" i="8" a="1"/>
  <c r="AE57" i="8" s="1"/>
  <c r="BG56" i="8" a="1"/>
  <c r="BG56" i="8" s="1"/>
  <c r="BF56" i="8" a="1"/>
  <c r="BF56" i="8" s="1"/>
  <c r="BE56" i="8" a="1"/>
  <c r="BE56" i="8" s="1"/>
  <c r="BD56" i="8" a="1"/>
  <c r="BD56" i="8" s="1"/>
  <c r="BC56" i="8" a="1"/>
  <c r="BC56" i="8" s="1"/>
  <c r="BA56" i="8" a="1"/>
  <c r="BA56" i="8" s="1"/>
  <c r="AZ56" i="8" a="1"/>
  <c r="AZ56" i="8" s="1"/>
  <c r="AY56" i="8" a="1"/>
  <c r="AY56" i="8" s="1"/>
  <c r="AX56" i="8" a="1"/>
  <c r="AX56" i="8" s="1"/>
  <c r="AW56" i="8" a="1"/>
  <c r="AW56" i="8" s="1"/>
  <c r="AU56" i="8" a="1"/>
  <c r="AU56" i="8" s="1"/>
  <c r="AT56" i="8" a="1"/>
  <c r="AT56" i="8" s="1"/>
  <c r="AS56" i="8" a="1"/>
  <c r="AS56" i="8" s="1"/>
  <c r="AR56" i="8" a="1"/>
  <c r="AR56" i="8" s="1"/>
  <c r="AQ56" i="8" a="1"/>
  <c r="AQ56" i="8" s="1"/>
  <c r="AO56" i="8" a="1"/>
  <c r="AO56" i="8" s="1"/>
  <c r="AN56" i="8" a="1"/>
  <c r="AN56" i="8" s="1"/>
  <c r="AM56" i="8" a="1"/>
  <c r="AM56" i="8" s="1"/>
  <c r="AL56" i="8" a="1"/>
  <c r="AL56" i="8" s="1"/>
  <c r="AK56" i="8" a="1"/>
  <c r="AK56" i="8" s="1"/>
  <c r="AI56" i="8" a="1"/>
  <c r="AI56" i="8" s="1"/>
  <c r="AH56" i="8" a="1"/>
  <c r="AH56" i="8" s="1"/>
  <c r="AG56" i="8" a="1"/>
  <c r="AG56" i="8" s="1"/>
  <c r="AF56" i="8" a="1"/>
  <c r="AF56" i="8" s="1"/>
  <c r="AE56" i="8" a="1"/>
  <c r="AE56" i="8" s="1"/>
  <c r="BG55" i="8" a="1"/>
  <c r="BG55" i="8" s="1"/>
  <c r="BF55" i="8" a="1"/>
  <c r="BF55" i="8" s="1"/>
  <c r="BE55" i="8" a="1"/>
  <c r="BE55" i="8" s="1"/>
  <c r="BD55" i="8" a="1"/>
  <c r="BD55" i="8" s="1"/>
  <c r="BC55" i="8" a="1"/>
  <c r="BC55" i="8" s="1"/>
  <c r="BA55" i="8" a="1"/>
  <c r="BA55" i="8" s="1"/>
  <c r="AZ55" i="8" a="1"/>
  <c r="AZ55" i="8" s="1"/>
  <c r="AY55" i="8" a="1"/>
  <c r="AY55" i="8" s="1"/>
  <c r="AX55" i="8" a="1"/>
  <c r="AX55" i="8" s="1"/>
  <c r="AW55" i="8" a="1"/>
  <c r="AW55" i="8" s="1"/>
  <c r="AU55" i="8" a="1"/>
  <c r="AU55" i="8" s="1"/>
  <c r="AT55" i="8" a="1"/>
  <c r="AT55" i="8" s="1"/>
  <c r="AS55" i="8" a="1"/>
  <c r="AS55" i="8" s="1"/>
  <c r="AR55" i="8" a="1"/>
  <c r="AR55" i="8" s="1"/>
  <c r="AQ55" i="8" a="1"/>
  <c r="AQ55" i="8" s="1"/>
  <c r="AO55" i="8" a="1"/>
  <c r="AO55" i="8" s="1"/>
  <c r="AN55" i="8" a="1"/>
  <c r="AN55" i="8" s="1"/>
  <c r="AM55" i="8" a="1"/>
  <c r="AM55" i="8" s="1"/>
  <c r="AL55" i="8" a="1"/>
  <c r="AL55" i="8" s="1"/>
  <c r="AK55" i="8" a="1"/>
  <c r="AK55" i="8" s="1"/>
  <c r="AI55" i="8" a="1"/>
  <c r="AI55" i="8" s="1"/>
  <c r="AH55" i="8" a="1"/>
  <c r="AH55" i="8" s="1"/>
  <c r="AG55" i="8" a="1"/>
  <c r="AG55" i="8" s="1"/>
  <c r="AF55" i="8" a="1"/>
  <c r="AF55" i="8" s="1"/>
  <c r="AE55" i="8" a="1"/>
  <c r="AE55" i="8" s="1"/>
  <c r="BG53" i="8" a="1"/>
  <c r="BG53" i="8" s="1"/>
  <c r="BF53" i="8" a="1"/>
  <c r="BF53" i="8" s="1"/>
  <c r="BE53" i="8" a="1"/>
  <c r="BE53" i="8" s="1"/>
  <c r="BD53" i="8" a="1"/>
  <c r="BD53" i="8" s="1"/>
  <c r="BC53" i="8" a="1"/>
  <c r="BC53" i="8" s="1"/>
  <c r="BA53" i="8" a="1"/>
  <c r="BA53" i="8" s="1"/>
  <c r="AZ53" i="8" a="1"/>
  <c r="AZ53" i="8" s="1"/>
  <c r="AY53" i="8" a="1"/>
  <c r="AY53" i="8" s="1"/>
  <c r="AX53" i="8" a="1"/>
  <c r="AX53" i="8" s="1"/>
  <c r="AW53" i="8" a="1"/>
  <c r="AW53" i="8" s="1"/>
  <c r="AU53" i="8" a="1"/>
  <c r="AU53" i="8" s="1"/>
  <c r="AT53" i="8" a="1"/>
  <c r="AT53" i="8" s="1"/>
  <c r="AS53" i="8" a="1"/>
  <c r="AS53" i="8" s="1"/>
  <c r="AR53" i="8" a="1"/>
  <c r="AR53" i="8" s="1"/>
  <c r="AQ53" i="8" a="1"/>
  <c r="AQ53" i="8" s="1"/>
  <c r="AO53" i="8" a="1"/>
  <c r="AO53" i="8" s="1"/>
  <c r="AN53" i="8" a="1"/>
  <c r="AN53" i="8" s="1"/>
  <c r="AM53" i="8" a="1"/>
  <c r="AM53" i="8" s="1"/>
  <c r="AL53" i="8" a="1"/>
  <c r="AL53" i="8" s="1"/>
  <c r="AK53" i="8" a="1"/>
  <c r="AK53" i="8" s="1"/>
  <c r="AI53" i="8" a="1"/>
  <c r="AI53" i="8" s="1"/>
  <c r="AH53" i="8" a="1"/>
  <c r="AH53" i="8" s="1"/>
  <c r="AG53" i="8" a="1"/>
  <c r="AG53" i="8" s="1"/>
  <c r="AF53" i="8" a="1"/>
  <c r="AF53" i="8" s="1"/>
  <c r="AE53" i="8" a="1"/>
  <c r="AE53" i="8" s="1"/>
  <c r="BG52" i="8" a="1"/>
  <c r="BG52" i="8" s="1"/>
  <c r="BF52" i="8" a="1"/>
  <c r="BF52" i="8" s="1"/>
  <c r="BE52" i="8" a="1"/>
  <c r="BE52" i="8" s="1"/>
  <c r="BD52" i="8" a="1"/>
  <c r="BD52" i="8" s="1"/>
  <c r="BC52" i="8" a="1"/>
  <c r="BC52" i="8" s="1"/>
  <c r="BA52" i="8" a="1"/>
  <c r="BA52" i="8" s="1"/>
  <c r="AZ52" i="8" a="1"/>
  <c r="AZ52" i="8" s="1"/>
  <c r="AY52" i="8" a="1"/>
  <c r="AY52" i="8" s="1"/>
  <c r="AX52" i="8" a="1"/>
  <c r="AX52" i="8" s="1"/>
  <c r="AW52" i="8" a="1"/>
  <c r="AW52" i="8" s="1"/>
  <c r="AU52" i="8" a="1"/>
  <c r="AU52" i="8" s="1"/>
  <c r="AT52" i="8" a="1"/>
  <c r="AT52" i="8" s="1"/>
  <c r="AS52" i="8" a="1"/>
  <c r="AS52" i="8" s="1"/>
  <c r="AR52" i="8" a="1"/>
  <c r="AR52" i="8" s="1"/>
  <c r="AQ52" i="8" a="1"/>
  <c r="AQ52" i="8" s="1"/>
  <c r="AO52" i="8" a="1"/>
  <c r="AO52" i="8" s="1"/>
  <c r="AN52" i="8" a="1"/>
  <c r="AN52" i="8" s="1"/>
  <c r="AM52" i="8" a="1"/>
  <c r="AM52" i="8" s="1"/>
  <c r="AL52" i="8" a="1"/>
  <c r="AL52" i="8" s="1"/>
  <c r="AK52" i="8" a="1"/>
  <c r="AK52" i="8" s="1"/>
  <c r="AI52" i="8" a="1"/>
  <c r="AI52" i="8" s="1"/>
  <c r="AH52" i="8" a="1"/>
  <c r="AH52" i="8" s="1"/>
  <c r="AG52" i="8" a="1"/>
  <c r="AG52" i="8" s="1"/>
  <c r="AF52" i="8" a="1"/>
  <c r="AF52" i="8" s="1"/>
  <c r="AE52" i="8" a="1"/>
  <c r="AE52" i="8" s="1"/>
  <c r="BG51" i="8" a="1"/>
  <c r="BG51" i="8" s="1"/>
  <c r="BF51" i="8" a="1"/>
  <c r="BF51" i="8" s="1"/>
  <c r="BE51" i="8" a="1"/>
  <c r="BE51" i="8" s="1"/>
  <c r="BD51" i="8" a="1"/>
  <c r="BD51" i="8" s="1"/>
  <c r="BC51" i="8" a="1"/>
  <c r="BC51" i="8" s="1"/>
  <c r="BA51" i="8" a="1"/>
  <c r="BA51" i="8" s="1"/>
  <c r="AZ51" i="8" a="1"/>
  <c r="AZ51" i="8" s="1"/>
  <c r="AY51" i="8" a="1"/>
  <c r="AY51" i="8" s="1"/>
  <c r="AX51" i="8" a="1"/>
  <c r="AX51" i="8" s="1"/>
  <c r="AW51" i="8" a="1"/>
  <c r="AW51" i="8" s="1"/>
  <c r="AU51" i="8" a="1"/>
  <c r="AU51" i="8" s="1"/>
  <c r="AT51" i="8" a="1"/>
  <c r="AT51" i="8" s="1"/>
  <c r="AS51" i="8" a="1"/>
  <c r="AS51" i="8" s="1"/>
  <c r="AR51" i="8" a="1"/>
  <c r="AR51" i="8" s="1"/>
  <c r="AQ51" i="8" a="1"/>
  <c r="AQ51" i="8" s="1"/>
  <c r="AO51" i="8" a="1"/>
  <c r="AO51" i="8" s="1"/>
  <c r="AN51" i="8" a="1"/>
  <c r="AN51" i="8" s="1"/>
  <c r="AM51" i="8" a="1"/>
  <c r="AM51" i="8" s="1"/>
  <c r="AL51" i="8" a="1"/>
  <c r="AL51" i="8" s="1"/>
  <c r="AK51" i="8" a="1"/>
  <c r="AK51" i="8" s="1"/>
  <c r="AI51" i="8" a="1"/>
  <c r="AI51" i="8" s="1"/>
  <c r="AH51" i="8" a="1"/>
  <c r="AH51" i="8" s="1"/>
  <c r="AG51" i="8" a="1"/>
  <c r="AG51" i="8" s="1"/>
  <c r="AF51" i="8" a="1"/>
  <c r="AF51" i="8" s="1"/>
  <c r="AE51" i="8" a="1"/>
  <c r="AE51" i="8" s="1"/>
  <c r="BG49" i="8" a="1"/>
  <c r="BG49" i="8" s="1"/>
  <c r="BF49" i="8" a="1"/>
  <c r="BF49" i="8" s="1"/>
  <c r="BE49" i="8" a="1"/>
  <c r="BE49" i="8" s="1"/>
  <c r="BD49" i="8" a="1"/>
  <c r="BD49" i="8" s="1"/>
  <c r="BC49" i="8" a="1"/>
  <c r="BC49" i="8" s="1"/>
  <c r="BA49" i="8" a="1"/>
  <c r="BA49" i="8" s="1"/>
  <c r="AZ49" i="8" a="1"/>
  <c r="AZ49" i="8" s="1"/>
  <c r="AY49" i="8" a="1"/>
  <c r="AY49" i="8" s="1"/>
  <c r="AX49" i="8" a="1"/>
  <c r="AX49" i="8" s="1"/>
  <c r="AW49" i="8" a="1"/>
  <c r="AW49" i="8" s="1"/>
  <c r="BG48" i="8" a="1"/>
  <c r="BG48" i="8" s="1"/>
  <c r="BF48" i="8" a="1"/>
  <c r="BF48" i="8" s="1"/>
  <c r="BE48" i="8" a="1"/>
  <c r="BE48" i="8" s="1"/>
  <c r="BD48" i="8" a="1"/>
  <c r="BD48" i="8" s="1"/>
  <c r="BC48" i="8" a="1"/>
  <c r="BC48" i="8" s="1"/>
  <c r="BA48" i="8" a="1"/>
  <c r="BA48" i="8" s="1"/>
  <c r="AZ48" i="8" a="1"/>
  <c r="AZ48" i="8" s="1"/>
  <c r="AY48" i="8" a="1"/>
  <c r="AY48" i="8" s="1"/>
  <c r="AX48" i="8" a="1"/>
  <c r="AX48" i="8" s="1"/>
  <c r="AW48" i="8" a="1"/>
  <c r="AW48" i="8" s="1"/>
  <c r="BG47" i="8" a="1"/>
  <c r="BG47" i="8" s="1"/>
  <c r="BF47" i="8" a="1"/>
  <c r="BF47" i="8" s="1"/>
  <c r="BE47" i="8" a="1"/>
  <c r="BE47" i="8" s="1"/>
  <c r="BD47" i="8" a="1"/>
  <c r="BD47" i="8" s="1"/>
  <c r="BC47" i="8" a="1"/>
  <c r="BC47" i="8" s="1"/>
  <c r="BA47" i="8" a="1"/>
  <c r="BA47" i="8" s="1"/>
  <c r="AZ47" i="8" a="1"/>
  <c r="AZ47" i="8" s="1"/>
  <c r="AY47" i="8" a="1"/>
  <c r="AY47" i="8" s="1"/>
  <c r="AX47" i="8" a="1"/>
  <c r="AX47" i="8" s="1"/>
  <c r="AW47" i="8" a="1"/>
  <c r="AW47" i="8" s="1"/>
  <c r="AU49" i="8" a="1"/>
  <c r="AU49" i="8" s="1"/>
  <c r="AT49" i="8" a="1"/>
  <c r="AT49" i="8" s="1"/>
  <c r="AS49" i="8" a="1"/>
  <c r="AS49" i="8" s="1"/>
  <c r="AR49" i="8" a="1"/>
  <c r="AR49" i="8" s="1"/>
  <c r="AQ49" i="8" a="1"/>
  <c r="AQ49" i="8" s="1"/>
  <c r="AU48" i="8" a="1"/>
  <c r="AU48" i="8" s="1"/>
  <c r="AT48" i="8" a="1"/>
  <c r="AT48" i="8" s="1"/>
  <c r="AS48" i="8" a="1"/>
  <c r="AS48" i="8" s="1"/>
  <c r="AR48" i="8" a="1"/>
  <c r="AR48" i="8" s="1"/>
  <c r="AQ48" i="8" a="1"/>
  <c r="AQ48" i="8" s="1"/>
  <c r="AU47" i="8" a="1"/>
  <c r="AU47" i="8" s="1"/>
  <c r="AT47" i="8" a="1"/>
  <c r="AT47" i="8" s="1"/>
  <c r="AS47" i="8" a="1"/>
  <c r="AS47" i="8" s="1"/>
  <c r="AR47" i="8" a="1"/>
  <c r="AR47" i="8" s="1"/>
  <c r="AQ47" i="8" a="1"/>
  <c r="AQ47" i="8" s="1"/>
  <c r="AO49" i="8" a="1"/>
  <c r="AO49" i="8" s="1"/>
  <c r="AN49" i="8" a="1"/>
  <c r="AN49" i="8" s="1"/>
  <c r="AM49" i="8" a="1"/>
  <c r="AM49" i="8" s="1"/>
  <c r="AL49" i="8" a="1"/>
  <c r="AL49" i="8" s="1"/>
  <c r="AK49" i="8" a="1"/>
  <c r="AK49" i="8" s="1"/>
  <c r="AO48" i="8" a="1"/>
  <c r="AO48" i="8" s="1"/>
  <c r="AN48" i="8" a="1"/>
  <c r="AN48" i="8" s="1"/>
  <c r="AM48" i="8" a="1"/>
  <c r="AM48" i="8" s="1"/>
  <c r="AL48" i="8" a="1"/>
  <c r="AL48" i="8" s="1"/>
  <c r="AK48" i="8" a="1"/>
  <c r="AK48" i="8" s="1"/>
  <c r="AO47" i="8" a="1"/>
  <c r="AO47" i="8" s="1"/>
  <c r="AN47" i="8" a="1"/>
  <c r="AN47" i="8" s="1"/>
  <c r="AM47" i="8" a="1"/>
  <c r="AM47" i="8" s="1"/>
  <c r="AL47" i="8" a="1"/>
  <c r="AL47" i="8" s="1"/>
  <c r="AK47" i="8" a="1"/>
  <c r="AK47" i="8" s="1"/>
  <c r="AI49" i="8" a="1"/>
  <c r="AI49" i="8" s="1"/>
  <c r="AH49" i="8" a="1"/>
  <c r="AH49" i="8" s="1"/>
  <c r="AG49" i="8" a="1"/>
  <c r="AG49" i="8" s="1"/>
  <c r="AF49" i="8" a="1"/>
  <c r="AF49" i="8" s="1"/>
  <c r="AE49" i="8" a="1"/>
  <c r="AE49" i="8" s="1"/>
  <c r="AI48" i="8" a="1"/>
  <c r="AI48" i="8" s="1"/>
  <c r="AH48" i="8" a="1"/>
  <c r="AH48" i="8" s="1"/>
  <c r="AG48" i="8" a="1"/>
  <c r="AG48" i="8" s="1"/>
  <c r="AF48" i="8" a="1"/>
  <c r="AF48" i="8" s="1"/>
  <c r="AE48" i="8" a="1"/>
  <c r="AE48" i="8" s="1"/>
  <c r="AI47" i="8" a="1"/>
  <c r="AI47" i="8" s="1"/>
  <c r="AH47" i="8" a="1"/>
  <c r="AH47" i="8" s="1"/>
  <c r="AG47" i="8" a="1"/>
  <c r="AG47" i="8" s="1"/>
  <c r="AF47" i="8" a="1"/>
  <c r="AF47" i="8" s="1"/>
  <c r="AE47" i="8" a="1"/>
  <c r="AE47" i="8" s="1"/>
  <c r="AC57" i="8" a="1"/>
  <c r="AC57" i="8" s="1"/>
  <c r="AB57" i="8" a="1"/>
  <c r="AB57" i="8" s="1"/>
  <c r="AA57" i="8" a="1"/>
  <c r="AA57" i="8" s="1"/>
  <c r="Z57" i="8" a="1"/>
  <c r="Z57" i="8" s="1"/>
  <c r="Y57" i="8" a="1"/>
  <c r="Y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Q57" i="8" a="1"/>
  <c r="Q57" i="8" s="1"/>
  <c r="P57" i="8" a="1"/>
  <c r="P57" i="8" s="1"/>
  <c r="O57" i="8" a="1"/>
  <c r="O57" i="8" s="1"/>
  <c r="N57" i="8" a="1"/>
  <c r="N57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E57" i="8" a="1"/>
  <c r="E57" i="8" s="1"/>
  <c r="D57" i="8" a="1"/>
  <c r="D57" i="8" s="1"/>
  <c r="C57" i="8" a="1"/>
  <c r="C57" i="8" s="1"/>
  <c r="B57" i="8" a="1"/>
  <c r="B57" i="8" s="1"/>
  <c r="A57" i="8" a="1"/>
  <c r="A57" i="8" s="1"/>
  <c r="AC56" i="8" a="1"/>
  <c r="AC56" i="8" s="1"/>
  <c r="AB56" i="8" a="1"/>
  <c r="AB56" i="8" s="1"/>
  <c r="AA56" i="8" a="1"/>
  <c r="AA56" i="8" s="1"/>
  <c r="Z56" i="8" a="1"/>
  <c r="Z56" i="8" s="1"/>
  <c r="Y56" i="8" a="1"/>
  <c r="Y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Q56" i="8" a="1"/>
  <c r="Q56" i="8" s="1"/>
  <c r="P56" i="8" a="1"/>
  <c r="P56" i="8" s="1"/>
  <c r="O56" i="8" a="1"/>
  <c r="O56" i="8" s="1"/>
  <c r="N56" i="8" a="1"/>
  <c r="N56" i="8" s="1"/>
  <c r="M56" i="8" a="1"/>
  <c r="M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E56" i="8" a="1"/>
  <c r="E56" i="8" s="1"/>
  <c r="D56" i="8" a="1"/>
  <c r="D56" i="8" s="1"/>
  <c r="C56" i="8" a="1"/>
  <c r="C56" i="8" s="1"/>
  <c r="B56" i="8" a="1"/>
  <c r="B56" i="8" s="1"/>
  <c r="A56" i="8" a="1"/>
  <c r="A56" i="8" s="1"/>
  <c r="AC55" i="8" a="1"/>
  <c r="AC55" i="8" s="1"/>
  <c r="AB55" i="8" a="1"/>
  <c r="AB55" i="8" s="1"/>
  <c r="AA55" i="8" a="1"/>
  <c r="AA55" i="8" s="1"/>
  <c r="Z55" i="8" a="1"/>
  <c r="Z55" i="8" s="1"/>
  <c r="Y55" i="8" a="1"/>
  <c r="Y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Q55" i="8" a="1"/>
  <c r="Q55" i="8" s="1"/>
  <c r="P55" i="8" a="1"/>
  <c r="P55" i="8" s="1"/>
  <c r="O55" i="8" a="1"/>
  <c r="O55" i="8" s="1"/>
  <c r="N55" i="8" a="1"/>
  <c r="N55" i="8" s="1"/>
  <c r="M55" i="8" a="1"/>
  <c r="M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E55" i="8" a="1"/>
  <c r="E55" i="8" s="1"/>
  <c r="D55" i="8" a="1"/>
  <c r="D55" i="8" s="1"/>
  <c r="C55" i="8" a="1"/>
  <c r="C55" i="8" s="1"/>
  <c r="B55" i="8" a="1"/>
  <c r="B55" i="8" s="1"/>
  <c r="A55" i="8" a="1"/>
  <c r="A55" i="8" s="1"/>
  <c r="AC53" i="8" a="1"/>
  <c r="AC53" i="8" s="1"/>
  <c r="AB53" i="8" a="1"/>
  <c r="AB53" i="8" s="1"/>
  <c r="AA53" i="8" a="1"/>
  <c r="AA53" i="8" s="1"/>
  <c r="Z53" i="8" a="1"/>
  <c r="Z53" i="8" s="1"/>
  <c r="Y53" i="8" a="1"/>
  <c r="Y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Q53" i="8" a="1"/>
  <c r="Q53" i="8" s="1"/>
  <c r="P53" i="8" a="1"/>
  <c r="P53" i="8" s="1"/>
  <c r="O53" i="8" a="1"/>
  <c r="O53" i="8" s="1"/>
  <c r="N53" i="8" a="1"/>
  <c r="N53" i="8" s="1"/>
  <c r="M53" i="8" a="1"/>
  <c r="M53" i="8" s="1"/>
  <c r="K53" i="8" a="1"/>
  <c r="K53" i="8" s="1"/>
  <c r="J53" i="8" a="1"/>
  <c r="J53" i="8" s="1"/>
  <c r="I53" i="8" a="1"/>
  <c r="I53" i="8" s="1"/>
  <c r="H53" i="8" a="1"/>
  <c r="H53" i="8" s="1"/>
  <c r="G53" i="8" a="1"/>
  <c r="G53" i="8" s="1"/>
  <c r="E53" i="8" a="1"/>
  <c r="E53" i="8" s="1"/>
  <c r="D53" i="8" a="1"/>
  <c r="D53" i="8" s="1"/>
  <c r="C53" i="8" a="1"/>
  <c r="C53" i="8" s="1"/>
  <c r="B53" i="8" a="1"/>
  <c r="B53" i="8" s="1"/>
  <c r="A53" i="8" a="1"/>
  <c r="A53" i="8" s="1"/>
  <c r="AC52" i="8" a="1"/>
  <c r="AC52" i="8" s="1"/>
  <c r="AB52" i="8" a="1"/>
  <c r="AB52" i="8" s="1"/>
  <c r="AA52" i="8" a="1"/>
  <c r="AA52" i="8" s="1"/>
  <c r="Z52" i="8" a="1"/>
  <c r="Z52" i="8" s="1"/>
  <c r="Y52" i="8" a="1"/>
  <c r="Y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Q52" i="8" a="1"/>
  <c r="Q52" i="8" s="1"/>
  <c r="P52" i="8" a="1"/>
  <c r="P52" i="8" s="1"/>
  <c r="O52" i="8" a="1"/>
  <c r="O52" i="8" s="1"/>
  <c r="N52" i="8" a="1"/>
  <c r="N52" i="8" s="1"/>
  <c r="M52" i="8" a="1"/>
  <c r="M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E52" i="8" a="1"/>
  <c r="E52" i="8" s="1"/>
  <c r="D52" i="8" a="1"/>
  <c r="D52" i="8" s="1"/>
  <c r="C52" i="8" a="1"/>
  <c r="C52" i="8" s="1"/>
  <c r="B52" i="8" a="1"/>
  <c r="B52" i="8" s="1"/>
  <c r="A52" i="8" a="1"/>
  <c r="A52" i="8" s="1"/>
  <c r="AC51" i="8" a="1"/>
  <c r="AC51" i="8" s="1"/>
  <c r="AB51" i="8" a="1"/>
  <c r="AB51" i="8" s="1"/>
  <c r="AA51" i="8" a="1"/>
  <c r="AA51" i="8" s="1"/>
  <c r="Z51" i="8" a="1"/>
  <c r="Z51" i="8" s="1"/>
  <c r="Y51" i="8" a="1"/>
  <c r="Y51" i="8" s="1"/>
  <c r="W51" i="8" a="1"/>
  <c r="W51" i="8" s="1"/>
  <c r="V51" i="8" a="1"/>
  <c r="V51" i="8" s="1"/>
  <c r="U51" i="8" a="1"/>
  <c r="U51" i="8" s="1"/>
  <c r="T51" i="8" a="1"/>
  <c r="T51" i="8" s="1"/>
  <c r="S51" i="8" a="1"/>
  <c r="S51" i="8" s="1"/>
  <c r="Q51" i="8" a="1"/>
  <c r="Q51" i="8" s="1"/>
  <c r="P51" i="8" a="1"/>
  <c r="P51" i="8" s="1"/>
  <c r="O51" i="8" a="1"/>
  <c r="O51" i="8" s="1"/>
  <c r="N51" i="8" a="1"/>
  <c r="N51" i="8" s="1"/>
  <c r="M51" i="8" a="1"/>
  <c r="M51" i="8" s="1"/>
  <c r="K51" i="8" a="1"/>
  <c r="K51" i="8" s="1"/>
  <c r="J51" i="8" a="1"/>
  <c r="J51" i="8" s="1"/>
  <c r="I51" i="8" a="1"/>
  <c r="I51" i="8" s="1"/>
  <c r="H51" i="8" a="1"/>
  <c r="H51" i="8" s="1"/>
  <c r="G51" i="8" a="1"/>
  <c r="G51" i="8" s="1"/>
  <c r="E51" i="8" a="1"/>
  <c r="E51" i="8" s="1"/>
  <c r="D51" i="8" a="1"/>
  <c r="D51" i="8" s="1"/>
  <c r="C51" i="8" a="1"/>
  <c r="C51" i="8" s="1"/>
  <c r="B51" i="8" a="1"/>
  <c r="B51" i="8" s="1"/>
  <c r="A51" i="8" a="1"/>
  <c r="A51" i="8" s="1"/>
  <c r="AC49" i="8" a="1"/>
  <c r="AC49" i="8" s="1"/>
  <c r="AB49" i="8" a="1"/>
  <c r="AB49" i="8" s="1"/>
  <c r="AA49" i="8" a="1"/>
  <c r="AA49" i="8" s="1"/>
  <c r="Z49" i="8" a="1"/>
  <c r="Z49" i="8" s="1"/>
  <c r="Y49" i="8" a="1"/>
  <c r="Y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C48" i="8" a="1"/>
  <c r="AC48" i="8" s="1"/>
  <c r="AB48" i="8" a="1"/>
  <c r="AB48" i="8" s="1"/>
  <c r="AA48" i="8" a="1"/>
  <c r="AA48" i="8" s="1"/>
  <c r="Z48" i="8" a="1"/>
  <c r="Z48" i="8" s="1"/>
  <c r="Y48" i="8" a="1"/>
  <c r="Y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AC47" i="8" a="1"/>
  <c r="AC47" i="8" s="1"/>
  <c r="AB47" i="8" a="1"/>
  <c r="AB47" i="8" s="1"/>
  <c r="AA47" i="8" a="1"/>
  <c r="AA47" i="8" s="1"/>
  <c r="Z47" i="8" a="1"/>
  <c r="Z47" i="8" s="1"/>
  <c r="Y47" i="8" a="1"/>
  <c r="Y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Q49" i="8" a="1"/>
  <c r="Q49" i="8" s="1"/>
  <c r="P49" i="8" a="1"/>
  <c r="P49" i="8" s="1"/>
  <c r="O49" i="8" a="1"/>
  <c r="O49" i="8" s="1"/>
  <c r="N49" i="8" a="1"/>
  <c r="N49" i="8" s="1"/>
  <c r="M49" i="8" a="1"/>
  <c r="M49" i="8" s="1"/>
  <c r="Q48" i="8" a="1"/>
  <c r="Q48" i="8" s="1"/>
  <c r="P48" i="8" a="1"/>
  <c r="P48" i="8" s="1"/>
  <c r="O48" i="8" a="1"/>
  <c r="O48" i="8" s="1"/>
  <c r="N48" i="8" a="1"/>
  <c r="N48" i="8" s="1"/>
  <c r="M48" i="8" a="1"/>
  <c r="M48" i="8" s="1"/>
  <c r="Q47" i="8" a="1"/>
  <c r="Q47" i="8" s="1"/>
  <c r="P47" i="8" a="1"/>
  <c r="P47" i="8" s="1"/>
  <c r="O47" i="8" a="1"/>
  <c r="O47" i="8" s="1"/>
  <c r="N47" i="8" a="1"/>
  <c r="N47" i="8" s="1"/>
  <c r="M47" i="8" a="1"/>
  <c r="M47" i="8" s="1"/>
  <c r="K49" i="8" a="1"/>
  <c r="K49" i="8" s="1"/>
  <c r="J49" i="8" a="1"/>
  <c r="J49" i="8" s="1"/>
  <c r="I49" i="8" a="1"/>
  <c r="I49" i="8" s="1"/>
  <c r="H49" i="8" a="1"/>
  <c r="H49" i="8" s="1"/>
  <c r="G49" i="8" a="1"/>
  <c r="G49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E49" i="8" a="1"/>
  <c r="E49" i="8" s="1"/>
  <c r="D49" i="8" a="1"/>
  <c r="D49" i="8" s="1"/>
  <c r="C49" i="8" a="1"/>
  <c r="C49" i="8" s="1"/>
  <c r="B49" i="8" a="1"/>
  <c r="B49" i="8" s="1"/>
  <c r="A49" i="8" a="1"/>
  <c r="A49" i="8" s="1"/>
  <c r="E48" i="8" a="1"/>
  <c r="E48" i="8" s="1"/>
  <c r="D48" i="8" a="1"/>
  <c r="D48" i="8" s="1"/>
  <c r="C48" i="8" a="1"/>
  <c r="C48" i="8" s="1"/>
  <c r="B48" i="8" a="1"/>
  <c r="B48" i="8" s="1"/>
  <c r="A48" i="8" a="1"/>
  <c r="A48" i="8" s="1"/>
  <c r="E47" i="8" a="1"/>
  <c r="E47" i="8" s="1"/>
  <c r="D47" i="8" a="1"/>
  <c r="D47" i="8" s="1"/>
  <c r="C47" i="8" a="1"/>
  <c r="C47" i="8" s="1"/>
  <c r="B47" i="8" a="1"/>
  <c r="B47" i="8" s="1"/>
  <c r="A47" i="8" a="1"/>
  <c r="A47" i="8" s="1"/>
  <c r="BG43" i="8" a="1"/>
  <c r="BG43" i="8" s="1"/>
  <c r="BF43" i="8" a="1"/>
  <c r="BF43" i="8" s="1"/>
  <c r="BE43" i="8" a="1"/>
  <c r="BE43" i="8" s="1"/>
  <c r="BD43" i="8" a="1"/>
  <c r="BD43" i="8" s="1"/>
  <c r="BC43" i="8" a="1"/>
  <c r="BC43" i="8" s="1"/>
  <c r="BA43" i="8" a="1"/>
  <c r="BA43" i="8" s="1"/>
  <c r="AZ43" i="8" a="1"/>
  <c r="AZ43" i="8" s="1"/>
  <c r="AY43" i="8" a="1"/>
  <c r="AY43" i="8" s="1"/>
  <c r="AX43" i="8" a="1"/>
  <c r="AX43" i="8" s="1"/>
  <c r="AW43" i="8" a="1"/>
  <c r="AW43" i="8" s="1"/>
  <c r="AU43" i="8" a="1"/>
  <c r="AU43" i="8" s="1"/>
  <c r="AT43" i="8" a="1"/>
  <c r="AT43" i="8" s="1"/>
  <c r="AS43" i="8" a="1"/>
  <c r="AS43" i="8" s="1"/>
  <c r="AR43" i="8" a="1"/>
  <c r="AR43" i="8" s="1"/>
  <c r="AQ43" i="8" a="1"/>
  <c r="AQ43" i="8" s="1"/>
  <c r="AO43" i="8" a="1"/>
  <c r="AO43" i="8" s="1"/>
  <c r="AN43" i="8" a="1"/>
  <c r="AN43" i="8" s="1"/>
  <c r="AM43" i="8" a="1"/>
  <c r="AM43" i="8" s="1"/>
  <c r="AL43" i="8" a="1"/>
  <c r="AL43" i="8" s="1"/>
  <c r="AK43" i="8" a="1"/>
  <c r="AK43" i="8" s="1"/>
  <c r="AI43" i="8" a="1"/>
  <c r="AI43" i="8" s="1"/>
  <c r="AH43" i="8" a="1"/>
  <c r="AH43" i="8" s="1"/>
  <c r="AG43" i="8" a="1"/>
  <c r="AG43" i="8" s="1"/>
  <c r="AF43" i="8" a="1"/>
  <c r="AF43" i="8" s="1"/>
  <c r="AE43" i="8" a="1"/>
  <c r="AE43" i="8" s="1"/>
  <c r="BG42" i="8" a="1"/>
  <c r="BG42" i="8" s="1"/>
  <c r="BF42" i="8" a="1"/>
  <c r="BF42" i="8" s="1"/>
  <c r="BE42" i="8" a="1"/>
  <c r="BE42" i="8" s="1"/>
  <c r="BD42" i="8" a="1"/>
  <c r="BD42" i="8" s="1"/>
  <c r="BC42" i="8" a="1"/>
  <c r="BC42" i="8" s="1"/>
  <c r="BA42" i="8" a="1"/>
  <c r="BA42" i="8" s="1"/>
  <c r="AZ42" i="8" a="1"/>
  <c r="AZ42" i="8" s="1"/>
  <c r="AY42" i="8" a="1"/>
  <c r="AY42" i="8" s="1"/>
  <c r="AX42" i="8" a="1"/>
  <c r="AX42" i="8" s="1"/>
  <c r="AW42" i="8" a="1"/>
  <c r="AW42" i="8" s="1"/>
  <c r="AU42" i="8" a="1"/>
  <c r="AU42" i="8" s="1"/>
  <c r="AT42" i="8" a="1"/>
  <c r="AT42" i="8" s="1"/>
  <c r="AS42" i="8" a="1"/>
  <c r="AS42" i="8" s="1"/>
  <c r="AR42" i="8" a="1"/>
  <c r="AR42" i="8" s="1"/>
  <c r="AQ42" i="8" a="1"/>
  <c r="AQ42" i="8" s="1"/>
  <c r="AO42" i="8" a="1"/>
  <c r="AO42" i="8" s="1"/>
  <c r="AN42" i="8" a="1"/>
  <c r="AN42" i="8" s="1"/>
  <c r="AM42" i="8" a="1"/>
  <c r="AM42" i="8" s="1"/>
  <c r="AL42" i="8" a="1"/>
  <c r="AL42" i="8" s="1"/>
  <c r="AK42" i="8" a="1"/>
  <c r="AK42" i="8" s="1"/>
  <c r="AI42" i="8" a="1"/>
  <c r="AI42" i="8" s="1"/>
  <c r="AH42" i="8" a="1"/>
  <c r="AH42" i="8" s="1"/>
  <c r="AG42" i="8" a="1"/>
  <c r="AG42" i="8" s="1"/>
  <c r="AF42" i="8" a="1"/>
  <c r="AF42" i="8" s="1"/>
  <c r="AE42" i="8" a="1"/>
  <c r="AE42" i="8" s="1"/>
  <c r="BG41" i="8" a="1"/>
  <c r="BG41" i="8" s="1"/>
  <c r="BF41" i="8" a="1"/>
  <c r="BF41" i="8" s="1"/>
  <c r="BE41" i="8" a="1"/>
  <c r="BE41" i="8" s="1"/>
  <c r="BD41" i="8" a="1"/>
  <c r="BD41" i="8" s="1"/>
  <c r="BC41" i="8" a="1"/>
  <c r="BC41" i="8" s="1"/>
  <c r="BA41" i="8" a="1"/>
  <c r="BA41" i="8" s="1"/>
  <c r="AZ41" i="8" a="1"/>
  <c r="AZ41" i="8" s="1"/>
  <c r="AY41" i="8" a="1"/>
  <c r="AY41" i="8" s="1"/>
  <c r="AX41" i="8" a="1"/>
  <c r="AX41" i="8" s="1"/>
  <c r="AW41" i="8" a="1"/>
  <c r="AW41" i="8" s="1"/>
  <c r="AU41" i="8" a="1"/>
  <c r="AU41" i="8" s="1"/>
  <c r="AT41" i="8" a="1"/>
  <c r="AT41" i="8" s="1"/>
  <c r="AS41" i="8" a="1"/>
  <c r="AS41" i="8" s="1"/>
  <c r="AR41" i="8" a="1"/>
  <c r="AR41" i="8" s="1"/>
  <c r="AQ41" i="8" a="1"/>
  <c r="AQ41" i="8" s="1"/>
  <c r="AO41" i="8" a="1"/>
  <c r="AO41" i="8" s="1"/>
  <c r="AN41" i="8" a="1"/>
  <c r="AN41" i="8" s="1"/>
  <c r="AM41" i="8" a="1"/>
  <c r="AM41" i="8" s="1"/>
  <c r="AL41" i="8" a="1"/>
  <c r="AL41" i="8" s="1"/>
  <c r="AK41" i="8" a="1"/>
  <c r="AK41" i="8" s="1"/>
  <c r="AI41" i="8" a="1"/>
  <c r="AI41" i="8" s="1"/>
  <c r="AH41" i="8" a="1"/>
  <c r="AH41" i="8" s="1"/>
  <c r="AG41" i="8" a="1"/>
  <c r="AG41" i="8" s="1"/>
  <c r="AF41" i="8" a="1"/>
  <c r="AF41" i="8" s="1"/>
  <c r="AE41" i="8" a="1"/>
  <c r="AE41" i="8" s="1"/>
  <c r="BG39" i="8" a="1"/>
  <c r="BG39" i="8" s="1"/>
  <c r="BF39" i="8" a="1"/>
  <c r="BF39" i="8" s="1"/>
  <c r="BE39" i="8" a="1"/>
  <c r="BE39" i="8" s="1"/>
  <c r="BD39" i="8" a="1"/>
  <c r="BD39" i="8" s="1"/>
  <c r="BC39" i="8" a="1"/>
  <c r="BC39" i="8" s="1"/>
  <c r="BA39" i="8" a="1"/>
  <c r="BA39" i="8" s="1"/>
  <c r="AZ39" i="8" a="1"/>
  <c r="AZ39" i="8" s="1"/>
  <c r="AY39" i="8" a="1"/>
  <c r="AY39" i="8" s="1"/>
  <c r="AX39" i="8" a="1"/>
  <c r="AX39" i="8" s="1"/>
  <c r="AW39" i="8" a="1"/>
  <c r="AW39" i="8" s="1"/>
  <c r="AU39" i="8" a="1"/>
  <c r="AU39" i="8" s="1"/>
  <c r="AT39" i="8" a="1"/>
  <c r="AT39" i="8" s="1"/>
  <c r="AS39" i="8" a="1"/>
  <c r="AS39" i="8" s="1"/>
  <c r="AR39" i="8" a="1"/>
  <c r="AR39" i="8" s="1"/>
  <c r="AQ39" i="8" a="1"/>
  <c r="AQ39" i="8" s="1"/>
  <c r="AO39" i="8" a="1"/>
  <c r="AO39" i="8" s="1"/>
  <c r="AN39" i="8" a="1"/>
  <c r="AN39" i="8" s="1"/>
  <c r="AM39" i="8" a="1"/>
  <c r="AM39" i="8" s="1"/>
  <c r="AL39" i="8" a="1"/>
  <c r="AL39" i="8" s="1"/>
  <c r="AK39" i="8" a="1"/>
  <c r="AK39" i="8" s="1"/>
  <c r="AI39" i="8" a="1"/>
  <c r="AI39" i="8" s="1"/>
  <c r="AH39" i="8" a="1"/>
  <c r="AH39" i="8" s="1"/>
  <c r="AG39" i="8" a="1"/>
  <c r="AG39" i="8" s="1"/>
  <c r="AF39" i="8" a="1"/>
  <c r="AF39" i="8" s="1"/>
  <c r="AE39" i="8" a="1"/>
  <c r="AE39" i="8" s="1"/>
  <c r="BG38" i="8" a="1"/>
  <c r="BG38" i="8" s="1"/>
  <c r="BF38" i="8" a="1"/>
  <c r="BF38" i="8" s="1"/>
  <c r="BE38" i="8" a="1"/>
  <c r="BE38" i="8" s="1"/>
  <c r="BD38" i="8" a="1"/>
  <c r="BD38" i="8" s="1"/>
  <c r="BC38" i="8" a="1"/>
  <c r="BC38" i="8" s="1"/>
  <c r="BA38" i="8" a="1"/>
  <c r="BA38" i="8" s="1"/>
  <c r="AZ38" i="8" a="1"/>
  <c r="AZ38" i="8" s="1"/>
  <c r="AY38" i="8" a="1"/>
  <c r="AY38" i="8" s="1"/>
  <c r="AX38" i="8" a="1"/>
  <c r="AX38" i="8" s="1"/>
  <c r="AW38" i="8" a="1"/>
  <c r="AW38" i="8" s="1"/>
  <c r="AU38" i="8" a="1"/>
  <c r="AU38" i="8" s="1"/>
  <c r="AT38" i="8" a="1"/>
  <c r="AT38" i="8" s="1"/>
  <c r="AS38" i="8" a="1"/>
  <c r="AS38" i="8" s="1"/>
  <c r="AR38" i="8" a="1"/>
  <c r="AR38" i="8" s="1"/>
  <c r="AQ38" i="8" a="1"/>
  <c r="AQ38" i="8" s="1"/>
  <c r="AO38" i="8" a="1"/>
  <c r="AO38" i="8" s="1"/>
  <c r="AN38" i="8" a="1"/>
  <c r="AN38" i="8" s="1"/>
  <c r="AM38" i="8" a="1"/>
  <c r="AM38" i="8" s="1"/>
  <c r="AL38" i="8" a="1"/>
  <c r="AL38" i="8" s="1"/>
  <c r="AK38" i="8" a="1"/>
  <c r="AK38" i="8" s="1"/>
  <c r="AI38" i="8" a="1"/>
  <c r="AI38" i="8" s="1"/>
  <c r="AH38" i="8" a="1"/>
  <c r="AH38" i="8" s="1"/>
  <c r="AG38" i="8" a="1"/>
  <c r="AG38" i="8" s="1"/>
  <c r="AF38" i="8" a="1"/>
  <c r="AF38" i="8" s="1"/>
  <c r="AE38" i="8" a="1"/>
  <c r="AE38" i="8" s="1"/>
  <c r="BG37" i="8" a="1"/>
  <c r="BG37" i="8" s="1"/>
  <c r="BF37" i="8" a="1"/>
  <c r="BF37" i="8" s="1"/>
  <c r="BE37" i="8" a="1"/>
  <c r="BE37" i="8" s="1"/>
  <c r="BD37" i="8" a="1"/>
  <c r="BD37" i="8" s="1"/>
  <c r="BC37" i="8" a="1"/>
  <c r="BC37" i="8" s="1"/>
  <c r="BA37" i="8" a="1"/>
  <c r="BA37" i="8" s="1"/>
  <c r="AZ37" i="8" a="1"/>
  <c r="AZ37" i="8" s="1"/>
  <c r="AY37" i="8" a="1"/>
  <c r="AY37" i="8" s="1"/>
  <c r="AX37" i="8" a="1"/>
  <c r="AX37" i="8" s="1"/>
  <c r="AW37" i="8" a="1"/>
  <c r="AW37" i="8" s="1"/>
  <c r="AU37" i="8" a="1"/>
  <c r="AU37" i="8" s="1"/>
  <c r="AT37" i="8" a="1"/>
  <c r="AT37" i="8" s="1"/>
  <c r="AS37" i="8" a="1"/>
  <c r="AS37" i="8" s="1"/>
  <c r="AR37" i="8" a="1"/>
  <c r="AR37" i="8" s="1"/>
  <c r="AQ37" i="8" a="1"/>
  <c r="AQ37" i="8" s="1"/>
  <c r="AO37" i="8" a="1"/>
  <c r="AO37" i="8" s="1"/>
  <c r="AN37" i="8" a="1"/>
  <c r="AN37" i="8" s="1"/>
  <c r="AM37" i="8" a="1"/>
  <c r="AM37" i="8" s="1"/>
  <c r="AL37" i="8" a="1"/>
  <c r="AL37" i="8" s="1"/>
  <c r="AK37" i="8" a="1"/>
  <c r="AK37" i="8" s="1"/>
  <c r="AI37" i="8" a="1"/>
  <c r="AI37" i="8" s="1"/>
  <c r="AH37" i="8" a="1"/>
  <c r="AH37" i="8" s="1"/>
  <c r="AG37" i="8" a="1"/>
  <c r="AG37" i="8" s="1"/>
  <c r="AF37" i="8" a="1"/>
  <c r="AF37" i="8" s="1"/>
  <c r="AE37" i="8" a="1"/>
  <c r="AE37" i="8" s="1"/>
  <c r="BG35" i="8" a="1"/>
  <c r="BG35" i="8" s="1"/>
  <c r="BF35" i="8" a="1"/>
  <c r="BF35" i="8" s="1"/>
  <c r="BE35" i="8" a="1"/>
  <c r="BE35" i="8" s="1"/>
  <c r="BD35" i="8" a="1"/>
  <c r="BD35" i="8" s="1"/>
  <c r="BC35" i="8" a="1"/>
  <c r="BC35" i="8" s="1"/>
  <c r="BA35" i="8" a="1"/>
  <c r="BA35" i="8" s="1"/>
  <c r="AZ35" i="8" a="1"/>
  <c r="AZ35" i="8" s="1"/>
  <c r="AY35" i="8" a="1"/>
  <c r="AY35" i="8" s="1"/>
  <c r="AX35" i="8" a="1"/>
  <c r="AX35" i="8" s="1"/>
  <c r="AW35" i="8" a="1"/>
  <c r="AW35" i="8" s="1"/>
  <c r="BG34" i="8" a="1"/>
  <c r="BG34" i="8" s="1"/>
  <c r="BF34" i="8" a="1"/>
  <c r="BF34" i="8" s="1"/>
  <c r="BE34" i="8" a="1"/>
  <c r="BE34" i="8" s="1"/>
  <c r="BD34" i="8" a="1"/>
  <c r="BD34" i="8" s="1"/>
  <c r="BC34" i="8" a="1"/>
  <c r="BC34" i="8" s="1"/>
  <c r="BA34" i="8" a="1"/>
  <c r="BA34" i="8" s="1"/>
  <c r="AZ34" i="8" a="1"/>
  <c r="AZ34" i="8" s="1"/>
  <c r="AY34" i="8" a="1"/>
  <c r="AY34" i="8" s="1"/>
  <c r="AX34" i="8" a="1"/>
  <c r="AX34" i="8" s="1"/>
  <c r="AW34" i="8" a="1"/>
  <c r="AW34" i="8" s="1"/>
  <c r="BG33" i="8" a="1"/>
  <c r="BG33" i="8" s="1"/>
  <c r="BF33" i="8" a="1"/>
  <c r="BF33" i="8" s="1"/>
  <c r="BE33" i="8" a="1"/>
  <c r="BE33" i="8" s="1"/>
  <c r="BD33" i="8" a="1"/>
  <c r="BD33" i="8" s="1"/>
  <c r="BC33" i="8" a="1"/>
  <c r="BC33" i="8" s="1"/>
  <c r="BA33" i="8" a="1"/>
  <c r="BA33" i="8" s="1"/>
  <c r="AZ33" i="8" a="1"/>
  <c r="AZ33" i="8" s="1"/>
  <c r="AY33" i="8" a="1"/>
  <c r="AY33" i="8" s="1"/>
  <c r="AX33" i="8" a="1"/>
  <c r="AX33" i="8" s="1"/>
  <c r="AW33" i="8" a="1"/>
  <c r="AW33" i="8" s="1"/>
  <c r="AU35" i="8" a="1"/>
  <c r="AU35" i="8" s="1"/>
  <c r="AT35" i="8" a="1"/>
  <c r="AT35" i="8" s="1"/>
  <c r="AS35" i="8" a="1"/>
  <c r="AS35" i="8" s="1"/>
  <c r="AR35" i="8" a="1"/>
  <c r="AR35" i="8" s="1"/>
  <c r="AQ35" i="8" a="1"/>
  <c r="AQ35" i="8" s="1"/>
  <c r="AU34" i="8" a="1"/>
  <c r="AU34" i="8" s="1"/>
  <c r="AT34" i="8" a="1"/>
  <c r="AT34" i="8" s="1"/>
  <c r="AS34" i="8" a="1"/>
  <c r="AS34" i="8" s="1"/>
  <c r="AR34" i="8" a="1"/>
  <c r="AR34" i="8" s="1"/>
  <c r="AQ34" i="8" a="1"/>
  <c r="AQ34" i="8" s="1"/>
  <c r="AU33" i="8" a="1"/>
  <c r="AU33" i="8" s="1"/>
  <c r="AT33" i="8" a="1"/>
  <c r="AT33" i="8" s="1"/>
  <c r="AS33" i="8" a="1"/>
  <c r="AS33" i="8" s="1"/>
  <c r="AR33" i="8" a="1"/>
  <c r="AR33" i="8" s="1"/>
  <c r="AQ33" i="8" a="1"/>
  <c r="AQ33" i="8" s="1"/>
  <c r="AO35" i="8" a="1"/>
  <c r="AO35" i="8" s="1"/>
  <c r="AN35" i="8" a="1"/>
  <c r="AN35" i="8" s="1"/>
  <c r="AM35" i="8" a="1"/>
  <c r="AM35" i="8" s="1"/>
  <c r="AL35" i="8" a="1"/>
  <c r="AL35" i="8" s="1"/>
  <c r="AK35" i="8" a="1"/>
  <c r="AK35" i="8" s="1"/>
  <c r="AO34" i="8" a="1"/>
  <c r="AO34" i="8" s="1"/>
  <c r="AN34" i="8" a="1"/>
  <c r="AN34" i="8" s="1"/>
  <c r="AM34" i="8" a="1"/>
  <c r="AM34" i="8" s="1"/>
  <c r="AL34" i="8" a="1"/>
  <c r="AL34" i="8" s="1"/>
  <c r="AK34" i="8" a="1"/>
  <c r="AK34" i="8" s="1"/>
  <c r="AO33" i="8" a="1"/>
  <c r="AO33" i="8" s="1"/>
  <c r="AN33" i="8" a="1"/>
  <c r="AN33" i="8" s="1"/>
  <c r="AM33" i="8" a="1"/>
  <c r="AM33" i="8" s="1"/>
  <c r="AL33" i="8" a="1"/>
  <c r="AL33" i="8" s="1"/>
  <c r="AK33" i="8" a="1"/>
  <c r="AK33" i="8" s="1"/>
  <c r="AI35" i="8" a="1"/>
  <c r="AI35" i="8" s="1"/>
  <c r="AH35" i="8" a="1"/>
  <c r="AH35" i="8" s="1"/>
  <c r="AG35" i="8" a="1"/>
  <c r="AG35" i="8" s="1"/>
  <c r="AF35" i="8" a="1"/>
  <c r="AF35" i="8" s="1"/>
  <c r="AE35" i="8" a="1"/>
  <c r="AE35" i="8" s="1"/>
  <c r="AI34" i="8" a="1"/>
  <c r="AI34" i="8" s="1"/>
  <c r="AH34" i="8" a="1"/>
  <c r="AH34" i="8" s="1"/>
  <c r="AG34" i="8" a="1"/>
  <c r="AG34" i="8" s="1"/>
  <c r="AF34" i="8" a="1"/>
  <c r="AF34" i="8" s="1"/>
  <c r="AE34" i="8" a="1"/>
  <c r="AE34" i="8" s="1"/>
  <c r="AI33" i="8" a="1"/>
  <c r="AI33" i="8" s="1"/>
  <c r="AH33" i="8" a="1"/>
  <c r="AH33" i="8" s="1"/>
  <c r="AG33" i="8" a="1"/>
  <c r="AG33" i="8" s="1"/>
  <c r="AF33" i="8" a="1"/>
  <c r="AF33" i="8" s="1"/>
  <c r="AE33" i="8" a="1"/>
  <c r="AE33" i="8" s="1"/>
  <c r="AC43" i="8" a="1"/>
  <c r="AC43" i="8" s="1"/>
  <c r="AB43" i="8" a="1"/>
  <c r="AB43" i="8" s="1"/>
  <c r="AA43" i="8" a="1"/>
  <c r="AA43" i="8" s="1"/>
  <c r="Z43" i="8" a="1"/>
  <c r="Z43" i="8" s="1"/>
  <c r="Y43" i="8" a="1"/>
  <c r="Y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Q43" i="8" a="1"/>
  <c r="Q43" i="8" s="1"/>
  <c r="P43" i="8" a="1"/>
  <c r="P43" i="8" s="1"/>
  <c r="O43" i="8" a="1"/>
  <c r="O43" i="8" s="1"/>
  <c r="N43" i="8" a="1"/>
  <c r="N43" i="8" s="1"/>
  <c r="M43" i="8" a="1"/>
  <c r="M43" i="8" s="1"/>
  <c r="K43" i="8" a="1"/>
  <c r="K43" i="8" s="1"/>
  <c r="J43" i="8" a="1"/>
  <c r="J43" i="8" s="1"/>
  <c r="I43" i="8" a="1"/>
  <c r="I43" i="8" s="1"/>
  <c r="H43" i="8" a="1"/>
  <c r="H43" i="8" s="1"/>
  <c r="G43" i="8" a="1"/>
  <c r="G43" i="8" s="1"/>
  <c r="E43" i="8" a="1"/>
  <c r="E43" i="8" s="1"/>
  <c r="D43" i="8" a="1"/>
  <c r="D43" i="8" s="1"/>
  <c r="C43" i="8" a="1"/>
  <c r="C43" i="8" s="1"/>
  <c r="B43" i="8" a="1"/>
  <c r="B43" i="8" s="1"/>
  <c r="A43" i="8" a="1"/>
  <c r="A43" i="8" s="1"/>
  <c r="AC42" i="8" a="1"/>
  <c r="AC42" i="8" s="1"/>
  <c r="AB42" i="8" a="1"/>
  <c r="AB42" i="8" s="1"/>
  <c r="AA42" i="8" a="1"/>
  <c r="AA42" i="8" s="1"/>
  <c r="Z42" i="8" a="1"/>
  <c r="Z42" i="8" s="1"/>
  <c r="Y42" i="8" a="1"/>
  <c r="Y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Q42" i="8" a="1"/>
  <c r="Q42" i="8" s="1"/>
  <c r="P42" i="8" a="1"/>
  <c r="P42" i="8" s="1"/>
  <c r="O42" i="8" a="1"/>
  <c r="O42" i="8" s="1"/>
  <c r="N42" i="8" a="1"/>
  <c r="N42" i="8" s="1"/>
  <c r="M42" i="8" a="1"/>
  <c r="M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E42" i="8" a="1"/>
  <c r="E42" i="8" s="1"/>
  <c r="D42" i="8" a="1"/>
  <c r="D42" i="8" s="1"/>
  <c r="C42" i="8" a="1"/>
  <c r="C42" i="8" s="1"/>
  <c r="B42" i="8" a="1"/>
  <c r="B42" i="8" s="1"/>
  <c r="A42" i="8" a="1"/>
  <c r="A42" i="8" s="1"/>
  <c r="AC41" i="8" a="1"/>
  <c r="AC41" i="8" s="1"/>
  <c r="AB41" i="8" a="1"/>
  <c r="AB41" i="8" s="1"/>
  <c r="AA41" i="8" a="1"/>
  <c r="AA41" i="8" s="1"/>
  <c r="Z41" i="8" a="1"/>
  <c r="Z41" i="8" s="1"/>
  <c r="Y41" i="8" a="1"/>
  <c r="Y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Q41" i="8" a="1"/>
  <c r="Q41" i="8" s="1"/>
  <c r="P41" i="8" a="1"/>
  <c r="P41" i="8" s="1"/>
  <c r="O41" i="8" a="1"/>
  <c r="O41" i="8" s="1"/>
  <c r="N41" i="8" a="1"/>
  <c r="N41" i="8" s="1"/>
  <c r="M41" i="8" a="1"/>
  <c r="M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E41" i="8" a="1"/>
  <c r="E41" i="8" s="1"/>
  <c r="D41" i="8" a="1"/>
  <c r="D41" i="8" s="1"/>
  <c r="C41" i="8" a="1"/>
  <c r="C41" i="8" s="1"/>
  <c r="B41" i="8" a="1"/>
  <c r="B41" i="8" s="1"/>
  <c r="A41" i="8" a="1"/>
  <c r="A41" i="8" s="1"/>
  <c r="AC39" i="8" a="1"/>
  <c r="AC39" i="8" s="1"/>
  <c r="AB39" i="8" a="1"/>
  <c r="AB39" i="8" s="1"/>
  <c r="AA39" i="8" a="1"/>
  <c r="AA39" i="8" s="1"/>
  <c r="Z39" i="8" a="1"/>
  <c r="Z39" i="8" s="1"/>
  <c r="Y39" i="8" a="1"/>
  <c r="Y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Q39" i="8" a="1"/>
  <c r="Q39" i="8" s="1"/>
  <c r="P39" i="8" a="1"/>
  <c r="P39" i="8" s="1"/>
  <c r="O39" i="8" a="1"/>
  <c r="O39" i="8" s="1"/>
  <c r="N39" i="8" a="1"/>
  <c r="N39" i="8" s="1"/>
  <c r="M39" i="8" a="1"/>
  <c r="M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E39" i="8" a="1"/>
  <c r="E39" i="8" s="1"/>
  <c r="D39" i="8" a="1"/>
  <c r="D39" i="8" s="1"/>
  <c r="C39" i="8" a="1"/>
  <c r="C39" i="8" s="1"/>
  <c r="B39" i="8" a="1"/>
  <c r="B39" i="8" s="1"/>
  <c r="A39" i="8" a="1"/>
  <c r="A39" i="8" s="1"/>
  <c r="AC38" i="8" a="1"/>
  <c r="AC38" i="8" s="1"/>
  <c r="AB38" i="8" a="1"/>
  <c r="AB38" i="8" s="1"/>
  <c r="AA38" i="8" a="1"/>
  <c r="AA38" i="8" s="1"/>
  <c r="Z38" i="8" a="1"/>
  <c r="Z38" i="8" s="1"/>
  <c r="Y38" i="8" a="1"/>
  <c r="Y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Q38" i="8" a="1"/>
  <c r="Q38" i="8" s="1"/>
  <c r="P38" i="8" a="1"/>
  <c r="P38" i="8" s="1"/>
  <c r="O38" i="8" a="1"/>
  <c r="O38" i="8" s="1"/>
  <c r="N38" i="8" a="1"/>
  <c r="N38" i="8" s="1"/>
  <c r="M38" i="8" a="1"/>
  <c r="M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E38" i="8" a="1"/>
  <c r="E38" i="8" s="1"/>
  <c r="D38" i="8" a="1"/>
  <c r="D38" i="8" s="1"/>
  <c r="C38" i="8" a="1"/>
  <c r="C38" i="8" s="1"/>
  <c r="B38" i="8" a="1"/>
  <c r="B38" i="8" s="1"/>
  <c r="A38" i="8" a="1"/>
  <c r="A38" i="8" s="1"/>
  <c r="AC37" i="8" a="1"/>
  <c r="AC37" i="8" s="1"/>
  <c r="AB37" i="8" a="1"/>
  <c r="AB37" i="8" s="1"/>
  <c r="AA37" i="8" a="1"/>
  <c r="AA37" i="8" s="1"/>
  <c r="Z37" i="8" a="1"/>
  <c r="Z37" i="8" s="1"/>
  <c r="Y37" i="8" a="1"/>
  <c r="Y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Q37" i="8" a="1"/>
  <c r="Q37" i="8" s="1"/>
  <c r="P37" i="8" a="1"/>
  <c r="P37" i="8" s="1"/>
  <c r="O37" i="8" a="1"/>
  <c r="O37" i="8" s="1"/>
  <c r="N37" i="8" a="1"/>
  <c r="N37" i="8" s="1"/>
  <c r="M37" i="8" a="1"/>
  <c r="M37" i="8" s="1"/>
  <c r="K37" i="8" a="1"/>
  <c r="K37" i="8" s="1"/>
  <c r="J37" i="8" a="1"/>
  <c r="J37" i="8" s="1"/>
  <c r="I37" i="8" a="1"/>
  <c r="I37" i="8" s="1"/>
  <c r="H37" i="8" a="1"/>
  <c r="H37" i="8" s="1"/>
  <c r="G37" i="8" a="1"/>
  <c r="G37" i="8" s="1"/>
  <c r="E37" i="8" a="1"/>
  <c r="E37" i="8" s="1"/>
  <c r="D37" i="8" a="1"/>
  <c r="D37" i="8" s="1"/>
  <c r="C37" i="8" a="1"/>
  <c r="C37" i="8" s="1"/>
  <c r="B37" i="8" a="1"/>
  <c r="B37" i="8" s="1"/>
  <c r="A37" i="8" a="1"/>
  <c r="A37" i="8" s="1"/>
  <c r="AC35" i="8" a="1"/>
  <c r="AC35" i="8" s="1"/>
  <c r="AB35" i="8" a="1"/>
  <c r="AB35" i="8" s="1"/>
  <c r="AA35" i="8" a="1"/>
  <c r="AA35" i="8" s="1"/>
  <c r="Z35" i="8" a="1"/>
  <c r="Z35" i="8" s="1"/>
  <c r="Y35" i="8" a="1"/>
  <c r="Y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C34" i="8" a="1"/>
  <c r="AC34" i="8" s="1"/>
  <c r="AB34" i="8" a="1"/>
  <c r="AB34" i="8" s="1"/>
  <c r="AA34" i="8" a="1"/>
  <c r="AA34" i="8" s="1"/>
  <c r="Z34" i="8" a="1"/>
  <c r="Z34" i="8" s="1"/>
  <c r="Y34" i="8" a="1"/>
  <c r="Y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C33" i="8" a="1"/>
  <c r="AC33" i="8" s="1"/>
  <c r="AB33" i="8" a="1"/>
  <c r="AB33" i="8" s="1"/>
  <c r="AA33" i="8" a="1"/>
  <c r="AA33" i="8" s="1"/>
  <c r="Z33" i="8" a="1"/>
  <c r="Z33" i="8" s="1"/>
  <c r="Y33" i="8" a="1"/>
  <c r="Y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Q35" i="8" a="1"/>
  <c r="Q35" i="8" s="1"/>
  <c r="P35" i="8" a="1"/>
  <c r="P35" i="8" s="1"/>
  <c r="O35" i="8" a="1"/>
  <c r="O35" i="8" s="1"/>
  <c r="N35" i="8" a="1"/>
  <c r="N35" i="8" s="1"/>
  <c r="M35" i="8" a="1"/>
  <c r="M35" i="8" s="1"/>
  <c r="Q34" i="8" a="1"/>
  <c r="Q34" i="8" s="1"/>
  <c r="P34" i="8" a="1"/>
  <c r="P34" i="8" s="1"/>
  <c r="O34" i="8" a="1"/>
  <c r="O34" i="8" s="1"/>
  <c r="N34" i="8" a="1"/>
  <c r="N34" i="8" s="1"/>
  <c r="M34" i="8" a="1"/>
  <c r="M34" i="8" s="1"/>
  <c r="Q33" i="8" a="1"/>
  <c r="Q33" i="8" s="1"/>
  <c r="P33" i="8" a="1"/>
  <c r="P33" i="8" s="1"/>
  <c r="O33" i="8" a="1"/>
  <c r="O33" i="8" s="1"/>
  <c r="N33" i="8" a="1"/>
  <c r="N33" i="8" s="1"/>
  <c r="M33" i="8" a="1"/>
  <c r="M33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E35" i="8" a="1"/>
  <c r="E35" i="8" s="1"/>
  <c r="D35" i="8" a="1"/>
  <c r="D35" i="8" s="1"/>
  <c r="C35" i="8" a="1"/>
  <c r="C35" i="8" s="1"/>
  <c r="B35" i="8" a="1"/>
  <c r="B35" i="8" s="1"/>
  <c r="A35" i="8" a="1"/>
  <c r="A35" i="8" s="1"/>
  <c r="E34" i="8" a="1"/>
  <c r="E34" i="8" s="1"/>
  <c r="D34" i="8" a="1"/>
  <c r="D34" i="8" s="1"/>
  <c r="C34" i="8" a="1"/>
  <c r="C34" i="8" s="1"/>
  <c r="B34" i="8" a="1"/>
  <c r="B34" i="8" s="1"/>
  <c r="A34" i="8" a="1"/>
  <c r="A34" i="8" s="1"/>
  <c r="E33" i="8" a="1"/>
  <c r="E33" i="8" s="1"/>
  <c r="D33" i="8" a="1"/>
  <c r="D33" i="8" s="1"/>
  <c r="C33" i="8" a="1"/>
  <c r="C33" i="8" s="1"/>
  <c r="B33" i="8" a="1"/>
  <c r="B33" i="8" s="1"/>
  <c r="BG28" i="8" a="1"/>
  <c r="BG28" i="8" s="1"/>
  <c r="BF28" i="8" a="1"/>
  <c r="BF28" i="8" s="1"/>
  <c r="BE28" i="8" a="1"/>
  <c r="BE28" i="8" s="1"/>
  <c r="BD28" i="8" a="1"/>
  <c r="BD28" i="8" s="1"/>
  <c r="BC28" i="8" a="1"/>
  <c r="BC28" i="8" s="1"/>
  <c r="BA28" i="8" a="1"/>
  <c r="BA28" i="8" s="1"/>
  <c r="AZ28" i="8" a="1"/>
  <c r="AZ28" i="8" s="1"/>
  <c r="AY28" i="8" a="1"/>
  <c r="AY28" i="8" s="1"/>
  <c r="AX28" i="8" a="1"/>
  <c r="AX28" i="8" s="1"/>
  <c r="AW28" i="8" a="1"/>
  <c r="AW28" i="8" s="1"/>
  <c r="AU28" i="8" a="1"/>
  <c r="AU28" i="8" s="1"/>
  <c r="AT28" i="8" a="1"/>
  <c r="AT28" i="8" s="1"/>
  <c r="AS28" i="8" a="1"/>
  <c r="AS28" i="8" s="1"/>
  <c r="AR28" i="8" a="1"/>
  <c r="AR28" i="8" s="1"/>
  <c r="AQ28" i="8" a="1"/>
  <c r="AQ28" i="8" s="1"/>
  <c r="AO28" i="8" a="1"/>
  <c r="AO28" i="8" s="1"/>
  <c r="AN28" i="8" a="1"/>
  <c r="AN28" i="8" s="1"/>
  <c r="AM28" i="8" a="1"/>
  <c r="AM28" i="8" s="1"/>
  <c r="AL28" i="8" a="1"/>
  <c r="AL28" i="8" s="1"/>
  <c r="AK28" i="8" a="1"/>
  <c r="AK28" i="8" s="1"/>
  <c r="AI28" i="8" a="1"/>
  <c r="AI28" i="8" s="1"/>
  <c r="AH28" i="8" a="1"/>
  <c r="AH28" i="8" s="1"/>
  <c r="AG28" i="8" a="1"/>
  <c r="AG28" i="8" s="1"/>
  <c r="AF28" i="8" a="1"/>
  <c r="AF28" i="8" s="1"/>
  <c r="AE28" i="8" a="1"/>
  <c r="AE28" i="8" s="1"/>
  <c r="BG27" i="8" a="1"/>
  <c r="BG27" i="8" s="1"/>
  <c r="BF27" i="8" a="1"/>
  <c r="BF27" i="8" s="1"/>
  <c r="BE27" i="8" a="1"/>
  <c r="BE27" i="8" s="1"/>
  <c r="BD27" i="8" a="1"/>
  <c r="BD27" i="8" s="1"/>
  <c r="BC27" i="8" a="1"/>
  <c r="BC27" i="8" s="1"/>
  <c r="BA27" i="8" a="1"/>
  <c r="BA27" i="8" s="1"/>
  <c r="AZ27" i="8" a="1"/>
  <c r="AZ27" i="8" s="1"/>
  <c r="AY27" i="8" a="1"/>
  <c r="AY27" i="8" s="1"/>
  <c r="AX27" i="8" a="1"/>
  <c r="AX27" i="8" s="1"/>
  <c r="AW27" i="8" a="1"/>
  <c r="AW27" i="8" s="1"/>
  <c r="AU27" i="8" a="1"/>
  <c r="AU27" i="8" s="1"/>
  <c r="AT27" i="8" a="1"/>
  <c r="AT27" i="8" s="1"/>
  <c r="AS27" i="8" a="1"/>
  <c r="AS27" i="8" s="1"/>
  <c r="AR27" i="8" a="1"/>
  <c r="AR27" i="8" s="1"/>
  <c r="AQ27" i="8" a="1"/>
  <c r="AQ27" i="8" s="1"/>
  <c r="AO27" i="8" a="1"/>
  <c r="AO27" i="8" s="1"/>
  <c r="AN27" i="8" a="1"/>
  <c r="AN27" i="8" s="1"/>
  <c r="AM27" i="8" a="1"/>
  <c r="AM27" i="8" s="1"/>
  <c r="AL27" i="8" a="1"/>
  <c r="AL27" i="8" s="1"/>
  <c r="AK27" i="8" a="1"/>
  <c r="AK27" i="8" s="1"/>
  <c r="AI27" i="8" a="1"/>
  <c r="AI27" i="8" s="1"/>
  <c r="AH27" i="8" a="1"/>
  <c r="AH27" i="8" s="1"/>
  <c r="AG27" i="8" a="1"/>
  <c r="AG27" i="8" s="1"/>
  <c r="AF27" i="8" a="1"/>
  <c r="AF27" i="8" s="1"/>
  <c r="AE27" i="8" a="1"/>
  <c r="AE27" i="8" s="1"/>
  <c r="BG26" i="8" a="1"/>
  <c r="BG26" i="8" s="1"/>
  <c r="BF26" i="8" a="1"/>
  <c r="BF26" i="8" s="1"/>
  <c r="BE26" i="8" a="1"/>
  <c r="BE26" i="8" s="1"/>
  <c r="BD26" i="8" a="1"/>
  <c r="BD26" i="8" s="1"/>
  <c r="BC26" i="8" a="1"/>
  <c r="BC26" i="8" s="1"/>
  <c r="BA26" i="8" a="1"/>
  <c r="BA26" i="8" s="1"/>
  <c r="AZ26" i="8" a="1"/>
  <c r="AZ26" i="8" s="1"/>
  <c r="AY26" i="8" a="1"/>
  <c r="AY26" i="8" s="1"/>
  <c r="AX26" i="8" a="1"/>
  <c r="AX26" i="8" s="1"/>
  <c r="AW26" i="8" a="1"/>
  <c r="AW26" i="8" s="1"/>
  <c r="AU26" i="8" a="1"/>
  <c r="AU26" i="8" s="1"/>
  <c r="AT26" i="8" a="1"/>
  <c r="AT26" i="8" s="1"/>
  <c r="AS26" i="8" a="1"/>
  <c r="AS26" i="8" s="1"/>
  <c r="AR26" i="8" a="1"/>
  <c r="AR26" i="8" s="1"/>
  <c r="AQ26" i="8" a="1"/>
  <c r="AQ26" i="8" s="1"/>
  <c r="AO26" i="8" a="1"/>
  <c r="AO26" i="8" s="1"/>
  <c r="AN26" i="8" a="1"/>
  <c r="AN26" i="8" s="1"/>
  <c r="AM26" i="8" a="1"/>
  <c r="AM26" i="8" s="1"/>
  <c r="AL26" i="8" a="1"/>
  <c r="AL26" i="8" s="1"/>
  <c r="AK26" i="8" a="1"/>
  <c r="AK26" i="8" s="1"/>
  <c r="AI26" i="8" a="1"/>
  <c r="AI26" i="8" s="1"/>
  <c r="AH26" i="8" a="1"/>
  <c r="AH26" i="8" s="1"/>
  <c r="AG26" i="8" a="1"/>
  <c r="AG26" i="8" s="1"/>
  <c r="AF26" i="8" a="1"/>
  <c r="AF26" i="8" s="1"/>
  <c r="AE26" i="8" a="1"/>
  <c r="AE26" i="8" s="1"/>
  <c r="BG24" i="8" a="1"/>
  <c r="BG24" i="8" s="1"/>
  <c r="BF24" i="8" a="1"/>
  <c r="BF24" i="8" s="1"/>
  <c r="BE24" i="8" a="1"/>
  <c r="BE24" i="8" s="1"/>
  <c r="BD24" i="8" a="1"/>
  <c r="BD24" i="8" s="1"/>
  <c r="BC24" i="8" a="1"/>
  <c r="BC24" i="8" s="1"/>
  <c r="BA24" i="8" a="1"/>
  <c r="BA24" i="8" s="1"/>
  <c r="AZ24" i="8" a="1"/>
  <c r="AZ24" i="8" s="1"/>
  <c r="AY24" i="8" a="1"/>
  <c r="AY24" i="8" s="1"/>
  <c r="AX24" i="8" a="1"/>
  <c r="AX24" i="8" s="1"/>
  <c r="AW24" i="8" a="1"/>
  <c r="AW24" i="8" s="1"/>
  <c r="AU24" i="8" a="1"/>
  <c r="AU24" i="8" s="1"/>
  <c r="AT24" i="8" a="1"/>
  <c r="AT24" i="8" s="1"/>
  <c r="AS24" i="8" a="1"/>
  <c r="AS24" i="8" s="1"/>
  <c r="AR24" i="8" a="1"/>
  <c r="AR24" i="8" s="1"/>
  <c r="AQ24" i="8" a="1"/>
  <c r="AQ24" i="8" s="1"/>
  <c r="AO24" i="8" a="1"/>
  <c r="AO24" i="8" s="1"/>
  <c r="AN24" i="8" a="1"/>
  <c r="AN24" i="8" s="1"/>
  <c r="AM24" i="8" a="1"/>
  <c r="AM24" i="8" s="1"/>
  <c r="AL24" i="8" a="1"/>
  <c r="AL24" i="8" s="1"/>
  <c r="AK24" i="8" a="1"/>
  <c r="AK24" i="8" s="1"/>
  <c r="AI24" i="8" a="1"/>
  <c r="AI24" i="8" s="1"/>
  <c r="AH24" i="8" a="1"/>
  <c r="AH24" i="8" s="1"/>
  <c r="AG24" i="8" a="1"/>
  <c r="AG24" i="8" s="1"/>
  <c r="AF24" i="8" a="1"/>
  <c r="AF24" i="8" s="1"/>
  <c r="AE24" i="8" a="1"/>
  <c r="AE24" i="8" s="1"/>
  <c r="BG23" i="8" a="1"/>
  <c r="BG23" i="8" s="1"/>
  <c r="BF23" i="8" a="1"/>
  <c r="BF23" i="8" s="1"/>
  <c r="BE23" i="8" a="1"/>
  <c r="BE23" i="8" s="1"/>
  <c r="BD23" i="8" a="1"/>
  <c r="BD23" i="8" s="1"/>
  <c r="BC23" i="8" a="1"/>
  <c r="BC23" i="8" s="1"/>
  <c r="BA23" i="8" a="1"/>
  <c r="BA23" i="8" s="1"/>
  <c r="AZ23" i="8" a="1"/>
  <c r="AZ23" i="8" s="1"/>
  <c r="AY23" i="8" a="1"/>
  <c r="AY23" i="8" s="1"/>
  <c r="AX23" i="8" a="1"/>
  <c r="AX23" i="8" s="1"/>
  <c r="AW23" i="8" a="1"/>
  <c r="AW23" i="8" s="1"/>
  <c r="AU23" i="8" a="1"/>
  <c r="AU23" i="8" s="1"/>
  <c r="AT23" i="8" a="1"/>
  <c r="AT23" i="8" s="1"/>
  <c r="AS23" i="8" a="1"/>
  <c r="AS23" i="8" s="1"/>
  <c r="AR23" i="8" a="1"/>
  <c r="AR23" i="8" s="1"/>
  <c r="AQ23" i="8" a="1"/>
  <c r="AQ23" i="8" s="1"/>
  <c r="AO23" i="8" a="1"/>
  <c r="AO23" i="8" s="1"/>
  <c r="AN23" i="8" a="1"/>
  <c r="AN23" i="8" s="1"/>
  <c r="AM23" i="8" a="1"/>
  <c r="AM23" i="8" s="1"/>
  <c r="AL23" i="8" a="1"/>
  <c r="AL23" i="8" s="1"/>
  <c r="AK23" i="8" a="1"/>
  <c r="AK23" i="8" s="1"/>
  <c r="AI23" i="8" a="1"/>
  <c r="AI23" i="8" s="1"/>
  <c r="AH23" i="8" a="1"/>
  <c r="AH23" i="8" s="1"/>
  <c r="AG23" i="8" a="1"/>
  <c r="AG23" i="8" s="1"/>
  <c r="AF23" i="8" a="1"/>
  <c r="AF23" i="8" s="1"/>
  <c r="AE23" i="8" a="1"/>
  <c r="AE23" i="8" s="1"/>
  <c r="BG22" i="8" a="1"/>
  <c r="BG22" i="8" s="1"/>
  <c r="BF22" i="8" a="1"/>
  <c r="BF22" i="8" s="1"/>
  <c r="BE22" i="8" a="1"/>
  <c r="BE22" i="8" s="1"/>
  <c r="BD22" i="8" a="1"/>
  <c r="BD22" i="8" s="1"/>
  <c r="BC22" i="8" a="1"/>
  <c r="BC22" i="8" s="1"/>
  <c r="BA22" i="8" a="1"/>
  <c r="BA22" i="8" s="1"/>
  <c r="AZ22" i="8" a="1"/>
  <c r="AZ22" i="8" s="1"/>
  <c r="AY22" i="8" a="1"/>
  <c r="AY22" i="8" s="1"/>
  <c r="AX22" i="8" a="1"/>
  <c r="AX22" i="8" s="1"/>
  <c r="AW22" i="8" a="1"/>
  <c r="AW22" i="8" s="1"/>
  <c r="AU22" i="8" a="1"/>
  <c r="AU22" i="8" s="1"/>
  <c r="AT22" i="8" a="1"/>
  <c r="AT22" i="8" s="1"/>
  <c r="AS22" i="8" a="1"/>
  <c r="AS22" i="8" s="1"/>
  <c r="AR22" i="8" a="1"/>
  <c r="AR22" i="8" s="1"/>
  <c r="AQ22" i="8" a="1"/>
  <c r="AQ22" i="8" s="1"/>
  <c r="AO22" i="8" a="1"/>
  <c r="AO22" i="8" s="1"/>
  <c r="AN22" i="8" a="1"/>
  <c r="AN22" i="8" s="1"/>
  <c r="AM22" i="8" a="1"/>
  <c r="AM22" i="8" s="1"/>
  <c r="AL22" i="8" a="1"/>
  <c r="AL22" i="8" s="1"/>
  <c r="AK22" i="8" a="1"/>
  <c r="AK22" i="8" s="1"/>
  <c r="AI22" i="8" a="1"/>
  <c r="AI22" i="8" s="1"/>
  <c r="AH22" i="8" a="1"/>
  <c r="AH22" i="8" s="1"/>
  <c r="AG22" i="8" a="1"/>
  <c r="AG22" i="8" s="1"/>
  <c r="AF22" i="8" a="1"/>
  <c r="AF22" i="8" s="1"/>
  <c r="AE22" i="8" a="1"/>
  <c r="AE22" i="8" s="1"/>
  <c r="BG20" i="8" a="1"/>
  <c r="BG20" i="8" s="1"/>
  <c r="BF20" i="8" a="1"/>
  <c r="BF20" i="8" s="1"/>
  <c r="BE20" i="8" a="1"/>
  <c r="BE20" i="8" s="1"/>
  <c r="BD20" i="8" a="1"/>
  <c r="BD20" i="8" s="1"/>
  <c r="BC20" i="8" a="1"/>
  <c r="BC20" i="8" s="1"/>
  <c r="BA20" i="8" a="1"/>
  <c r="BA20" i="8" s="1"/>
  <c r="AZ20" i="8" a="1"/>
  <c r="AZ20" i="8" s="1"/>
  <c r="AY20" i="8" a="1"/>
  <c r="AY20" i="8" s="1"/>
  <c r="AX20" i="8" a="1"/>
  <c r="AX20" i="8" s="1"/>
  <c r="AW20" i="8" a="1"/>
  <c r="AW20" i="8" s="1"/>
  <c r="BG19" i="8" a="1"/>
  <c r="BG19" i="8" s="1"/>
  <c r="BF19" i="8" a="1"/>
  <c r="BF19" i="8" s="1"/>
  <c r="BE19" i="8" a="1"/>
  <c r="BE19" i="8" s="1"/>
  <c r="BD19" i="8" a="1"/>
  <c r="BD19" i="8" s="1"/>
  <c r="BC19" i="8" a="1"/>
  <c r="BC19" i="8" s="1"/>
  <c r="BA19" i="8" a="1"/>
  <c r="BA19" i="8" s="1"/>
  <c r="AZ19" i="8" a="1"/>
  <c r="AZ19" i="8" s="1"/>
  <c r="AY19" i="8" a="1"/>
  <c r="AY19" i="8" s="1"/>
  <c r="AX19" i="8" a="1"/>
  <c r="AX19" i="8" s="1"/>
  <c r="AW19" i="8" a="1"/>
  <c r="AW19" i="8" s="1"/>
  <c r="BG18" i="8" a="1"/>
  <c r="BG18" i="8" s="1"/>
  <c r="BF18" i="8" a="1"/>
  <c r="BF18" i="8" s="1"/>
  <c r="BE18" i="8" a="1"/>
  <c r="BE18" i="8" s="1"/>
  <c r="BD18" i="8" a="1"/>
  <c r="BD18" i="8" s="1"/>
  <c r="BC18" i="8" a="1"/>
  <c r="BC18" i="8" s="1"/>
  <c r="BA18" i="8" a="1"/>
  <c r="BA18" i="8" s="1"/>
  <c r="AZ18" i="8" a="1"/>
  <c r="AZ18" i="8" s="1"/>
  <c r="AY18" i="8" a="1"/>
  <c r="AY18" i="8" s="1"/>
  <c r="AX18" i="8" a="1"/>
  <c r="AX18" i="8" s="1"/>
  <c r="AW18" i="8" a="1"/>
  <c r="AW18" i="8" s="1"/>
  <c r="AU20" i="8" a="1"/>
  <c r="AU20" i="8" s="1"/>
  <c r="AT20" i="8" a="1"/>
  <c r="AT20" i="8" s="1"/>
  <c r="AS20" i="8" a="1"/>
  <c r="AS20" i="8" s="1"/>
  <c r="AR20" i="8" a="1"/>
  <c r="AR20" i="8" s="1"/>
  <c r="AQ20" i="8" a="1"/>
  <c r="AQ20" i="8" s="1"/>
  <c r="AU19" i="8" a="1"/>
  <c r="AU19" i="8" s="1"/>
  <c r="AT19" i="8" a="1"/>
  <c r="AT19" i="8" s="1"/>
  <c r="AS19" i="8" a="1"/>
  <c r="AS19" i="8" s="1"/>
  <c r="AR19" i="8" a="1"/>
  <c r="AR19" i="8" s="1"/>
  <c r="AQ19" i="8" a="1"/>
  <c r="AQ19" i="8" s="1"/>
  <c r="AU18" i="8" a="1"/>
  <c r="AU18" i="8" s="1"/>
  <c r="AT18" i="8" a="1"/>
  <c r="AT18" i="8" s="1"/>
  <c r="AS18" i="8" a="1"/>
  <c r="AS18" i="8" s="1"/>
  <c r="AR18" i="8" a="1"/>
  <c r="AR18" i="8" s="1"/>
  <c r="AQ18" i="8" a="1"/>
  <c r="AQ18" i="8" s="1"/>
  <c r="AO20" i="8" a="1"/>
  <c r="AO20" i="8" s="1"/>
  <c r="AN20" i="8" a="1"/>
  <c r="AN20" i="8" s="1"/>
  <c r="AM20" i="8" a="1"/>
  <c r="AM20" i="8" s="1"/>
  <c r="AL20" i="8" a="1"/>
  <c r="AL20" i="8" s="1"/>
  <c r="AK20" i="8" a="1"/>
  <c r="AK20" i="8" s="1"/>
  <c r="AO19" i="8" a="1"/>
  <c r="AO19" i="8" s="1"/>
  <c r="AN19" i="8" a="1"/>
  <c r="AN19" i="8" s="1"/>
  <c r="AM19" i="8" a="1"/>
  <c r="AM19" i="8" s="1"/>
  <c r="AL19" i="8" a="1"/>
  <c r="AL19" i="8" s="1"/>
  <c r="AK19" i="8" a="1"/>
  <c r="AK19" i="8" s="1"/>
  <c r="AO18" i="8" a="1"/>
  <c r="AO18" i="8" s="1"/>
  <c r="AN18" i="8" a="1"/>
  <c r="AN18" i="8" s="1"/>
  <c r="AM18" i="8" a="1"/>
  <c r="AM18" i="8" s="1"/>
  <c r="AL18" i="8" a="1"/>
  <c r="AL18" i="8" s="1"/>
  <c r="AK18" i="8" a="1"/>
  <c r="AK18" i="8" s="1"/>
  <c r="AI19" i="8" a="1"/>
  <c r="AI19" i="8" s="1"/>
  <c r="AI20" i="8" a="1"/>
  <c r="AI20" i="8" s="1"/>
  <c r="AH20" i="8" a="1"/>
  <c r="AH20" i="8" s="1"/>
  <c r="AG20" i="8" a="1"/>
  <c r="AG20" i="8" s="1"/>
  <c r="AF20" i="8" a="1"/>
  <c r="AF20" i="8" s="1"/>
  <c r="AE20" i="8" a="1"/>
  <c r="AE20" i="8" s="1"/>
  <c r="AH19" i="8" a="1"/>
  <c r="AH19" i="8" s="1"/>
  <c r="AG19" i="8" a="1"/>
  <c r="AG19" i="8" s="1"/>
  <c r="AF19" i="8" a="1"/>
  <c r="AF19" i="8" s="1"/>
  <c r="AE19" i="8" a="1"/>
  <c r="AE19" i="8" s="1"/>
  <c r="AI18" i="8" a="1"/>
  <c r="AI18" i="8" s="1"/>
  <c r="AH18" i="8" a="1"/>
  <c r="AH18" i="8" s="1"/>
  <c r="AG18" i="8" a="1"/>
  <c r="AG18" i="8" s="1"/>
  <c r="AF18" i="8" a="1"/>
  <c r="AF18" i="8" s="1"/>
  <c r="AE18" i="8" a="1"/>
  <c r="AE18" i="8" s="1"/>
  <c r="AC28" i="8" a="1"/>
  <c r="AC28" i="8" s="1"/>
  <c r="AB28" i="8" a="1"/>
  <c r="AB28" i="8" s="1"/>
  <c r="AA28" i="8" a="1"/>
  <c r="AA28" i="8" s="1"/>
  <c r="Z28" i="8" a="1"/>
  <c r="Z28" i="8" s="1"/>
  <c r="Y28" i="8" a="1"/>
  <c r="Y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Q28" i="8" a="1"/>
  <c r="Q28" i="8" s="1"/>
  <c r="P28" i="8" a="1"/>
  <c r="P28" i="8" s="1"/>
  <c r="O28" i="8" a="1"/>
  <c r="O28" i="8" s="1"/>
  <c r="N28" i="8" a="1"/>
  <c r="N28" i="8" s="1"/>
  <c r="M28" i="8" a="1"/>
  <c r="M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AC27" i="8" a="1"/>
  <c r="AC27" i="8" s="1"/>
  <c r="AB27" i="8" a="1"/>
  <c r="AB27" i="8" s="1"/>
  <c r="AA27" i="8" a="1"/>
  <c r="AA27" i="8" s="1"/>
  <c r="Z27" i="8" a="1"/>
  <c r="Z27" i="8" s="1"/>
  <c r="Y27" i="8" a="1"/>
  <c r="Y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Q27" i="8" a="1"/>
  <c r="Q27" i="8" s="1"/>
  <c r="P27" i="8" a="1"/>
  <c r="P27" i="8" s="1"/>
  <c r="O27" i="8" a="1"/>
  <c r="O27" i="8" s="1"/>
  <c r="N27" i="8" a="1"/>
  <c r="N27" i="8" s="1"/>
  <c r="M27" i="8" a="1"/>
  <c r="M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AC26" i="8" a="1"/>
  <c r="AC26" i="8" s="1"/>
  <c r="AB26" i="8" a="1"/>
  <c r="AB26" i="8" s="1"/>
  <c r="AA26" i="8" a="1"/>
  <c r="AA26" i="8" s="1"/>
  <c r="Z26" i="8" a="1"/>
  <c r="Z26" i="8" s="1"/>
  <c r="Y26" i="8" a="1"/>
  <c r="Y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Q26" i="8" a="1"/>
  <c r="Q26" i="8" s="1"/>
  <c r="P26" i="8" a="1"/>
  <c r="P26" i="8" s="1"/>
  <c r="O26" i="8" a="1"/>
  <c r="O26" i="8" s="1"/>
  <c r="N26" i="8" a="1"/>
  <c r="N26" i="8" s="1"/>
  <c r="M26" i="8" a="1"/>
  <c r="M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AC24" i="8" a="1"/>
  <c r="AC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Q24" i="8" a="1"/>
  <c r="Q24" i="8" s="1"/>
  <c r="P24" i="8" a="1"/>
  <c r="P24" i="8" s="1"/>
  <c r="O24" i="8" a="1"/>
  <c r="O24" i="8" s="1"/>
  <c r="N24" i="8" a="1"/>
  <c r="N24" i="8" s="1"/>
  <c r="M24" i="8" a="1"/>
  <c r="M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AC23" i="8" a="1"/>
  <c r="AC23" i="8" s="1"/>
  <c r="AB23" i="8" a="1"/>
  <c r="AB23" i="8" s="1"/>
  <c r="AA23" i="8" a="1"/>
  <c r="AA23" i="8" s="1"/>
  <c r="Z23" i="8" a="1"/>
  <c r="Z23" i="8" s="1"/>
  <c r="Y23" i="8" a="1"/>
  <c r="Y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Q23" i="8" a="1"/>
  <c r="Q23" i="8" s="1"/>
  <c r="P23" i="8" a="1"/>
  <c r="P23" i="8" s="1"/>
  <c r="O23" i="8" a="1"/>
  <c r="O23" i="8" s="1"/>
  <c r="N23" i="8" a="1"/>
  <c r="N23" i="8" s="1"/>
  <c r="M23" i="8" a="1"/>
  <c r="M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AC22" i="8" a="1"/>
  <c r="AC22" i="8" s="1"/>
  <c r="AB22" i="8" a="1"/>
  <c r="AB22" i="8" s="1"/>
  <c r="AA22" i="8" a="1"/>
  <c r="AA22" i="8" s="1"/>
  <c r="Z22" i="8" a="1"/>
  <c r="Z22" i="8" s="1"/>
  <c r="Y22" i="8" a="1"/>
  <c r="Y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Q22" i="8" a="1"/>
  <c r="Q22" i="8" s="1"/>
  <c r="P22" i="8" a="1"/>
  <c r="P22" i="8" s="1"/>
  <c r="O22" i="8" a="1"/>
  <c r="O22" i="8" s="1"/>
  <c r="N22" i="8" a="1"/>
  <c r="N22" i="8" s="1"/>
  <c r="M22" i="8" a="1"/>
  <c r="M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AC20" i="8" a="1"/>
  <c r="AC20" i="8" s="1"/>
  <c r="AB20" i="8" a="1"/>
  <c r="AB20" i="8" s="1"/>
  <c r="AA20" i="8" a="1"/>
  <c r="AA20" i="8" s="1"/>
  <c r="Z20" i="8" a="1"/>
  <c r="Z20" i="8" s="1"/>
  <c r="Y20" i="8" a="1"/>
  <c r="Y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C19" i="8" a="1"/>
  <c r="AC19" i="8" s="1"/>
  <c r="AB19" i="8" a="1"/>
  <c r="AB19" i="8" s="1"/>
  <c r="AA19" i="8" a="1"/>
  <c r="AA19" i="8" s="1"/>
  <c r="Z19" i="8" a="1"/>
  <c r="Z19" i="8" s="1"/>
  <c r="Y19" i="8" a="1"/>
  <c r="Y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C18" i="8" a="1"/>
  <c r="AC18" i="8" s="1"/>
  <c r="AB18" i="8" a="1"/>
  <c r="AB18" i="8" s="1"/>
  <c r="AA18" i="8" a="1"/>
  <c r="AA18" i="8" s="1"/>
  <c r="Z18" i="8" a="1"/>
  <c r="Z18" i="8" s="1"/>
  <c r="Y18" i="8" a="1"/>
  <c r="Y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BG14" i="8" a="1"/>
  <c r="BG14" i="8" s="1"/>
  <c r="BG37" i="10" s="1"/>
  <c r="AJ71" i="10" s="1"/>
  <c r="BF14" i="8" a="1"/>
  <c r="BF14" i="8" s="1"/>
  <c r="BF37" i="10" s="1"/>
  <c r="BE14" i="8" a="1"/>
  <c r="BE14" i="8" s="1"/>
  <c r="BE37" i="10" s="1"/>
  <c r="BD14" i="8" a="1"/>
  <c r="BD14" i="8" s="1"/>
  <c r="BD37" i="10" s="1"/>
  <c r="BC14" i="8" a="1"/>
  <c r="BC14" i="8" s="1"/>
  <c r="BC37" i="10" s="1"/>
  <c r="BA14" i="8" a="1"/>
  <c r="BA14" i="8" s="1"/>
  <c r="BA37" i="10" s="1"/>
  <c r="AZ14" i="8" a="1"/>
  <c r="AZ14" i="8" s="1"/>
  <c r="AZ37" i="10" s="1"/>
  <c r="AI71" i="10" s="1"/>
  <c r="AY14" i="8" a="1"/>
  <c r="AY14" i="8" s="1"/>
  <c r="AY37" i="10" s="1"/>
  <c r="AX14" i="8" a="1"/>
  <c r="AX14" i="8" s="1"/>
  <c r="AX37" i="10" s="1"/>
  <c r="AW14" i="8" a="1"/>
  <c r="AW14" i="8" s="1"/>
  <c r="AW37" i="10" s="1"/>
  <c r="AU14" i="8" a="1"/>
  <c r="AU14" i="8" s="1"/>
  <c r="AU37" i="10" s="1"/>
  <c r="AT14" i="8" a="1"/>
  <c r="AT14" i="8" s="1"/>
  <c r="AT37" i="10" s="1"/>
  <c r="AS14" i="8" a="1"/>
  <c r="AS14" i="8" s="1"/>
  <c r="AS37" i="10" s="1"/>
  <c r="AH71" i="10" s="1"/>
  <c r="AR14" i="8" a="1"/>
  <c r="AR14" i="8" s="1"/>
  <c r="AR37" i="10" s="1"/>
  <c r="AQ14" i="8" a="1"/>
  <c r="AQ14" i="8" s="1"/>
  <c r="AQ37" i="10" s="1"/>
  <c r="AO14" i="8" a="1"/>
  <c r="AO14" i="8" s="1"/>
  <c r="AO37" i="10" s="1"/>
  <c r="AN14" i="8" a="1"/>
  <c r="AN14" i="8" s="1"/>
  <c r="AN37" i="10" s="1"/>
  <c r="AM14" i="8" a="1"/>
  <c r="AM14" i="8" s="1"/>
  <c r="AM37" i="10" s="1"/>
  <c r="AL14" i="8" a="1"/>
  <c r="AL14" i="8" s="1"/>
  <c r="AL37" i="10" s="1"/>
  <c r="AG71" i="10" s="1"/>
  <c r="AK14" i="8" a="1"/>
  <c r="AK14" i="8" s="1"/>
  <c r="AK37" i="10" s="1"/>
  <c r="AI14" i="8" a="1"/>
  <c r="AI14" i="8" s="1"/>
  <c r="AI37" i="10" s="1"/>
  <c r="AH14" i="8" a="1"/>
  <c r="AH14" i="8" s="1"/>
  <c r="AH37" i="10" s="1"/>
  <c r="AG14" i="8" a="1"/>
  <c r="AG14" i="8" s="1"/>
  <c r="AG37" i="10" s="1"/>
  <c r="AF14" i="8" a="1"/>
  <c r="AF14" i="8" s="1"/>
  <c r="AF37" i="10" s="1"/>
  <c r="AE14" i="8" a="1"/>
  <c r="AE14" i="8" s="1"/>
  <c r="AE37" i="10" s="1"/>
  <c r="AF71" i="10" s="1"/>
  <c r="BG13" i="8" a="1"/>
  <c r="BG13" i="8" s="1"/>
  <c r="BG36" i="10" s="1"/>
  <c r="BF13" i="8" a="1"/>
  <c r="BF13" i="8" s="1"/>
  <c r="BF36" i="10" s="1"/>
  <c r="BE13" i="8" a="1"/>
  <c r="BE13" i="8" s="1"/>
  <c r="BE36" i="10" s="1"/>
  <c r="BD13" i="8" a="1"/>
  <c r="BD13" i="8" s="1"/>
  <c r="BD36" i="10" s="1"/>
  <c r="BC13" i="8" a="1"/>
  <c r="BC13" i="8" s="1"/>
  <c r="BC36" i="10" s="1"/>
  <c r="BA13" i="8" a="1"/>
  <c r="BA13" i="8" s="1"/>
  <c r="BA36" i="10" s="1"/>
  <c r="AZ13" i="8" a="1"/>
  <c r="AZ13" i="8" s="1"/>
  <c r="AZ36" i="10" s="1"/>
  <c r="AY13" i="8" a="1"/>
  <c r="AY13" i="8" s="1"/>
  <c r="AY36" i="10" s="1"/>
  <c r="AX13" i="8" a="1"/>
  <c r="AX13" i="8" s="1"/>
  <c r="AX36" i="10" s="1"/>
  <c r="AW13" i="8" a="1"/>
  <c r="AW13" i="8" s="1"/>
  <c r="AW36" i="10" s="1"/>
  <c r="AU13" i="8" a="1"/>
  <c r="AU13" i="8" s="1"/>
  <c r="AU36" i="10" s="1"/>
  <c r="AT13" i="8" a="1"/>
  <c r="AT13" i="8" s="1"/>
  <c r="AT36" i="10" s="1"/>
  <c r="AS13" i="8" a="1"/>
  <c r="AS13" i="8" s="1"/>
  <c r="AS36" i="10" s="1"/>
  <c r="AR13" i="8" a="1"/>
  <c r="AR13" i="8" s="1"/>
  <c r="AR36" i="10" s="1"/>
  <c r="AQ13" i="8" a="1"/>
  <c r="AQ13" i="8" s="1"/>
  <c r="AQ36" i="10" s="1"/>
  <c r="AO13" i="8" a="1"/>
  <c r="AO13" i="8" s="1"/>
  <c r="AO36" i="10" s="1"/>
  <c r="AN13" i="8" a="1"/>
  <c r="AN13" i="8" s="1"/>
  <c r="AN36" i="10" s="1"/>
  <c r="AM13" i="8" a="1"/>
  <c r="AM13" i="8" s="1"/>
  <c r="AM36" i="10" s="1"/>
  <c r="AL13" i="8" a="1"/>
  <c r="AL13" i="8" s="1"/>
  <c r="AL36" i="10" s="1"/>
  <c r="AK13" i="8" a="1"/>
  <c r="AK13" i="8" s="1"/>
  <c r="AK36" i="10" s="1"/>
  <c r="AI13" i="8" a="1"/>
  <c r="AI13" i="8" s="1"/>
  <c r="AI36" i="10" s="1"/>
  <c r="AH13" i="8" a="1"/>
  <c r="AH13" i="8" s="1"/>
  <c r="AH36" i="10" s="1"/>
  <c r="AG13" i="8" a="1"/>
  <c r="AG13" i="8" s="1"/>
  <c r="AG36" i="10" s="1"/>
  <c r="AF13" i="8" a="1"/>
  <c r="AF13" i="8" s="1"/>
  <c r="AF36" i="10" s="1"/>
  <c r="AE13" i="8" a="1"/>
  <c r="AE13" i="8" s="1"/>
  <c r="AE36" i="10" s="1"/>
  <c r="BG12" i="8" a="1"/>
  <c r="BG12" i="8" s="1"/>
  <c r="BG35" i="10" s="1"/>
  <c r="BF12" i="8" a="1"/>
  <c r="BF12" i="8" s="1"/>
  <c r="BF35" i="10" s="1"/>
  <c r="BE12" i="8" a="1"/>
  <c r="BE12" i="8" s="1"/>
  <c r="BE35" i="10" s="1"/>
  <c r="BD12" i="8" a="1"/>
  <c r="BD12" i="8" s="1"/>
  <c r="BD35" i="10" s="1"/>
  <c r="BC12" i="8" a="1"/>
  <c r="BC12" i="8" s="1"/>
  <c r="BC35" i="10" s="1"/>
  <c r="BA12" i="8" a="1"/>
  <c r="BA12" i="8" s="1"/>
  <c r="BA35" i="10" s="1"/>
  <c r="AZ12" i="8" a="1"/>
  <c r="AZ12" i="8" s="1"/>
  <c r="AZ35" i="10" s="1"/>
  <c r="AY12" i="8" a="1"/>
  <c r="AY12" i="8" s="1"/>
  <c r="AY35" i="10" s="1"/>
  <c r="AX12" i="8" a="1"/>
  <c r="AX12" i="8" s="1"/>
  <c r="AX35" i="10" s="1"/>
  <c r="AW12" i="8" a="1"/>
  <c r="AW12" i="8" s="1"/>
  <c r="AW35" i="10" s="1"/>
  <c r="AU12" i="8" a="1"/>
  <c r="AU12" i="8" s="1"/>
  <c r="AU35" i="10" s="1"/>
  <c r="AT12" i="8" a="1"/>
  <c r="AT12" i="8" s="1"/>
  <c r="AT35" i="10" s="1"/>
  <c r="AS12" i="8" a="1"/>
  <c r="AS12" i="8" s="1"/>
  <c r="AS35" i="10" s="1"/>
  <c r="AR12" i="8" a="1"/>
  <c r="AR12" i="8" s="1"/>
  <c r="AR35" i="10" s="1"/>
  <c r="AQ12" i="8" a="1"/>
  <c r="AQ12" i="8" s="1"/>
  <c r="AQ35" i="10" s="1"/>
  <c r="AO12" i="8" a="1"/>
  <c r="AO12" i="8" s="1"/>
  <c r="AO35" i="10" s="1"/>
  <c r="AN12" i="8" a="1"/>
  <c r="AN12" i="8" s="1"/>
  <c r="AN35" i="10" s="1"/>
  <c r="AM12" i="8" a="1"/>
  <c r="AM12" i="8" s="1"/>
  <c r="AM35" i="10" s="1"/>
  <c r="AL12" i="8" a="1"/>
  <c r="AL12" i="8" s="1"/>
  <c r="AL35" i="10" s="1"/>
  <c r="AK12" i="8" a="1"/>
  <c r="AK12" i="8" s="1"/>
  <c r="AK35" i="10" s="1"/>
  <c r="AI12" i="8" a="1"/>
  <c r="AI12" i="8" s="1"/>
  <c r="AI35" i="10" s="1"/>
  <c r="AH12" i="8" a="1"/>
  <c r="AH12" i="8" s="1"/>
  <c r="AH35" i="10" s="1"/>
  <c r="AG12" i="8" a="1"/>
  <c r="AG12" i="8" s="1"/>
  <c r="AG35" i="10" s="1"/>
  <c r="AF12" i="8" a="1"/>
  <c r="AF12" i="8" s="1"/>
  <c r="AF35" i="10" s="1"/>
  <c r="AE12" i="8" a="1"/>
  <c r="AE12" i="8" s="1"/>
  <c r="AE35" i="10" s="1"/>
  <c r="BG10" i="8" a="1"/>
  <c r="BG10" i="8" s="1"/>
  <c r="BG33" i="10" s="1"/>
  <c r="BF10" i="8" a="1"/>
  <c r="BF10" i="8" s="1"/>
  <c r="BF33" i="10" s="1"/>
  <c r="BE10" i="8" a="1"/>
  <c r="BE10" i="8" s="1"/>
  <c r="BE33" i="10" s="1"/>
  <c r="BD10" i="8" a="1"/>
  <c r="BD10" i="8" s="1"/>
  <c r="BD33" i="10" s="1"/>
  <c r="BC10" i="8" a="1"/>
  <c r="BC10" i="8" s="1"/>
  <c r="BC33" i="10" s="1"/>
  <c r="BA10" i="8" a="1"/>
  <c r="BA10" i="8" s="1"/>
  <c r="BA33" i="10" s="1"/>
  <c r="AZ10" i="8" a="1"/>
  <c r="AZ10" i="8" s="1"/>
  <c r="AZ33" i="10" s="1"/>
  <c r="AY10" i="8" a="1"/>
  <c r="AY10" i="8" s="1"/>
  <c r="AY33" i="10" s="1"/>
  <c r="AX10" i="8" a="1"/>
  <c r="AX10" i="8" s="1"/>
  <c r="AX33" i="10" s="1"/>
  <c r="AW10" i="8" a="1"/>
  <c r="AW10" i="8" s="1"/>
  <c r="AW33" i="10" s="1"/>
  <c r="AU10" i="8" a="1"/>
  <c r="AU10" i="8" s="1"/>
  <c r="AU33" i="10" s="1"/>
  <c r="AT10" i="8" a="1"/>
  <c r="AT10" i="8" s="1"/>
  <c r="AT33" i="10" s="1"/>
  <c r="AS10" i="8" a="1"/>
  <c r="AS10" i="8" s="1"/>
  <c r="AS33" i="10" s="1"/>
  <c r="AR10" i="8" a="1"/>
  <c r="AR10" i="8" s="1"/>
  <c r="AR33" i="10" s="1"/>
  <c r="AQ10" i="8" a="1"/>
  <c r="AQ10" i="8" s="1"/>
  <c r="AQ33" i="10" s="1"/>
  <c r="AO10" i="8" a="1"/>
  <c r="AO10" i="8" s="1"/>
  <c r="AO33" i="10" s="1"/>
  <c r="AN10" i="8" a="1"/>
  <c r="AN10" i="8" s="1"/>
  <c r="AN33" i="10" s="1"/>
  <c r="AM10" i="8" a="1"/>
  <c r="AM10" i="8" s="1"/>
  <c r="AM33" i="10" s="1"/>
  <c r="AL10" i="8" a="1"/>
  <c r="AL10" i="8" s="1"/>
  <c r="AL33" i="10" s="1"/>
  <c r="AK10" i="8" a="1"/>
  <c r="AK10" i="8" s="1"/>
  <c r="AK33" i="10" s="1"/>
  <c r="AI10" i="8" a="1"/>
  <c r="AI10" i="8" s="1"/>
  <c r="AI33" i="10" s="1"/>
  <c r="AH10" i="8" a="1"/>
  <c r="AH10" i="8" s="1"/>
  <c r="AH33" i="10" s="1"/>
  <c r="AG10" i="8" a="1"/>
  <c r="AG10" i="8" s="1"/>
  <c r="AG33" i="10" s="1"/>
  <c r="AF10" i="8" a="1"/>
  <c r="AF10" i="8" s="1"/>
  <c r="AF33" i="10" s="1"/>
  <c r="AE10" i="8" a="1"/>
  <c r="AE10" i="8" s="1"/>
  <c r="AE33" i="10" s="1"/>
  <c r="BG9" i="8" a="1"/>
  <c r="BG9" i="8" s="1"/>
  <c r="BG32" i="10" s="1"/>
  <c r="AJ69" i="10" s="1"/>
  <c r="BF9" i="8" a="1"/>
  <c r="BF9" i="8" s="1"/>
  <c r="BF32" i="10" s="1"/>
  <c r="BE9" i="8" a="1"/>
  <c r="BE9" i="8" s="1"/>
  <c r="BE32" i="10" s="1"/>
  <c r="BD9" i="8" a="1"/>
  <c r="BD9" i="8" s="1"/>
  <c r="BD32" i="10" s="1"/>
  <c r="BC9" i="8" a="1"/>
  <c r="BC9" i="8" s="1"/>
  <c r="BC32" i="10" s="1"/>
  <c r="BA9" i="8" a="1"/>
  <c r="BA9" i="8" s="1"/>
  <c r="BA32" i="10" s="1"/>
  <c r="AZ9" i="8" a="1"/>
  <c r="AZ9" i="8" s="1"/>
  <c r="AZ32" i="10" s="1"/>
  <c r="AI69" i="10" s="1"/>
  <c r="AY9" i="8" a="1"/>
  <c r="AY9" i="8" s="1"/>
  <c r="AY32" i="10" s="1"/>
  <c r="AX9" i="8" a="1"/>
  <c r="AX9" i="8" s="1"/>
  <c r="AX32" i="10" s="1"/>
  <c r="AW9" i="8" a="1"/>
  <c r="AW9" i="8" s="1"/>
  <c r="AW32" i="10" s="1"/>
  <c r="AU9" i="8" a="1"/>
  <c r="AU9" i="8" s="1"/>
  <c r="AU32" i="10" s="1"/>
  <c r="AT9" i="8" a="1"/>
  <c r="AT9" i="8" s="1"/>
  <c r="AT32" i="10" s="1"/>
  <c r="AS9" i="8" a="1"/>
  <c r="AS9" i="8" s="1"/>
  <c r="AS32" i="10" s="1"/>
  <c r="AH69" i="10" s="1"/>
  <c r="AR9" i="8" a="1"/>
  <c r="AR9" i="8" s="1"/>
  <c r="AR32" i="10" s="1"/>
  <c r="AQ9" i="8" a="1"/>
  <c r="AQ9" i="8" s="1"/>
  <c r="AQ32" i="10" s="1"/>
  <c r="AO9" i="8" a="1"/>
  <c r="AO9" i="8" s="1"/>
  <c r="AO32" i="10" s="1"/>
  <c r="AN9" i="8" a="1"/>
  <c r="AN9" i="8" s="1"/>
  <c r="AN32" i="10" s="1"/>
  <c r="AM9" i="8" a="1"/>
  <c r="AM9" i="8" s="1"/>
  <c r="AM32" i="10" s="1"/>
  <c r="AL9" i="8" a="1"/>
  <c r="AL9" i="8" s="1"/>
  <c r="AL32" i="10" s="1"/>
  <c r="AG69" i="10" s="1"/>
  <c r="AK9" i="8" a="1"/>
  <c r="AK9" i="8" s="1"/>
  <c r="AK32" i="10" s="1"/>
  <c r="AI9" i="8" a="1"/>
  <c r="AI9" i="8" s="1"/>
  <c r="AI32" i="10" s="1"/>
  <c r="AH9" i="8" a="1"/>
  <c r="AH9" i="8" s="1"/>
  <c r="AH32" i="10" s="1"/>
  <c r="AG9" i="8" a="1"/>
  <c r="AG9" i="8" s="1"/>
  <c r="AG32" i="10" s="1"/>
  <c r="AF9" i="8" a="1"/>
  <c r="AF9" i="8" s="1"/>
  <c r="AF32" i="10" s="1"/>
  <c r="AE9" i="8" a="1"/>
  <c r="AE9" i="8" s="1"/>
  <c r="AE32" i="10" s="1"/>
  <c r="AF69" i="10" s="1"/>
  <c r="BG8" i="8" a="1"/>
  <c r="BG8" i="8" s="1"/>
  <c r="BG31" i="10" s="1"/>
  <c r="BF8" i="8" a="1"/>
  <c r="BF8" i="8" s="1"/>
  <c r="BF31" i="10" s="1"/>
  <c r="BE8" i="8" a="1"/>
  <c r="BE8" i="8" s="1"/>
  <c r="BE31" i="10" s="1"/>
  <c r="BD8" i="8" a="1"/>
  <c r="BD8" i="8" s="1"/>
  <c r="BD31" i="10" s="1"/>
  <c r="BC8" i="8" a="1"/>
  <c r="BC8" i="8" s="1"/>
  <c r="BC31" i="10" s="1"/>
  <c r="BA8" i="8" a="1"/>
  <c r="BA8" i="8" s="1"/>
  <c r="BA31" i="10" s="1"/>
  <c r="AZ8" i="8" a="1"/>
  <c r="AZ8" i="8" s="1"/>
  <c r="AZ31" i="10" s="1"/>
  <c r="AY8" i="8" a="1"/>
  <c r="AY8" i="8" s="1"/>
  <c r="AY31" i="10" s="1"/>
  <c r="AX8" i="8" a="1"/>
  <c r="AX8" i="8" s="1"/>
  <c r="AX31" i="10" s="1"/>
  <c r="AW8" i="8" a="1"/>
  <c r="AW8" i="8" s="1"/>
  <c r="AW31" i="10" s="1"/>
  <c r="AU8" i="8" a="1"/>
  <c r="AU8" i="8" s="1"/>
  <c r="AU31" i="10" s="1"/>
  <c r="AT8" i="8" a="1"/>
  <c r="AT8" i="8" s="1"/>
  <c r="AT31" i="10" s="1"/>
  <c r="AS8" i="8" a="1"/>
  <c r="AS8" i="8" s="1"/>
  <c r="AS31" i="10" s="1"/>
  <c r="AR8" i="8" a="1"/>
  <c r="AR8" i="8" s="1"/>
  <c r="AR31" i="10" s="1"/>
  <c r="AQ8" i="8" a="1"/>
  <c r="AQ8" i="8" s="1"/>
  <c r="AQ31" i="10" s="1"/>
  <c r="AO8" i="8" a="1"/>
  <c r="AO8" i="8" s="1"/>
  <c r="AO31" i="10" s="1"/>
  <c r="AN8" i="8" a="1"/>
  <c r="AN8" i="8" s="1"/>
  <c r="AN31" i="10" s="1"/>
  <c r="AM8" i="8" a="1"/>
  <c r="AM8" i="8" s="1"/>
  <c r="AM31" i="10" s="1"/>
  <c r="AL8" i="8" a="1"/>
  <c r="AL8" i="8" s="1"/>
  <c r="AL31" i="10" s="1"/>
  <c r="AK8" i="8" a="1"/>
  <c r="AK8" i="8" s="1"/>
  <c r="AK31" i="10" s="1"/>
  <c r="AI8" i="8" a="1"/>
  <c r="AI8" i="8" s="1"/>
  <c r="AI31" i="10" s="1"/>
  <c r="AH8" i="8" a="1"/>
  <c r="AH8" i="8" s="1"/>
  <c r="AH31" i="10" s="1"/>
  <c r="AG8" i="8" a="1"/>
  <c r="AG8" i="8" s="1"/>
  <c r="AG31" i="10" s="1"/>
  <c r="AF8" i="8" a="1"/>
  <c r="AF8" i="8" s="1"/>
  <c r="AF31" i="10" s="1"/>
  <c r="AE8" i="8" a="1"/>
  <c r="AE8" i="8" s="1"/>
  <c r="AE31" i="10" s="1"/>
  <c r="BG6" i="8" a="1"/>
  <c r="BG6" i="8" s="1"/>
  <c r="BG29" i="10" s="1"/>
  <c r="BF6" i="8" a="1"/>
  <c r="BF6" i="8" s="1"/>
  <c r="BF29" i="10" s="1"/>
  <c r="BE6" i="8" a="1"/>
  <c r="BE6" i="8" s="1"/>
  <c r="BE29" i="10" s="1"/>
  <c r="BD6" i="8" a="1"/>
  <c r="BD6" i="8" s="1"/>
  <c r="BD29" i="10" s="1"/>
  <c r="BC6" i="8" a="1"/>
  <c r="BC6" i="8" s="1"/>
  <c r="BC29" i="10" s="1"/>
  <c r="BA6" i="8" a="1"/>
  <c r="BA6" i="8" s="1"/>
  <c r="BA29" i="10" s="1"/>
  <c r="AZ6" i="8" a="1"/>
  <c r="AZ6" i="8" s="1"/>
  <c r="AZ29" i="10" s="1"/>
  <c r="AY6" i="8" a="1"/>
  <c r="AY6" i="8" s="1"/>
  <c r="AY29" i="10" s="1"/>
  <c r="AX6" i="8" a="1"/>
  <c r="AX6" i="8" s="1"/>
  <c r="AX29" i="10" s="1"/>
  <c r="AW6" i="8" a="1"/>
  <c r="AW6" i="8" s="1"/>
  <c r="AW29" i="10" s="1"/>
  <c r="BG5" i="8" a="1"/>
  <c r="BG5" i="8" s="1"/>
  <c r="BG28" i="10" s="1"/>
  <c r="BF5" i="8" a="1"/>
  <c r="BF5" i="8" s="1"/>
  <c r="BF28" i="10" s="1"/>
  <c r="BE5" i="8" a="1"/>
  <c r="BE5" i="8" s="1"/>
  <c r="BE28" i="10" s="1"/>
  <c r="BD5" i="8" a="1"/>
  <c r="BD5" i="8" s="1"/>
  <c r="BD28" i="10" s="1"/>
  <c r="BC5" i="8" a="1"/>
  <c r="BC5" i="8" s="1"/>
  <c r="BC28" i="10" s="1"/>
  <c r="BA5" i="8" a="1"/>
  <c r="BA5" i="8" s="1"/>
  <c r="BA28" i="10" s="1"/>
  <c r="AZ5" i="8" a="1"/>
  <c r="AZ5" i="8" s="1"/>
  <c r="AZ28" i="10" s="1"/>
  <c r="AY5" i="8" a="1"/>
  <c r="AY5" i="8" s="1"/>
  <c r="AY28" i="10" s="1"/>
  <c r="AX5" i="8" a="1"/>
  <c r="AX5" i="8" s="1"/>
  <c r="AX28" i="10" s="1"/>
  <c r="AW5" i="8" a="1"/>
  <c r="AW5" i="8" s="1"/>
  <c r="AW28" i="10" s="1"/>
  <c r="BG4" i="8" a="1"/>
  <c r="BG4" i="8" s="1"/>
  <c r="BG27" i="10" s="1"/>
  <c r="AJ67" i="10" s="1"/>
  <c r="BF4" i="8" a="1"/>
  <c r="BF4" i="8" s="1"/>
  <c r="BF27" i="10" s="1"/>
  <c r="BE4" i="8" a="1"/>
  <c r="BE4" i="8" s="1"/>
  <c r="BE27" i="10" s="1"/>
  <c r="BD4" i="8" a="1"/>
  <c r="BD4" i="8" s="1"/>
  <c r="BD27" i="10" s="1"/>
  <c r="BC4" i="8" a="1"/>
  <c r="BC4" i="8" s="1"/>
  <c r="BC27" i="10" s="1"/>
  <c r="BA4" i="8" a="1"/>
  <c r="BA4" i="8" s="1"/>
  <c r="BA27" i="10" s="1"/>
  <c r="AZ4" i="8" a="1"/>
  <c r="AZ4" i="8" s="1"/>
  <c r="AZ27" i="10" s="1"/>
  <c r="AI67" i="10" s="1"/>
  <c r="AY4" i="8" a="1"/>
  <c r="AY4" i="8" s="1"/>
  <c r="AY27" i="10" s="1"/>
  <c r="AX4" i="8" a="1"/>
  <c r="AX4" i="8" s="1"/>
  <c r="AX27" i="10" s="1"/>
  <c r="AW4" i="8" a="1"/>
  <c r="AW4" i="8" s="1"/>
  <c r="AW27" i="10" s="1"/>
  <c r="AU6" i="8" a="1"/>
  <c r="AU6" i="8" s="1"/>
  <c r="AU29" i="10" s="1"/>
  <c r="AT6" i="8" a="1"/>
  <c r="AT6" i="8" s="1"/>
  <c r="AT29" i="10" s="1"/>
  <c r="AS6" i="8" a="1"/>
  <c r="AS6" i="8" s="1"/>
  <c r="AS29" i="10" s="1"/>
  <c r="AR6" i="8" a="1"/>
  <c r="AR6" i="8" s="1"/>
  <c r="AR29" i="10" s="1"/>
  <c r="AQ6" i="8" a="1"/>
  <c r="AQ6" i="8" s="1"/>
  <c r="AQ29" i="10" s="1"/>
  <c r="AU5" i="8" a="1"/>
  <c r="AU5" i="8" s="1"/>
  <c r="AU28" i="10" s="1"/>
  <c r="AT5" i="8" a="1"/>
  <c r="AT5" i="8" s="1"/>
  <c r="AT28" i="10" s="1"/>
  <c r="AS5" i="8" a="1"/>
  <c r="AS5" i="8" s="1"/>
  <c r="AS28" i="10" s="1"/>
  <c r="AR5" i="8" a="1"/>
  <c r="AR5" i="8" s="1"/>
  <c r="AR28" i="10" s="1"/>
  <c r="AQ5" i="8" a="1"/>
  <c r="AQ5" i="8" s="1"/>
  <c r="AQ28" i="10" s="1"/>
  <c r="AU4" i="8" a="1"/>
  <c r="AU4" i="8" s="1"/>
  <c r="AU27" i="10" s="1"/>
  <c r="AT4" i="8" a="1"/>
  <c r="AT4" i="8" s="1"/>
  <c r="AT27" i="10" s="1"/>
  <c r="AS4" i="8" a="1"/>
  <c r="AS4" i="8" s="1"/>
  <c r="AS27" i="10" s="1"/>
  <c r="AH67" i="10" s="1"/>
  <c r="AR4" i="8" a="1"/>
  <c r="AR4" i="8" s="1"/>
  <c r="AR27" i="10" s="1"/>
  <c r="AQ4" i="8" a="1"/>
  <c r="AQ4" i="8" s="1"/>
  <c r="AQ27" i="10" s="1"/>
  <c r="AO6" i="8" a="1"/>
  <c r="AO6" i="8" s="1"/>
  <c r="AO29" i="10" s="1"/>
  <c r="AN6" i="8" a="1"/>
  <c r="AN6" i="8" s="1"/>
  <c r="AN29" i="10" s="1"/>
  <c r="AM6" i="8" a="1"/>
  <c r="AM6" i="8" s="1"/>
  <c r="AM29" i="10" s="1"/>
  <c r="AL6" i="8" a="1"/>
  <c r="AL6" i="8" s="1"/>
  <c r="AL29" i="10" s="1"/>
  <c r="AK6" i="8" a="1"/>
  <c r="AK6" i="8" s="1"/>
  <c r="AK29" i="10" s="1"/>
  <c r="AO5" i="8" a="1"/>
  <c r="AO5" i="8" s="1"/>
  <c r="AO28" i="10" s="1"/>
  <c r="AN5" i="8" a="1"/>
  <c r="AN5" i="8" s="1"/>
  <c r="AN28" i="10" s="1"/>
  <c r="AM5" i="8" a="1"/>
  <c r="AM5" i="8" s="1"/>
  <c r="AM28" i="10" s="1"/>
  <c r="AL5" i="8" a="1"/>
  <c r="AL5" i="8" s="1"/>
  <c r="AL28" i="10" s="1"/>
  <c r="AK5" i="8" a="1"/>
  <c r="AK5" i="8" s="1"/>
  <c r="AK28" i="10" s="1"/>
  <c r="AO4" i="8" a="1"/>
  <c r="AO4" i="8" s="1"/>
  <c r="AO27" i="10" s="1"/>
  <c r="AN4" i="8" a="1"/>
  <c r="AN4" i="8" s="1"/>
  <c r="AN27" i="10" s="1"/>
  <c r="AM4" i="8" a="1"/>
  <c r="AM4" i="8" s="1"/>
  <c r="AM27" i="10" s="1"/>
  <c r="AL4" i="8" a="1"/>
  <c r="AL4" i="8" s="1"/>
  <c r="AL27" i="10" s="1"/>
  <c r="AG67" i="10" s="1"/>
  <c r="AK4" i="8" a="1"/>
  <c r="AK4" i="8" s="1"/>
  <c r="AK27" i="10" s="1"/>
  <c r="AI6" i="8" a="1"/>
  <c r="AI6" i="8" s="1"/>
  <c r="AI29" i="10" s="1"/>
  <c r="AH6" i="8" a="1"/>
  <c r="AH6" i="8" s="1"/>
  <c r="AH29" i="10" s="1"/>
  <c r="AG6" i="8" a="1"/>
  <c r="AG6" i="8" s="1"/>
  <c r="AG29" i="10" s="1"/>
  <c r="AF6" i="8" a="1"/>
  <c r="AF6" i="8" s="1"/>
  <c r="AF29" i="10" s="1"/>
  <c r="AE6" i="8" a="1"/>
  <c r="AE6" i="8" s="1"/>
  <c r="AE29" i="10" s="1"/>
  <c r="AI5" i="8" a="1"/>
  <c r="AI5" i="8" s="1"/>
  <c r="AI28" i="10" s="1"/>
  <c r="AH5" i="8" a="1"/>
  <c r="AH5" i="8" s="1"/>
  <c r="AH28" i="10" s="1"/>
  <c r="AG5" i="8" a="1"/>
  <c r="AG5" i="8" s="1"/>
  <c r="AG28" i="10" s="1"/>
  <c r="AF5" i="8" a="1"/>
  <c r="AF5" i="8" s="1"/>
  <c r="AF28" i="10" s="1"/>
  <c r="AE5" i="8" a="1"/>
  <c r="AE5" i="8" s="1"/>
  <c r="AE28" i="10" s="1"/>
  <c r="AI4" i="8" a="1"/>
  <c r="AI4" i="8" s="1"/>
  <c r="AI27" i="10" s="1"/>
  <c r="AH4" i="8" a="1"/>
  <c r="AH4" i="8" s="1"/>
  <c r="AH27" i="10" s="1"/>
  <c r="AG4" i="8" a="1"/>
  <c r="AG4" i="8" s="1"/>
  <c r="AG27" i="10" s="1"/>
  <c r="AF4" i="8" a="1"/>
  <c r="AF4" i="8" s="1"/>
  <c r="AF27" i="10" s="1"/>
  <c r="AE4" i="8" a="1"/>
  <c r="AE4" i="8" s="1"/>
  <c r="AE27" i="10" s="1"/>
  <c r="AF67" i="10" s="1"/>
  <c r="AC14" i="8" a="1"/>
  <c r="AC14" i="8" s="1"/>
  <c r="AC37" i="10" s="1"/>
  <c r="AD71" i="10" s="1"/>
  <c r="AB14" i="8" a="1"/>
  <c r="AB14" i="8" s="1"/>
  <c r="AB37" i="10" s="1"/>
  <c r="AA14" i="8" a="1"/>
  <c r="AA14" i="8" s="1"/>
  <c r="AA37" i="10" s="1"/>
  <c r="Z14" i="8" a="1"/>
  <c r="Z14" i="8" s="1"/>
  <c r="Z37" i="10" s="1"/>
  <c r="Y14" i="8" a="1"/>
  <c r="Y14" i="8" s="1"/>
  <c r="Y37" i="10" s="1"/>
  <c r="W14" i="8" a="1"/>
  <c r="W14" i="8" s="1"/>
  <c r="W37" i="10" s="1"/>
  <c r="V14" i="8" a="1"/>
  <c r="V14" i="8" s="1"/>
  <c r="V37" i="10" s="1"/>
  <c r="AC71" i="10" s="1"/>
  <c r="U14" i="8" a="1"/>
  <c r="U14" i="8" s="1"/>
  <c r="U37" i="10" s="1"/>
  <c r="T14" i="8" a="1"/>
  <c r="T14" i="8" s="1"/>
  <c r="T37" i="10" s="1"/>
  <c r="S14" i="8" a="1"/>
  <c r="S14" i="8" s="1"/>
  <c r="S37" i="10" s="1"/>
  <c r="Q14" i="8" a="1"/>
  <c r="Q14" i="8" s="1"/>
  <c r="Q37" i="10" s="1"/>
  <c r="P14" i="8" a="1"/>
  <c r="P14" i="8" s="1"/>
  <c r="P37" i="10" s="1"/>
  <c r="O14" i="8" a="1"/>
  <c r="O14" i="8" s="1"/>
  <c r="O37" i="10" s="1"/>
  <c r="AB71" i="10" s="1"/>
  <c r="N14" i="8" a="1"/>
  <c r="N14" i="8" s="1"/>
  <c r="N37" i="10" s="1"/>
  <c r="M14" i="8" a="1"/>
  <c r="M14" i="8" s="1"/>
  <c r="M37" i="10" s="1"/>
  <c r="K14" i="8" a="1"/>
  <c r="K14" i="8" s="1"/>
  <c r="K37" i="10" s="1"/>
  <c r="J14" i="8" a="1"/>
  <c r="J14" i="8" s="1"/>
  <c r="J37" i="10" s="1"/>
  <c r="I14" i="8" a="1"/>
  <c r="I14" i="8" s="1"/>
  <c r="I37" i="10" s="1"/>
  <c r="H14" i="8" a="1"/>
  <c r="H14" i="8" s="1"/>
  <c r="H37" i="10" s="1"/>
  <c r="AA71" i="10" s="1"/>
  <c r="G14" i="8" a="1"/>
  <c r="G14" i="8" s="1"/>
  <c r="G37" i="10" s="1"/>
  <c r="E14" i="8" a="1"/>
  <c r="E14" i="8" s="1"/>
  <c r="E37" i="10" s="1"/>
  <c r="D14" i="8" a="1"/>
  <c r="D14" i="8" s="1"/>
  <c r="D37" i="10" s="1"/>
  <c r="C14" i="8" a="1"/>
  <c r="C14" i="8" s="1"/>
  <c r="C37" i="10" s="1"/>
  <c r="B14" i="8" a="1"/>
  <c r="B14" i="8" s="1"/>
  <c r="B37" i="10" s="1"/>
  <c r="A14" i="8" a="1"/>
  <c r="A14" i="8" s="1"/>
  <c r="A37" i="10" s="1"/>
  <c r="Z71" i="10" s="1"/>
  <c r="AC13" i="8" a="1"/>
  <c r="AC13" i="8" s="1"/>
  <c r="AC36" i="10" s="1"/>
  <c r="AB13" i="8" a="1"/>
  <c r="AB13" i="8" s="1"/>
  <c r="AB36" i="10" s="1"/>
  <c r="AA13" i="8" a="1"/>
  <c r="AA13" i="8" s="1"/>
  <c r="AA36" i="10" s="1"/>
  <c r="Z13" i="8" a="1"/>
  <c r="Z13" i="8" s="1"/>
  <c r="Z36" i="10" s="1"/>
  <c r="Y13" i="8" a="1"/>
  <c r="Y13" i="8" s="1"/>
  <c r="Y36" i="10" s="1"/>
  <c r="W13" i="8" a="1"/>
  <c r="W13" i="8" s="1"/>
  <c r="W36" i="10" s="1"/>
  <c r="V13" i="8" a="1"/>
  <c r="V13" i="8" s="1"/>
  <c r="V36" i="10" s="1"/>
  <c r="U13" i="8" a="1"/>
  <c r="U13" i="8" s="1"/>
  <c r="U36" i="10" s="1"/>
  <c r="T13" i="8" a="1"/>
  <c r="T13" i="8" s="1"/>
  <c r="T36" i="10" s="1"/>
  <c r="S13" i="8" a="1"/>
  <c r="S13" i="8" s="1"/>
  <c r="S36" i="10" s="1"/>
  <c r="Q13" i="8" a="1"/>
  <c r="Q13" i="8" s="1"/>
  <c r="Q36" i="10" s="1"/>
  <c r="P13" i="8" a="1"/>
  <c r="P13" i="8" s="1"/>
  <c r="P36" i="10" s="1"/>
  <c r="O13" i="8" a="1"/>
  <c r="O13" i="8" s="1"/>
  <c r="O36" i="10" s="1"/>
  <c r="N13" i="8" a="1"/>
  <c r="N13" i="8" s="1"/>
  <c r="N36" i="10" s="1"/>
  <c r="M13" i="8" a="1"/>
  <c r="M13" i="8" s="1"/>
  <c r="M36" i="10" s="1"/>
  <c r="K13" i="8" a="1"/>
  <c r="K13" i="8" s="1"/>
  <c r="K36" i="10" s="1"/>
  <c r="J13" i="8" a="1"/>
  <c r="J13" i="8" s="1"/>
  <c r="J36" i="10" s="1"/>
  <c r="I13" i="8" a="1"/>
  <c r="I13" i="8" s="1"/>
  <c r="I36" i="10" s="1"/>
  <c r="H13" i="8" a="1"/>
  <c r="H13" i="8" s="1"/>
  <c r="H36" i="10" s="1"/>
  <c r="G13" i="8" a="1"/>
  <c r="G13" i="8" s="1"/>
  <c r="G36" i="10" s="1"/>
  <c r="E13" i="8" a="1"/>
  <c r="E13" i="8" s="1"/>
  <c r="E36" i="10" s="1"/>
  <c r="D13" i="8" a="1"/>
  <c r="D13" i="8" s="1"/>
  <c r="D36" i="10" s="1"/>
  <c r="C13" i="8" a="1"/>
  <c r="C13" i="8" s="1"/>
  <c r="C36" i="10" s="1"/>
  <c r="B13" i="8" a="1"/>
  <c r="B13" i="8" s="1"/>
  <c r="B36" i="10" s="1"/>
  <c r="A13" i="8" a="1"/>
  <c r="A13" i="8" s="1"/>
  <c r="A36" i="10" s="1"/>
  <c r="AC12" i="8" a="1"/>
  <c r="AC12" i="8" s="1"/>
  <c r="AC35" i="10" s="1"/>
  <c r="AB12" i="8" a="1"/>
  <c r="AB12" i="8" s="1"/>
  <c r="AB35" i="10" s="1"/>
  <c r="AA12" i="8" a="1"/>
  <c r="AA12" i="8" s="1"/>
  <c r="AA35" i="10" s="1"/>
  <c r="Z12" i="8" a="1"/>
  <c r="Z12" i="8" s="1"/>
  <c r="Z35" i="10" s="1"/>
  <c r="Y12" i="8" a="1"/>
  <c r="Y12" i="8" s="1"/>
  <c r="Y35" i="10" s="1"/>
  <c r="W12" i="8" a="1"/>
  <c r="W12" i="8" s="1"/>
  <c r="W35" i="10" s="1"/>
  <c r="V12" i="8" a="1"/>
  <c r="V12" i="8" s="1"/>
  <c r="V35" i="10" s="1"/>
  <c r="U12" i="8" a="1"/>
  <c r="U12" i="8" s="1"/>
  <c r="U35" i="10" s="1"/>
  <c r="T12" i="8" a="1"/>
  <c r="T12" i="8" s="1"/>
  <c r="T35" i="10" s="1"/>
  <c r="S12" i="8" a="1"/>
  <c r="S12" i="8" s="1"/>
  <c r="S35" i="10" s="1"/>
  <c r="Q12" i="8" a="1"/>
  <c r="Q12" i="8" s="1"/>
  <c r="Q35" i="10" s="1"/>
  <c r="P12" i="8" a="1"/>
  <c r="P12" i="8" s="1"/>
  <c r="P35" i="10" s="1"/>
  <c r="O12" i="8" a="1"/>
  <c r="O12" i="8" s="1"/>
  <c r="O35" i="10" s="1"/>
  <c r="N12" i="8" a="1"/>
  <c r="N12" i="8" s="1"/>
  <c r="N35" i="10" s="1"/>
  <c r="M12" i="8" a="1"/>
  <c r="M12" i="8" s="1"/>
  <c r="M35" i="10" s="1"/>
  <c r="K12" i="8" a="1"/>
  <c r="K12" i="8" s="1"/>
  <c r="K35" i="10" s="1"/>
  <c r="J12" i="8" a="1"/>
  <c r="J12" i="8" s="1"/>
  <c r="J35" i="10" s="1"/>
  <c r="I12" i="8" a="1"/>
  <c r="I12" i="8" s="1"/>
  <c r="I35" i="10" s="1"/>
  <c r="H12" i="8" a="1"/>
  <c r="H12" i="8" s="1"/>
  <c r="H35" i="10" s="1"/>
  <c r="G12" i="8" a="1"/>
  <c r="G12" i="8" s="1"/>
  <c r="G35" i="10" s="1"/>
  <c r="E12" i="8" a="1"/>
  <c r="E12" i="8" s="1"/>
  <c r="E35" i="10" s="1"/>
  <c r="D12" i="8" a="1"/>
  <c r="D12" i="8" s="1"/>
  <c r="D35" i="10" s="1"/>
  <c r="C12" i="8" a="1"/>
  <c r="C12" i="8" s="1"/>
  <c r="C35" i="10" s="1"/>
  <c r="B12" i="8" a="1"/>
  <c r="B12" i="8" s="1"/>
  <c r="B35" i="10" s="1"/>
  <c r="A12" i="8" a="1"/>
  <c r="A12" i="8" s="1"/>
  <c r="A35" i="10" s="1"/>
  <c r="AC10" i="8" a="1"/>
  <c r="AC10" i="8" s="1"/>
  <c r="AC33" i="10" s="1"/>
  <c r="AB10" i="8" a="1"/>
  <c r="AB10" i="8" s="1"/>
  <c r="AB33" i="10" s="1"/>
  <c r="AA10" i="8" a="1"/>
  <c r="AA10" i="8" s="1"/>
  <c r="AA33" i="10" s="1"/>
  <c r="Z10" i="8" a="1"/>
  <c r="Z10" i="8" s="1"/>
  <c r="Z33" i="10" s="1"/>
  <c r="Y10" i="8" a="1"/>
  <c r="Y10" i="8" s="1"/>
  <c r="Y33" i="10" s="1"/>
  <c r="W10" i="8" a="1"/>
  <c r="W10" i="8" s="1"/>
  <c r="W33" i="10" s="1"/>
  <c r="V10" i="8" a="1"/>
  <c r="V10" i="8" s="1"/>
  <c r="V33" i="10" s="1"/>
  <c r="U10" i="8" a="1"/>
  <c r="U10" i="8" s="1"/>
  <c r="U33" i="10" s="1"/>
  <c r="T10" i="8" a="1"/>
  <c r="T10" i="8" s="1"/>
  <c r="T33" i="10" s="1"/>
  <c r="S10" i="8" a="1"/>
  <c r="S10" i="8" s="1"/>
  <c r="S33" i="10" s="1"/>
  <c r="Q10" i="8" a="1"/>
  <c r="Q10" i="8" s="1"/>
  <c r="Q33" i="10" s="1"/>
  <c r="P10" i="8" a="1"/>
  <c r="P10" i="8" s="1"/>
  <c r="P33" i="10" s="1"/>
  <c r="O10" i="8" a="1"/>
  <c r="O10" i="8" s="1"/>
  <c r="O33" i="10" s="1"/>
  <c r="N10" i="8" a="1"/>
  <c r="N10" i="8" s="1"/>
  <c r="N33" i="10" s="1"/>
  <c r="M10" i="8" a="1"/>
  <c r="M10" i="8" s="1"/>
  <c r="M33" i="10" s="1"/>
  <c r="K10" i="8" a="1"/>
  <c r="K10" i="8" s="1"/>
  <c r="K33" i="10" s="1"/>
  <c r="J10" i="8" a="1"/>
  <c r="J10" i="8" s="1"/>
  <c r="J33" i="10" s="1"/>
  <c r="I10" i="8" a="1"/>
  <c r="I10" i="8" s="1"/>
  <c r="I33" i="10" s="1"/>
  <c r="H10" i="8" a="1"/>
  <c r="H10" i="8" s="1"/>
  <c r="H33" i="10" s="1"/>
  <c r="G10" i="8" a="1"/>
  <c r="G10" i="8" s="1"/>
  <c r="G33" i="10" s="1"/>
  <c r="E10" i="8" a="1"/>
  <c r="E10" i="8" s="1"/>
  <c r="E33" i="10" s="1"/>
  <c r="D10" i="8" a="1"/>
  <c r="D10" i="8" s="1"/>
  <c r="D33" i="10" s="1"/>
  <c r="C10" i="8" a="1"/>
  <c r="C10" i="8" s="1"/>
  <c r="C33" i="10" s="1"/>
  <c r="B10" i="8" a="1"/>
  <c r="B10" i="8" s="1"/>
  <c r="B33" i="10" s="1"/>
  <c r="A10" i="8" a="1"/>
  <c r="A10" i="8" s="1"/>
  <c r="A33" i="10" s="1"/>
  <c r="AC9" i="8" a="1"/>
  <c r="AC9" i="8" s="1"/>
  <c r="AC32" i="10" s="1"/>
  <c r="AD69" i="10" s="1"/>
  <c r="AB9" i="8" a="1"/>
  <c r="AB9" i="8" s="1"/>
  <c r="AB32" i="10" s="1"/>
  <c r="AA9" i="8" a="1"/>
  <c r="AA9" i="8" s="1"/>
  <c r="AA32" i="10" s="1"/>
  <c r="Z9" i="8" a="1"/>
  <c r="Z9" i="8" s="1"/>
  <c r="Z32" i="10" s="1"/>
  <c r="Y9" i="8" a="1"/>
  <c r="Y9" i="8" s="1"/>
  <c r="Y32" i="10" s="1"/>
  <c r="W9" i="8" a="1"/>
  <c r="W9" i="8" s="1"/>
  <c r="W32" i="10" s="1"/>
  <c r="V9" i="8" a="1"/>
  <c r="V9" i="8" s="1"/>
  <c r="V32" i="10" s="1"/>
  <c r="AC69" i="10" s="1"/>
  <c r="U9" i="8" a="1"/>
  <c r="U9" i="8" s="1"/>
  <c r="U32" i="10" s="1"/>
  <c r="T9" i="8" a="1"/>
  <c r="T9" i="8" s="1"/>
  <c r="T32" i="10" s="1"/>
  <c r="S9" i="8" a="1"/>
  <c r="S9" i="8" s="1"/>
  <c r="S32" i="10" s="1"/>
  <c r="Q9" i="8" a="1"/>
  <c r="Q9" i="8" s="1"/>
  <c r="Q32" i="10" s="1"/>
  <c r="P9" i="8" a="1"/>
  <c r="P9" i="8" s="1"/>
  <c r="P32" i="10" s="1"/>
  <c r="O9" i="8" a="1"/>
  <c r="O9" i="8" s="1"/>
  <c r="O32" i="10" s="1"/>
  <c r="AB69" i="10" s="1"/>
  <c r="N9" i="8" a="1"/>
  <c r="N9" i="8" s="1"/>
  <c r="N32" i="10" s="1"/>
  <c r="M9" i="8" a="1"/>
  <c r="M9" i="8" s="1"/>
  <c r="M32" i="10" s="1"/>
  <c r="K9" i="8" a="1"/>
  <c r="K9" i="8" s="1"/>
  <c r="K32" i="10" s="1"/>
  <c r="J9" i="8" a="1"/>
  <c r="J9" i="8" s="1"/>
  <c r="J32" i="10" s="1"/>
  <c r="I9" i="8" a="1"/>
  <c r="I9" i="8" s="1"/>
  <c r="I32" i="10" s="1"/>
  <c r="H9" i="8" a="1"/>
  <c r="H9" i="8" s="1"/>
  <c r="H32" i="10" s="1"/>
  <c r="AA69" i="10" s="1"/>
  <c r="G9" i="8" a="1"/>
  <c r="G9" i="8" s="1"/>
  <c r="G32" i="10" s="1"/>
  <c r="E9" i="8" a="1"/>
  <c r="E9" i="8" s="1"/>
  <c r="E32" i="10" s="1"/>
  <c r="D9" i="8" a="1"/>
  <c r="D9" i="8" s="1"/>
  <c r="D32" i="10" s="1"/>
  <c r="C9" i="8" a="1"/>
  <c r="C9" i="8" s="1"/>
  <c r="C32" i="10" s="1"/>
  <c r="B9" i="8" a="1"/>
  <c r="B9" i="8" s="1"/>
  <c r="B32" i="10" s="1"/>
  <c r="A9" i="8" a="1"/>
  <c r="A9" i="8" s="1"/>
  <c r="A32" i="10" s="1"/>
  <c r="Z69" i="10" s="1"/>
  <c r="AC8" i="8" a="1"/>
  <c r="AC8" i="8" s="1"/>
  <c r="AC31" i="10" s="1"/>
  <c r="AB8" i="8" a="1"/>
  <c r="AB8" i="8" s="1"/>
  <c r="AB31" i="10" s="1"/>
  <c r="AA8" i="8" a="1"/>
  <c r="AA8" i="8" s="1"/>
  <c r="AA31" i="10" s="1"/>
  <c r="Z8" i="8" a="1"/>
  <c r="Z8" i="8" s="1"/>
  <c r="Z31" i="10" s="1"/>
  <c r="Y8" i="8" a="1"/>
  <c r="Y8" i="8" s="1"/>
  <c r="Y31" i="10" s="1"/>
  <c r="W8" i="8" a="1"/>
  <c r="W8" i="8" s="1"/>
  <c r="W31" i="10" s="1"/>
  <c r="V8" i="8" a="1"/>
  <c r="V8" i="8" s="1"/>
  <c r="V31" i="10" s="1"/>
  <c r="U8" i="8" a="1"/>
  <c r="U8" i="8" s="1"/>
  <c r="U31" i="10" s="1"/>
  <c r="T8" i="8" a="1"/>
  <c r="T8" i="8" s="1"/>
  <c r="T31" i="10" s="1"/>
  <c r="S8" i="8" a="1"/>
  <c r="S8" i="8" s="1"/>
  <c r="S31" i="10" s="1"/>
  <c r="Q8" i="8" a="1"/>
  <c r="Q8" i="8" s="1"/>
  <c r="Q31" i="10" s="1"/>
  <c r="P8" i="8" a="1"/>
  <c r="P8" i="8" s="1"/>
  <c r="P31" i="10" s="1"/>
  <c r="O8" i="8" a="1"/>
  <c r="O8" i="8" s="1"/>
  <c r="O31" i="10" s="1"/>
  <c r="N8" i="8" a="1"/>
  <c r="N8" i="8" s="1"/>
  <c r="N31" i="10" s="1"/>
  <c r="M8" i="8" a="1"/>
  <c r="M8" i="8" s="1"/>
  <c r="M31" i="10" s="1"/>
  <c r="K8" i="8" a="1"/>
  <c r="K8" i="8" s="1"/>
  <c r="K31" i="10" s="1"/>
  <c r="J8" i="8" a="1"/>
  <c r="J8" i="8" s="1"/>
  <c r="J31" i="10" s="1"/>
  <c r="I8" i="8" a="1"/>
  <c r="I8" i="8" s="1"/>
  <c r="I31" i="10" s="1"/>
  <c r="H8" i="8" a="1"/>
  <c r="H8" i="8" s="1"/>
  <c r="H31" i="10" s="1"/>
  <c r="G8" i="8" a="1"/>
  <c r="G8" i="8" s="1"/>
  <c r="G31" i="10" s="1"/>
  <c r="E8" i="8" a="1"/>
  <c r="E8" i="8" s="1"/>
  <c r="E31" i="10" s="1"/>
  <c r="D8" i="8" a="1"/>
  <c r="D8" i="8" s="1"/>
  <c r="D31" i="10" s="1"/>
  <c r="C8" i="8" a="1"/>
  <c r="C8" i="8" s="1"/>
  <c r="C31" i="10" s="1"/>
  <c r="B8" i="8" a="1"/>
  <c r="B8" i="8" s="1"/>
  <c r="B31" i="10" s="1"/>
  <c r="A8" i="8" a="1"/>
  <c r="A8" i="8" s="1"/>
  <c r="A31" i="10" s="1"/>
  <c r="AC6" i="8" a="1"/>
  <c r="AC6" i="8" s="1"/>
  <c r="AC29" i="10" s="1"/>
  <c r="AB6" i="8" a="1"/>
  <c r="AB6" i="8" s="1"/>
  <c r="AB29" i="10" s="1"/>
  <c r="AA6" i="8" a="1"/>
  <c r="AA6" i="8" s="1"/>
  <c r="AA29" i="10" s="1"/>
  <c r="Z6" i="8" a="1"/>
  <c r="Z6" i="8" s="1"/>
  <c r="Z29" i="10" s="1"/>
  <c r="Y6" i="8" a="1"/>
  <c r="Y6" i="8" s="1"/>
  <c r="Y29" i="10" s="1"/>
  <c r="W6" i="8" a="1"/>
  <c r="W6" i="8" s="1"/>
  <c r="W29" i="10" s="1"/>
  <c r="V6" i="8" a="1"/>
  <c r="V6" i="8" s="1"/>
  <c r="V29" i="10" s="1"/>
  <c r="U6" i="8" a="1"/>
  <c r="U6" i="8" s="1"/>
  <c r="U29" i="10" s="1"/>
  <c r="T6" i="8" a="1"/>
  <c r="T6" i="8" s="1"/>
  <c r="T29" i="10" s="1"/>
  <c r="S6" i="8" a="1"/>
  <c r="S6" i="8" s="1"/>
  <c r="S29" i="10" s="1"/>
  <c r="AC5" i="8" a="1"/>
  <c r="AC5" i="8" s="1"/>
  <c r="AC28" i="10" s="1"/>
  <c r="AB5" i="8" a="1"/>
  <c r="AB5" i="8" s="1"/>
  <c r="AB28" i="10" s="1"/>
  <c r="AA5" i="8" a="1"/>
  <c r="AA5" i="8" s="1"/>
  <c r="AA28" i="10" s="1"/>
  <c r="Z5" i="8" a="1"/>
  <c r="Z5" i="8" s="1"/>
  <c r="Z28" i="10" s="1"/>
  <c r="Y5" i="8" a="1"/>
  <c r="Y5" i="8" s="1"/>
  <c r="Y28" i="10" s="1"/>
  <c r="W5" i="8" a="1"/>
  <c r="W5" i="8" s="1"/>
  <c r="W28" i="10" s="1"/>
  <c r="V5" i="8" a="1"/>
  <c r="V5" i="8" s="1"/>
  <c r="V28" i="10" s="1"/>
  <c r="U5" i="8" a="1"/>
  <c r="U5" i="8" s="1"/>
  <c r="U28" i="10" s="1"/>
  <c r="T5" i="8" a="1"/>
  <c r="T5" i="8" s="1"/>
  <c r="T28" i="10" s="1"/>
  <c r="S5" i="8" a="1"/>
  <c r="S5" i="8" s="1"/>
  <c r="S28" i="10" s="1"/>
  <c r="AC4" i="8" a="1"/>
  <c r="AC4" i="8" s="1"/>
  <c r="AC27" i="10" s="1"/>
  <c r="AD67" i="10" s="1"/>
  <c r="AB4" i="8" a="1"/>
  <c r="AB4" i="8" s="1"/>
  <c r="AB27" i="10" s="1"/>
  <c r="AA4" i="8" a="1"/>
  <c r="AA4" i="8" s="1"/>
  <c r="AA27" i="10" s="1"/>
  <c r="Z4" i="8" a="1"/>
  <c r="Z4" i="8" s="1"/>
  <c r="Z27" i="10" s="1"/>
  <c r="Y4" i="8" a="1"/>
  <c r="Y4" i="8" s="1"/>
  <c r="Y27" i="10" s="1"/>
  <c r="W4" i="8" a="1"/>
  <c r="W4" i="8" s="1"/>
  <c r="W27" i="10" s="1"/>
  <c r="V4" i="8" a="1"/>
  <c r="V4" i="8" s="1"/>
  <c r="V27" i="10" s="1"/>
  <c r="AC67" i="10" s="1"/>
  <c r="U4" i="8" a="1"/>
  <c r="U4" i="8" s="1"/>
  <c r="U27" i="10" s="1"/>
  <c r="T4" i="8" a="1"/>
  <c r="T4" i="8" s="1"/>
  <c r="T27" i="10" s="1"/>
  <c r="S4" i="8" a="1"/>
  <c r="S4" i="8" s="1"/>
  <c r="S27" i="10" s="1"/>
  <c r="Q6" i="8" a="1"/>
  <c r="Q6" i="8" s="1"/>
  <c r="Q29" i="10" s="1"/>
  <c r="P6" i="8" a="1"/>
  <c r="P6" i="8" s="1"/>
  <c r="P29" i="10" s="1"/>
  <c r="O6" i="8" a="1"/>
  <c r="O6" i="8" s="1"/>
  <c r="O29" i="10" s="1"/>
  <c r="N6" i="8" a="1"/>
  <c r="N6" i="8" s="1"/>
  <c r="N29" i="10" s="1"/>
  <c r="M6" i="8" a="1"/>
  <c r="M6" i="8" s="1"/>
  <c r="M29" i="10" s="1"/>
  <c r="Q5" i="8" a="1"/>
  <c r="Q5" i="8" s="1"/>
  <c r="Q28" i="10" s="1"/>
  <c r="P5" i="8" a="1"/>
  <c r="P5" i="8" s="1"/>
  <c r="P28" i="10" s="1"/>
  <c r="O5" i="8" a="1"/>
  <c r="O5" i="8" s="1"/>
  <c r="O28" i="10" s="1"/>
  <c r="N5" i="8" a="1"/>
  <c r="N5" i="8" s="1"/>
  <c r="N28" i="10" s="1"/>
  <c r="M5" i="8" a="1"/>
  <c r="M5" i="8" s="1"/>
  <c r="M28" i="10" s="1"/>
  <c r="Q4" i="8" a="1"/>
  <c r="Q4" i="8" s="1"/>
  <c r="Q27" i="10" s="1"/>
  <c r="P4" i="8" a="1"/>
  <c r="P4" i="8" s="1"/>
  <c r="P27" i="10" s="1"/>
  <c r="O4" i="8" a="1"/>
  <c r="O4" i="8" s="1"/>
  <c r="O27" i="10" s="1"/>
  <c r="AB67" i="10" s="1"/>
  <c r="N4" i="8" a="1"/>
  <c r="N4" i="8" s="1"/>
  <c r="N27" i="10" s="1"/>
  <c r="M4" i="8" a="1"/>
  <c r="M4" i="8" s="1"/>
  <c r="M27" i="10" s="1"/>
  <c r="K6" i="8" a="1"/>
  <c r="K6" i="8" s="1"/>
  <c r="K29" i="10" s="1"/>
  <c r="J6" i="8" a="1"/>
  <c r="J6" i="8" s="1"/>
  <c r="J29" i="10" s="1"/>
  <c r="I6" i="8" a="1"/>
  <c r="I6" i="8" s="1"/>
  <c r="I29" i="10" s="1"/>
  <c r="H6" i="8" a="1"/>
  <c r="H6" i="8" s="1"/>
  <c r="H29" i="10" s="1"/>
  <c r="G6" i="8" a="1"/>
  <c r="G6" i="8" s="1"/>
  <c r="G29" i="10" s="1"/>
  <c r="K5" i="8" a="1"/>
  <c r="K5" i="8" s="1"/>
  <c r="K28" i="10" s="1"/>
  <c r="J5" i="8" a="1"/>
  <c r="J5" i="8" s="1"/>
  <c r="J28" i="10" s="1"/>
  <c r="I5" i="8" a="1"/>
  <c r="I5" i="8" s="1"/>
  <c r="I28" i="10" s="1"/>
  <c r="H5" i="8" a="1"/>
  <c r="H5" i="8" s="1"/>
  <c r="H28" i="10" s="1"/>
  <c r="G5" i="8" a="1"/>
  <c r="G5" i="8" s="1"/>
  <c r="G28" i="10" s="1"/>
  <c r="K4" i="8" a="1"/>
  <c r="K4" i="8" s="1"/>
  <c r="K27" i="10" s="1"/>
  <c r="J4" i="8" a="1"/>
  <c r="J4" i="8" s="1"/>
  <c r="J27" i="10" s="1"/>
  <c r="I4" i="8" a="1"/>
  <c r="I4" i="8" s="1"/>
  <c r="I27" i="10" s="1"/>
  <c r="H4" i="8" a="1"/>
  <c r="H4" i="8" s="1"/>
  <c r="H27" i="10" s="1"/>
  <c r="AA67" i="10" s="1"/>
  <c r="G4" i="8" a="1"/>
  <c r="G4" i="8" s="1"/>
  <c r="G27" i="10" s="1"/>
  <c r="E6" i="8" a="1"/>
  <c r="E6" i="8" s="1"/>
  <c r="E29" i="10" s="1"/>
  <c r="D6" i="8" a="1"/>
  <c r="D6" i="8" s="1"/>
  <c r="D29" i="10" s="1"/>
  <c r="C6" i="8" a="1"/>
  <c r="C6" i="8" s="1"/>
  <c r="C29" i="10" s="1"/>
  <c r="B6" i="8" a="1"/>
  <c r="B6" i="8" s="1"/>
  <c r="B29" i="10" s="1"/>
  <c r="A6" i="8" a="1"/>
  <c r="A6" i="8" s="1"/>
  <c r="A29" i="10" s="1"/>
  <c r="E5" i="8" a="1"/>
  <c r="E5" i="8" s="1"/>
  <c r="E28" i="10" s="1"/>
  <c r="D5" i="8" a="1"/>
  <c r="D5" i="8" s="1"/>
  <c r="D28" i="10" s="1"/>
  <c r="C5" i="8" a="1"/>
  <c r="C5" i="8" s="1"/>
  <c r="C28" i="10" s="1"/>
  <c r="B5" i="8" a="1"/>
  <c r="B5" i="8" s="1"/>
  <c r="B28" i="10" s="1"/>
  <c r="A5" i="8" a="1"/>
  <c r="A5" i="8" s="1"/>
  <c r="A28" i="10" s="1"/>
  <c r="E4" i="8" a="1"/>
  <c r="E4" i="8" s="1"/>
  <c r="E27" i="10" s="1"/>
  <c r="D4" i="8" a="1"/>
  <c r="D4" i="8" s="1"/>
  <c r="D27" i="10" s="1"/>
  <c r="C4" i="8" a="1"/>
  <c r="C4" i="8" s="1"/>
  <c r="C27" i="10" s="1"/>
  <c r="B4" i="8" a="1"/>
  <c r="B4" i="8" s="1"/>
  <c r="B27" i="10" s="1"/>
  <c r="F4" i="10"/>
  <c r="E4" i="10"/>
  <c r="B4" i="10"/>
  <c r="F3" i="10"/>
  <c r="E3" i="10"/>
  <c r="B3" i="10"/>
  <c r="F2" i="10"/>
  <c r="E2" i="10"/>
  <c r="B2" i="10"/>
  <c r="L1" i="12"/>
  <c r="M1" i="12"/>
  <c r="B2" i="12"/>
  <c r="C2" i="12"/>
  <c r="B3" i="12"/>
  <c r="C3" i="12"/>
  <c r="B4" i="12"/>
  <c r="C4" i="12"/>
  <c r="B5" i="12"/>
  <c r="C5" i="12"/>
  <c r="B6" i="12"/>
  <c r="C6" i="12"/>
  <c r="B7" i="12"/>
  <c r="C7" i="12"/>
  <c r="B8" i="12"/>
  <c r="C8" i="12"/>
  <c r="B9" i="12"/>
  <c r="C9" i="12"/>
  <c r="B10" i="12"/>
  <c r="C10" i="12"/>
  <c r="B11" i="12"/>
  <c r="C11" i="12"/>
  <c r="B12" i="12"/>
  <c r="C12" i="12"/>
  <c r="B13" i="12"/>
  <c r="C13" i="12"/>
  <c r="B14" i="12"/>
  <c r="C14" i="12"/>
  <c r="B15" i="12"/>
  <c r="C15" i="12"/>
  <c r="B16" i="12"/>
  <c r="C16" i="12"/>
  <c r="B17" i="12"/>
  <c r="C17" i="12"/>
  <c r="B18" i="12"/>
  <c r="C18" i="12"/>
  <c r="B19" i="12"/>
  <c r="C19" i="12"/>
  <c r="B20" i="12"/>
  <c r="C20" i="12"/>
  <c r="B21" i="12"/>
  <c r="C21" i="12"/>
  <c r="B22" i="12"/>
  <c r="C22" i="12"/>
  <c r="B23" i="12"/>
  <c r="C23" i="12"/>
  <c r="B24" i="12"/>
  <c r="C24" i="12"/>
  <c r="B25" i="12"/>
  <c r="C25" i="12"/>
  <c r="B26" i="12"/>
  <c r="C26" i="12"/>
  <c r="B27" i="12"/>
  <c r="C27" i="12"/>
  <c r="B28" i="12"/>
  <c r="C28" i="12"/>
  <c r="B29" i="12"/>
  <c r="C29" i="12"/>
  <c r="B30" i="12"/>
  <c r="C30" i="12"/>
  <c r="B31" i="12"/>
  <c r="C31" i="12"/>
  <c r="B32" i="12"/>
  <c r="C32" i="12"/>
  <c r="B33" i="12"/>
  <c r="C33" i="12"/>
  <c r="B34" i="12"/>
  <c r="C34" i="12"/>
  <c r="B35" i="12"/>
  <c r="C35" i="12"/>
  <c r="B36" i="12"/>
  <c r="C36" i="12"/>
  <c r="B37" i="12"/>
  <c r="C37" i="12"/>
  <c r="B38" i="12"/>
  <c r="C38" i="12"/>
  <c r="B39" i="12"/>
  <c r="C39" i="12"/>
  <c r="B40" i="12"/>
  <c r="C40" i="12"/>
  <c r="B41" i="12"/>
  <c r="C41" i="12"/>
  <c r="B42" i="12"/>
  <c r="C42" i="12"/>
  <c r="B43" i="12"/>
  <c r="C43" i="12"/>
  <c r="B44" i="12"/>
  <c r="C44" i="12"/>
  <c r="B45" i="12"/>
  <c r="C45" i="12"/>
  <c r="B46" i="12"/>
  <c r="C46" i="12"/>
  <c r="B47" i="12"/>
  <c r="C47" i="12"/>
  <c r="B48" i="12"/>
  <c r="C48" i="12"/>
  <c r="B49" i="12"/>
  <c r="C49" i="12"/>
  <c r="B50" i="12"/>
  <c r="C50" i="12"/>
  <c r="B51" i="12"/>
  <c r="C51" i="12"/>
  <c r="B52" i="12"/>
  <c r="C52" i="12"/>
  <c r="B53" i="12"/>
  <c r="C53" i="12"/>
  <c r="B54" i="12"/>
  <c r="C54" i="12"/>
  <c r="B55" i="12"/>
  <c r="C55" i="12"/>
  <c r="B56" i="12"/>
  <c r="C56" i="12"/>
  <c r="B57" i="12"/>
  <c r="C57" i="12"/>
  <c r="B58" i="12"/>
  <c r="C58" i="12"/>
  <c r="B59" i="12"/>
  <c r="C59" i="12"/>
  <c r="B60" i="12"/>
  <c r="C60" i="12"/>
  <c r="B61" i="12"/>
  <c r="C61" i="12"/>
  <c r="B62" i="12"/>
  <c r="C62" i="12"/>
  <c r="B63" i="12"/>
  <c r="C63" i="12"/>
  <c r="B64" i="12"/>
  <c r="C64" i="12"/>
  <c r="B65" i="12"/>
  <c r="C65" i="12"/>
  <c r="B66" i="12"/>
  <c r="C66" i="12"/>
  <c r="B67" i="12"/>
  <c r="C67" i="12"/>
  <c r="B68" i="12"/>
  <c r="C68" i="12"/>
  <c r="B69" i="12"/>
  <c r="C69" i="12"/>
  <c r="B70" i="12"/>
  <c r="C70" i="12"/>
  <c r="B71" i="12"/>
  <c r="C71" i="12"/>
  <c r="B72" i="12"/>
  <c r="C72" i="12"/>
  <c r="B73" i="12"/>
  <c r="C73" i="12"/>
  <c r="B74" i="12"/>
  <c r="C74" i="12"/>
  <c r="B75" i="12"/>
  <c r="C75" i="12"/>
  <c r="B76" i="12"/>
  <c r="C76" i="12"/>
  <c r="B77" i="12"/>
  <c r="C77" i="12"/>
  <c r="B78" i="12"/>
  <c r="C78" i="12"/>
  <c r="B79" i="12"/>
  <c r="C79" i="12"/>
  <c r="B80" i="12"/>
  <c r="C80" i="12"/>
  <c r="B81" i="12"/>
  <c r="C81" i="12"/>
  <c r="B82" i="12"/>
  <c r="C82" i="12"/>
  <c r="B83" i="12"/>
  <c r="C83" i="12"/>
  <c r="B84" i="12"/>
  <c r="C84" i="12"/>
  <c r="B85" i="12"/>
  <c r="C85" i="12"/>
  <c r="B86" i="12"/>
  <c r="C86" i="12"/>
  <c r="B87" i="12"/>
  <c r="C87" i="12"/>
  <c r="B88" i="12"/>
  <c r="C88" i="12"/>
  <c r="B89" i="12"/>
  <c r="C89" i="12"/>
  <c r="B90" i="12"/>
  <c r="C90" i="12"/>
  <c r="B91" i="12"/>
  <c r="C91" i="12"/>
  <c r="B92" i="12"/>
  <c r="C92" i="12"/>
  <c r="B93" i="12"/>
  <c r="C93" i="12"/>
  <c r="B94" i="12"/>
  <c r="C94" i="12"/>
  <c r="B95" i="12"/>
  <c r="C95" i="12"/>
  <c r="B96" i="12"/>
  <c r="C96" i="12"/>
  <c r="B97" i="12"/>
  <c r="C97" i="12"/>
  <c r="B98" i="12"/>
  <c r="C98" i="12"/>
  <c r="B99" i="12"/>
  <c r="C99" i="12"/>
  <c r="B100" i="12"/>
  <c r="C100" i="12"/>
  <c r="B101" i="12"/>
  <c r="C101" i="12"/>
  <c r="B102" i="12"/>
  <c r="C102" i="12"/>
  <c r="B103" i="12"/>
  <c r="C103" i="12"/>
  <c r="B104" i="12"/>
  <c r="C104" i="12"/>
  <c r="B105" i="12"/>
  <c r="C105" i="12"/>
  <c r="B106" i="12"/>
  <c r="C106" i="12"/>
  <c r="B107" i="12"/>
  <c r="C107" i="12"/>
  <c r="B108" i="12"/>
  <c r="C108" i="12"/>
  <c r="B109" i="12"/>
  <c r="C109" i="12"/>
  <c r="B110" i="12"/>
  <c r="C110" i="12"/>
  <c r="B111" i="12"/>
  <c r="C111" i="12"/>
  <c r="B112" i="12"/>
  <c r="C112" i="12"/>
  <c r="B113" i="12"/>
  <c r="C113" i="12"/>
  <c r="B114" i="12"/>
  <c r="C114" i="12"/>
  <c r="B115" i="12"/>
  <c r="C115" i="12"/>
  <c r="B116" i="12"/>
  <c r="C116" i="12"/>
  <c r="B117" i="12"/>
  <c r="C117" i="12"/>
  <c r="B118" i="12"/>
  <c r="C118" i="12"/>
  <c r="B119" i="12"/>
  <c r="C119" i="12"/>
  <c r="B120" i="12"/>
  <c r="C120" i="12"/>
  <c r="B121" i="12"/>
  <c r="C121" i="12"/>
  <c r="B122" i="12"/>
  <c r="C122" i="12"/>
  <c r="B123" i="12"/>
  <c r="C123" i="12"/>
  <c r="B124" i="12"/>
  <c r="C124" i="12"/>
  <c r="B125" i="12"/>
  <c r="C125" i="12"/>
  <c r="B126" i="12"/>
  <c r="C126" i="12"/>
  <c r="B127" i="12"/>
  <c r="C127" i="12"/>
  <c r="B128" i="12"/>
  <c r="C128" i="12"/>
  <c r="B129" i="12"/>
  <c r="C129" i="12"/>
  <c r="B130" i="12"/>
  <c r="C130" i="12"/>
  <c r="B131" i="12"/>
  <c r="C131" i="12"/>
  <c r="B132" i="12"/>
  <c r="C132" i="12"/>
  <c r="B133" i="12"/>
  <c r="C133" i="12"/>
  <c r="B134" i="12"/>
  <c r="C134" i="12"/>
  <c r="B135" i="12"/>
  <c r="C135" i="12"/>
  <c r="B136" i="12"/>
  <c r="C136" i="12"/>
  <c r="B137" i="12"/>
  <c r="C137" i="12"/>
  <c r="B138" i="12"/>
  <c r="C138" i="12"/>
  <c r="B139" i="12"/>
  <c r="C139" i="12"/>
  <c r="B140" i="12"/>
  <c r="C140" i="12"/>
  <c r="B141" i="12"/>
  <c r="C141" i="12"/>
  <c r="B142" i="12"/>
  <c r="C142" i="12"/>
  <c r="B143" i="12"/>
  <c r="C143" i="12"/>
  <c r="B144" i="12"/>
  <c r="C144" i="12"/>
  <c r="B145" i="12"/>
  <c r="C145" i="12"/>
  <c r="B146" i="12"/>
  <c r="C146" i="12"/>
  <c r="B147" i="12"/>
  <c r="C147" i="12"/>
  <c r="B148" i="12"/>
  <c r="C148" i="12"/>
  <c r="B149" i="12"/>
  <c r="C149" i="12"/>
  <c r="B150" i="12"/>
  <c r="C150" i="12"/>
  <c r="B151" i="12"/>
  <c r="C151" i="12"/>
  <c r="B152" i="12"/>
  <c r="C152" i="12"/>
  <c r="B153" i="12"/>
  <c r="C153" i="12"/>
  <c r="B154" i="12"/>
  <c r="C154" i="12"/>
  <c r="B155" i="12"/>
  <c r="C155" i="12"/>
  <c r="B156" i="12"/>
  <c r="C156" i="12"/>
  <c r="B157" i="12"/>
  <c r="C157" i="12"/>
  <c r="B158" i="12"/>
  <c r="C158" i="12"/>
  <c r="B159" i="12"/>
  <c r="C159" i="12"/>
  <c r="B160" i="12"/>
  <c r="C160" i="12"/>
  <c r="B161" i="12"/>
  <c r="C161" i="12"/>
  <c r="B162" i="12"/>
  <c r="C162" i="12"/>
  <c r="B163" i="12"/>
  <c r="C163" i="12"/>
  <c r="B164" i="12"/>
  <c r="C164" i="12"/>
  <c r="B165" i="12"/>
  <c r="C165" i="12"/>
  <c r="B166" i="12"/>
  <c r="C166" i="12"/>
  <c r="B167" i="12"/>
  <c r="C167" i="12"/>
  <c r="B168" i="12"/>
  <c r="C168" i="12"/>
  <c r="B169" i="12"/>
  <c r="C169" i="12"/>
  <c r="B170" i="12"/>
  <c r="C170" i="12"/>
  <c r="B171" i="12"/>
  <c r="C171" i="12"/>
  <c r="B172" i="12"/>
  <c r="C172" i="12"/>
  <c r="B173" i="12"/>
  <c r="C173" i="12"/>
  <c r="B174" i="12"/>
  <c r="C174" i="12"/>
  <c r="B175" i="12"/>
  <c r="C175" i="12"/>
  <c r="B176" i="12"/>
  <c r="C176" i="12"/>
  <c r="B177" i="12"/>
  <c r="C177" i="12"/>
  <c r="B178" i="12"/>
  <c r="C178" i="12"/>
  <c r="B179" i="12"/>
  <c r="C179" i="12"/>
  <c r="B180" i="12"/>
  <c r="C180" i="12"/>
  <c r="B181" i="12"/>
  <c r="C181" i="12"/>
  <c r="B182" i="12"/>
  <c r="C182" i="12"/>
  <c r="B183" i="12"/>
  <c r="C183" i="12"/>
  <c r="B184" i="12"/>
  <c r="C184" i="12"/>
  <c r="B185" i="12"/>
  <c r="C185" i="12"/>
  <c r="B186" i="12"/>
  <c r="C186" i="12"/>
  <c r="B187" i="12"/>
  <c r="C187" i="12"/>
  <c r="B188" i="12"/>
  <c r="C188" i="12"/>
  <c r="B189" i="12"/>
  <c r="C189" i="12"/>
  <c r="B190" i="12"/>
  <c r="C190" i="12"/>
  <c r="B191" i="12"/>
  <c r="C191" i="12"/>
  <c r="B192" i="12"/>
  <c r="C192" i="12"/>
  <c r="B193" i="12"/>
  <c r="C193" i="12"/>
  <c r="B194" i="12"/>
  <c r="C194" i="12"/>
  <c r="B195" i="12"/>
  <c r="C195" i="12"/>
  <c r="B196" i="12"/>
  <c r="C196" i="12"/>
  <c r="B197" i="12"/>
  <c r="C197" i="12"/>
  <c r="B198" i="12"/>
  <c r="C198" i="12"/>
  <c r="B199" i="12"/>
  <c r="C199" i="12"/>
  <c r="B200" i="12"/>
  <c r="C200" i="12"/>
  <c r="B201" i="12"/>
  <c r="C201" i="12"/>
  <c r="B202" i="12"/>
  <c r="C202" i="12"/>
  <c r="B203" i="12"/>
  <c r="C203" i="12"/>
  <c r="B204" i="12"/>
  <c r="C204" i="12"/>
  <c r="B205" i="12"/>
  <c r="C205" i="12"/>
  <c r="B206" i="12"/>
  <c r="C206" i="12"/>
  <c r="B207" i="12"/>
  <c r="C207" i="12"/>
  <c r="B208" i="12"/>
  <c r="C208" i="12"/>
  <c r="B209" i="12"/>
  <c r="C209" i="12"/>
  <c r="B210" i="12"/>
  <c r="C210" i="12"/>
  <c r="B211" i="12"/>
  <c r="C211" i="12"/>
  <c r="B212" i="12"/>
  <c r="C212" i="12"/>
  <c r="B213" i="12"/>
  <c r="C213" i="12"/>
  <c r="B214" i="12"/>
  <c r="C214" i="12"/>
  <c r="B215" i="12"/>
  <c r="C215" i="12"/>
  <c r="B216" i="12"/>
  <c r="C216" i="12"/>
  <c r="B217" i="12"/>
  <c r="C217" i="12"/>
  <c r="B218" i="12"/>
  <c r="C218" i="12"/>
  <c r="B219" i="12"/>
  <c r="C219" i="12"/>
  <c r="B220" i="12"/>
  <c r="C220" i="12"/>
  <c r="B221" i="12"/>
  <c r="C221" i="12"/>
  <c r="B222" i="12"/>
  <c r="C222" i="12"/>
  <c r="B223" i="12"/>
  <c r="C223" i="12"/>
  <c r="B224" i="12"/>
  <c r="C224" i="12"/>
  <c r="B225" i="12"/>
  <c r="C225" i="12"/>
  <c r="B226" i="12"/>
  <c r="C226" i="12"/>
  <c r="B227" i="12"/>
  <c r="C227" i="12"/>
  <c r="B228" i="12"/>
  <c r="C228" i="12"/>
  <c r="B229" i="12"/>
  <c r="C229" i="12"/>
  <c r="B230" i="12"/>
  <c r="C230" i="12"/>
  <c r="B231" i="12"/>
  <c r="C231" i="12"/>
  <c r="B232" i="12"/>
  <c r="C232" i="12"/>
  <c r="B233" i="12"/>
  <c r="C233" i="12"/>
  <c r="B234" i="12"/>
  <c r="C234" i="12"/>
  <c r="B235" i="12"/>
  <c r="C235" i="12"/>
  <c r="B236" i="12"/>
  <c r="C236" i="12"/>
  <c r="B237" i="12"/>
  <c r="C237" i="12"/>
  <c r="B238" i="12"/>
  <c r="C238" i="12"/>
  <c r="B239" i="12"/>
  <c r="C239" i="12"/>
  <c r="B240" i="12"/>
  <c r="C240" i="12"/>
  <c r="B241" i="12"/>
  <c r="C241" i="12"/>
  <c r="B242" i="12"/>
  <c r="C242" i="12"/>
  <c r="B243" i="12"/>
  <c r="C243" i="12"/>
  <c r="B244" i="12"/>
  <c r="C244" i="12"/>
  <c r="B245" i="12"/>
  <c r="C245" i="12"/>
  <c r="B246" i="12"/>
  <c r="C246" i="12"/>
  <c r="B247" i="12"/>
  <c r="C247" i="12"/>
  <c r="B248" i="12"/>
  <c r="C248" i="12"/>
  <c r="B249" i="12"/>
  <c r="C249" i="12"/>
  <c r="B250" i="12"/>
  <c r="C250" i="12"/>
  <c r="B251" i="12"/>
  <c r="C251" i="12"/>
  <c r="B252" i="12"/>
  <c r="C252" i="12"/>
  <c r="B253" i="12"/>
  <c r="C253" i="12"/>
  <c r="B254" i="12"/>
  <c r="C254" i="12"/>
  <c r="B255" i="12"/>
  <c r="C255" i="12"/>
  <c r="B256" i="12"/>
  <c r="C256" i="12"/>
  <c r="B257" i="12"/>
  <c r="C257" i="12"/>
  <c r="B258" i="12"/>
  <c r="C258" i="12"/>
  <c r="B259" i="12"/>
  <c r="C259" i="12"/>
  <c r="B260" i="12"/>
  <c r="C260" i="12"/>
  <c r="B261" i="12"/>
  <c r="C261" i="12"/>
  <c r="B262" i="12"/>
  <c r="C262" i="12"/>
  <c r="B263" i="12"/>
  <c r="C263" i="12"/>
  <c r="B264" i="12"/>
  <c r="C264" i="12"/>
  <c r="B265" i="12"/>
  <c r="C265" i="12"/>
  <c r="B266" i="12"/>
  <c r="C266" i="12"/>
  <c r="B267" i="12"/>
  <c r="C267" i="12"/>
  <c r="B268" i="12"/>
  <c r="C268" i="12"/>
  <c r="B269" i="12"/>
  <c r="C269" i="12"/>
  <c r="B270" i="12"/>
  <c r="C270" i="12"/>
  <c r="B271" i="12"/>
  <c r="C271" i="12"/>
  <c r="B272" i="12"/>
  <c r="C272" i="12"/>
  <c r="B273" i="12"/>
  <c r="C273" i="12"/>
  <c r="B274" i="12"/>
  <c r="C274" i="12"/>
  <c r="B275" i="12"/>
  <c r="C275" i="12"/>
  <c r="B276" i="12"/>
  <c r="C276" i="12"/>
  <c r="B277" i="12"/>
  <c r="C277" i="12"/>
  <c r="B278" i="12"/>
  <c r="C278" i="12"/>
  <c r="B279" i="12"/>
  <c r="C279" i="12"/>
  <c r="B280" i="12"/>
  <c r="C280" i="12"/>
  <c r="B281" i="12"/>
  <c r="C281" i="12"/>
  <c r="B282" i="12"/>
  <c r="C282" i="12"/>
  <c r="B283" i="12"/>
  <c r="C283" i="12"/>
  <c r="B284" i="12"/>
  <c r="C284" i="12"/>
  <c r="B285" i="12"/>
  <c r="C285" i="12"/>
  <c r="B286" i="12"/>
  <c r="C286" i="12"/>
  <c r="B287" i="12"/>
  <c r="C287" i="12"/>
  <c r="B288" i="12"/>
  <c r="C288" i="12"/>
  <c r="B289" i="12"/>
  <c r="C289" i="12"/>
  <c r="B290" i="12"/>
  <c r="C290" i="12"/>
  <c r="B291" i="12"/>
  <c r="C291" i="12"/>
  <c r="B292" i="12"/>
  <c r="C292" i="12"/>
  <c r="B293" i="12"/>
  <c r="C293" i="12"/>
  <c r="B294" i="12"/>
  <c r="C294" i="12"/>
  <c r="B295" i="12"/>
  <c r="C295" i="12"/>
  <c r="B296" i="12"/>
  <c r="C296" i="12"/>
  <c r="B297" i="12"/>
  <c r="C297" i="12"/>
  <c r="B298" i="12"/>
  <c r="C298" i="12"/>
  <c r="B299" i="12"/>
  <c r="C299" i="12"/>
  <c r="B300" i="12"/>
  <c r="C300" i="12"/>
  <c r="B301" i="12"/>
  <c r="C301" i="12"/>
  <c r="B302" i="12"/>
  <c r="C302" i="12"/>
  <c r="B303" i="12"/>
  <c r="C303" i="12"/>
  <c r="B304" i="12"/>
  <c r="C304" i="12"/>
  <c r="B305" i="12"/>
  <c r="C305" i="12"/>
  <c r="B306" i="12"/>
  <c r="C306" i="12"/>
  <c r="B307" i="12"/>
  <c r="C307" i="12"/>
  <c r="B308" i="12"/>
  <c r="C308" i="12"/>
  <c r="B309" i="12"/>
  <c r="C309" i="12"/>
  <c r="B310" i="12"/>
  <c r="C310" i="12"/>
  <c r="B311" i="12"/>
  <c r="C311" i="12"/>
  <c r="B312" i="12"/>
  <c r="C312" i="12"/>
  <c r="B313" i="12"/>
  <c r="C313" i="12"/>
  <c r="B314" i="12"/>
  <c r="C314" i="12"/>
  <c r="B315" i="12"/>
  <c r="C315" i="12"/>
  <c r="B316" i="12"/>
  <c r="C316" i="12"/>
  <c r="B317" i="12"/>
  <c r="C317" i="12"/>
  <c r="B318" i="12"/>
  <c r="C318" i="12"/>
  <c r="B319" i="12"/>
  <c r="C319" i="12"/>
  <c r="B320" i="12"/>
  <c r="C320" i="12"/>
  <c r="B321" i="12"/>
  <c r="C321" i="12"/>
  <c r="B322" i="12"/>
  <c r="C322" i="12"/>
  <c r="B323" i="12"/>
  <c r="C323" i="12"/>
  <c r="B324" i="12"/>
  <c r="C324" i="12"/>
  <c r="B325" i="12"/>
  <c r="C325" i="12"/>
  <c r="B326" i="12"/>
  <c r="C326" i="12"/>
  <c r="B327" i="12"/>
  <c r="C327" i="12"/>
  <c r="B328" i="12"/>
  <c r="C328" i="12"/>
  <c r="B329" i="12"/>
  <c r="C329" i="12"/>
  <c r="B330" i="12"/>
  <c r="C330" i="12"/>
  <c r="B331" i="12"/>
  <c r="C331" i="12"/>
  <c r="B332" i="12"/>
  <c r="C332" i="12"/>
  <c r="B333" i="12"/>
  <c r="C333" i="12"/>
  <c r="B334" i="12"/>
  <c r="C334" i="12"/>
  <c r="B335" i="12"/>
  <c r="C335" i="12"/>
  <c r="B336" i="12"/>
  <c r="C336" i="12"/>
  <c r="B337" i="12"/>
  <c r="C337" i="12"/>
  <c r="B338" i="12"/>
  <c r="C338" i="12"/>
  <c r="B339" i="12"/>
  <c r="C339" i="12"/>
  <c r="B340" i="12"/>
  <c r="C340" i="12"/>
  <c r="B341" i="12"/>
  <c r="C341" i="12"/>
  <c r="B342" i="12"/>
  <c r="C342" i="12"/>
  <c r="B343" i="12"/>
  <c r="C343" i="12"/>
  <c r="B344" i="12"/>
  <c r="C344" i="12"/>
  <c r="B345" i="12"/>
  <c r="C345" i="12"/>
  <c r="B346" i="12"/>
  <c r="C346" i="12"/>
  <c r="B347" i="12"/>
  <c r="C347" i="12"/>
  <c r="B348" i="12"/>
  <c r="C348" i="12"/>
  <c r="B349" i="12"/>
  <c r="C349" i="12"/>
  <c r="B350" i="12"/>
  <c r="C350" i="12"/>
  <c r="B351" i="12"/>
  <c r="C351" i="12"/>
  <c r="B352" i="12"/>
  <c r="C352" i="12"/>
  <c r="B353" i="12"/>
  <c r="C353" i="12"/>
  <c r="B354" i="12"/>
  <c r="C354" i="12"/>
  <c r="B355" i="12"/>
  <c r="C355" i="12"/>
  <c r="B356" i="12"/>
  <c r="C356" i="12"/>
  <c r="B357" i="12"/>
  <c r="C357" i="12"/>
  <c r="B358" i="12"/>
  <c r="C358" i="12"/>
  <c r="B359" i="12"/>
  <c r="C359" i="12"/>
  <c r="B360" i="12"/>
  <c r="C360" i="12"/>
  <c r="B361" i="12"/>
  <c r="C361" i="12"/>
  <c r="B362" i="12"/>
  <c r="C362" i="12"/>
  <c r="B363" i="12"/>
  <c r="C363" i="12"/>
  <c r="B364" i="12"/>
  <c r="C364" i="12"/>
  <c r="B365" i="12"/>
  <c r="C365" i="12"/>
  <c r="B366" i="12"/>
  <c r="C366" i="12"/>
  <c r="B367" i="12"/>
  <c r="C367" i="12"/>
  <c r="B368" i="12"/>
  <c r="C368" i="12"/>
  <c r="B369" i="12"/>
  <c r="C369" i="12"/>
  <c r="B370" i="12"/>
  <c r="C370" i="12"/>
  <c r="B371" i="12"/>
  <c r="C371" i="12"/>
  <c r="B372" i="12"/>
  <c r="C372" i="12"/>
  <c r="B373" i="12"/>
  <c r="C373" i="12"/>
  <c r="B374" i="12"/>
  <c r="C374" i="12"/>
  <c r="B375" i="12"/>
  <c r="C375" i="12"/>
  <c r="B376" i="12"/>
  <c r="C376" i="12"/>
  <c r="B377" i="12"/>
  <c r="C377" i="12"/>
  <c r="B378" i="12"/>
  <c r="C378" i="12"/>
  <c r="B379" i="12"/>
  <c r="C379" i="12"/>
  <c r="B380" i="12"/>
  <c r="C380" i="12"/>
  <c r="B381" i="12"/>
  <c r="C381" i="12"/>
  <c r="B382" i="12"/>
  <c r="C382" i="12"/>
  <c r="B383" i="12"/>
  <c r="C383" i="12"/>
  <c r="B384" i="12"/>
  <c r="C384" i="12"/>
  <c r="B385" i="12"/>
  <c r="C385" i="12"/>
  <c r="B386" i="12"/>
  <c r="C386" i="12"/>
  <c r="B387" i="12"/>
  <c r="C387" i="12"/>
  <c r="B388" i="12"/>
  <c r="C388" i="12"/>
  <c r="B389" i="12"/>
  <c r="C389" i="12"/>
  <c r="B390" i="12"/>
  <c r="C390" i="12"/>
  <c r="B391" i="12"/>
  <c r="C391" i="12"/>
  <c r="B392" i="12"/>
  <c r="C392" i="12"/>
  <c r="B393" i="12"/>
  <c r="C393" i="12"/>
  <c r="B394" i="12"/>
  <c r="C394" i="12"/>
  <c r="B395" i="12"/>
  <c r="C395" i="12"/>
  <c r="B396" i="12"/>
  <c r="C396" i="12"/>
  <c r="B397" i="12"/>
  <c r="C397" i="12"/>
  <c r="B398" i="12"/>
  <c r="C398" i="12"/>
  <c r="B399" i="12"/>
  <c r="C399" i="12"/>
  <c r="B400" i="12"/>
  <c r="C400" i="12"/>
  <c r="B401" i="12"/>
  <c r="C401" i="12"/>
  <c r="B402" i="12"/>
  <c r="C402" i="12"/>
  <c r="B403" i="12"/>
  <c r="C403" i="12"/>
  <c r="B404" i="12"/>
  <c r="C404" i="12"/>
  <c r="B405" i="12"/>
  <c r="C405" i="12"/>
  <c r="B406" i="12"/>
  <c r="C406" i="12"/>
  <c r="B407" i="12"/>
  <c r="C407" i="12"/>
  <c r="B408" i="12"/>
  <c r="C408" i="12"/>
  <c r="B409" i="12"/>
  <c r="C409" i="12"/>
  <c r="B410" i="12"/>
  <c r="C410" i="12"/>
  <c r="B411" i="12"/>
  <c r="C411" i="12"/>
  <c r="B412" i="12"/>
  <c r="C412" i="12"/>
  <c r="B413" i="12"/>
  <c r="C413" i="12"/>
  <c r="B414" i="12"/>
  <c r="C414" i="12"/>
  <c r="B415" i="12"/>
  <c r="C415" i="12"/>
  <c r="B416" i="12"/>
  <c r="C416" i="12"/>
  <c r="B417" i="12"/>
  <c r="C417" i="12"/>
  <c r="B418" i="12"/>
  <c r="C418" i="12"/>
  <c r="B419" i="12"/>
  <c r="C419" i="12"/>
  <c r="B420" i="12"/>
  <c r="C420" i="12"/>
  <c r="B421" i="12"/>
  <c r="C421" i="12"/>
  <c r="B422" i="12"/>
  <c r="C422" i="12"/>
  <c r="B423" i="12"/>
  <c r="C423" i="12"/>
  <c r="B424" i="12"/>
  <c r="C424" i="12"/>
  <c r="B425" i="12"/>
  <c r="C425" i="12"/>
  <c r="B426" i="12"/>
  <c r="C426" i="12"/>
  <c r="B427" i="12"/>
  <c r="C427" i="12"/>
  <c r="B428" i="12"/>
  <c r="C428" i="12"/>
  <c r="B429" i="12"/>
  <c r="C429" i="12"/>
  <c r="B430" i="12"/>
  <c r="C430" i="12"/>
  <c r="B431" i="12"/>
  <c r="C431" i="12"/>
  <c r="B432" i="12"/>
  <c r="C432" i="12"/>
  <c r="B433" i="12"/>
  <c r="C433" i="12"/>
  <c r="B434" i="12"/>
  <c r="C434" i="12"/>
  <c r="B435" i="12"/>
  <c r="C435" i="12"/>
  <c r="B436" i="12"/>
  <c r="C436" i="12"/>
  <c r="B437" i="12"/>
  <c r="C437" i="12"/>
  <c r="B438" i="12"/>
  <c r="C438" i="12"/>
  <c r="B439" i="12"/>
  <c r="C439" i="12"/>
  <c r="B440" i="12"/>
  <c r="C440" i="12"/>
  <c r="B441" i="12"/>
  <c r="C441" i="12"/>
  <c r="B442" i="12"/>
  <c r="C442" i="12"/>
  <c r="B443" i="12"/>
  <c r="C443" i="12"/>
  <c r="B444" i="12"/>
  <c r="C444" i="12"/>
  <c r="B445" i="12"/>
  <c r="C445" i="12"/>
  <c r="B446" i="12"/>
  <c r="C446" i="12"/>
  <c r="B447" i="12"/>
  <c r="C447" i="12"/>
  <c r="B448" i="12"/>
  <c r="C448" i="12"/>
  <c r="B449" i="12"/>
  <c r="C449" i="12"/>
  <c r="B450" i="12"/>
  <c r="C450" i="12"/>
  <c r="B451" i="12"/>
  <c r="C451" i="12"/>
  <c r="B452" i="12"/>
  <c r="C452" i="12"/>
  <c r="B453" i="12"/>
  <c r="C453" i="12"/>
  <c r="B454" i="12"/>
  <c r="C454" i="12"/>
  <c r="B455" i="12"/>
  <c r="C455" i="12"/>
  <c r="B456" i="12"/>
  <c r="C456" i="12"/>
  <c r="B457" i="12"/>
  <c r="C457" i="12"/>
  <c r="B458" i="12"/>
  <c r="C458" i="12"/>
  <c r="B459" i="12"/>
  <c r="C459" i="12"/>
  <c r="B460" i="12"/>
  <c r="C460" i="12"/>
  <c r="B461" i="12"/>
  <c r="C461" i="12"/>
  <c r="B462" i="12"/>
  <c r="C462" i="12"/>
  <c r="B463" i="12"/>
  <c r="C463" i="12"/>
  <c r="B464" i="12"/>
  <c r="C464" i="12"/>
  <c r="B465" i="12"/>
  <c r="C465" i="12"/>
  <c r="B466" i="12"/>
  <c r="C466" i="12"/>
  <c r="B467" i="12"/>
  <c r="C467" i="12"/>
  <c r="B468" i="12"/>
  <c r="C468" i="12"/>
  <c r="B469" i="12"/>
  <c r="C469" i="12"/>
  <c r="B470" i="12"/>
  <c r="C470" i="12"/>
  <c r="B471" i="12"/>
  <c r="C471" i="12"/>
  <c r="B472" i="12"/>
  <c r="C472" i="12"/>
  <c r="B473" i="12"/>
  <c r="C473" i="12"/>
  <c r="B474" i="12"/>
  <c r="C474" i="12"/>
  <c r="B475" i="12"/>
  <c r="C475" i="12"/>
  <c r="B476" i="12"/>
  <c r="C476" i="12"/>
  <c r="B477" i="12"/>
  <c r="C477" i="12"/>
  <c r="B478" i="12"/>
  <c r="C478" i="12"/>
  <c r="B479" i="12"/>
  <c r="C479" i="12"/>
  <c r="B480" i="12"/>
  <c r="C480" i="12"/>
  <c r="B481" i="12"/>
  <c r="C481" i="12"/>
  <c r="B482" i="12"/>
  <c r="C482" i="12"/>
  <c r="B483" i="12"/>
  <c r="C483" i="12"/>
  <c r="B484" i="12"/>
  <c r="C484" i="12"/>
  <c r="B485" i="12"/>
  <c r="C485" i="12"/>
  <c r="B486" i="12"/>
  <c r="C486" i="12"/>
  <c r="B487" i="12"/>
  <c r="C487" i="12"/>
  <c r="B488" i="12"/>
  <c r="C488" i="12"/>
  <c r="B489" i="12"/>
  <c r="C489" i="12"/>
  <c r="B490" i="12"/>
  <c r="C490" i="12"/>
  <c r="B491" i="12"/>
  <c r="C491" i="12"/>
  <c r="B492" i="12"/>
  <c r="C492" i="12"/>
  <c r="B493" i="12"/>
  <c r="C493" i="12"/>
  <c r="B494" i="12"/>
  <c r="C494" i="12"/>
  <c r="B495" i="12"/>
  <c r="C495" i="12"/>
  <c r="B496" i="12"/>
  <c r="C496" i="12"/>
  <c r="B497" i="12"/>
  <c r="C497" i="12"/>
  <c r="B498" i="12"/>
  <c r="C498" i="12"/>
  <c r="B499" i="12"/>
  <c r="C499" i="12"/>
  <c r="B500" i="12"/>
  <c r="C500" i="12"/>
  <c r="B501" i="12"/>
  <c r="C501" i="12"/>
  <c r="B502" i="12"/>
  <c r="C502" i="12"/>
  <c r="B503" i="12"/>
  <c r="C503" i="12"/>
  <c r="B504" i="12"/>
  <c r="C504" i="12"/>
  <c r="B505" i="12"/>
  <c r="C505" i="12"/>
  <c r="B506" i="12"/>
  <c r="C506" i="12"/>
  <c r="B507" i="12"/>
  <c r="C507" i="12"/>
  <c r="B508" i="12"/>
  <c r="C508" i="12"/>
  <c r="B509" i="12"/>
  <c r="C509" i="12"/>
  <c r="B510" i="12"/>
  <c r="C510" i="12"/>
  <c r="B511" i="12"/>
  <c r="C511" i="12"/>
  <c r="B512" i="12"/>
  <c r="C512" i="12"/>
  <c r="B513" i="12"/>
  <c r="C513" i="12"/>
  <c r="B514" i="12"/>
  <c r="C514" i="12"/>
  <c r="B515" i="12"/>
  <c r="C515" i="12"/>
  <c r="B516" i="12"/>
  <c r="C516" i="12"/>
  <c r="B517" i="12"/>
  <c r="C517" i="12"/>
  <c r="B518" i="12"/>
  <c r="C518" i="12"/>
  <c r="B519" i="12"/>
  <c r="C519" i="12"/>
  <c r="B520" i="12"/>
  <c r="C520" i="12"/>
  <c r="B521" i="12"/>
  <c r="C521" i="12"/>
  <c r="B522" i="12"/>
  <c r="C522" i="12"/>
  <c r="B523" i="12"/>
  <c r="C523" i="12"/>
  <c r="B524" i="12"/>
  <c r="C524" i="12"/>
  <c r="B525" i="12"/>
  <c r="C525" i="12"/>
  <c r="B526" i="12"/>
  <c r="C526" i="12"/>
  <c r="B527" i="12"/>
  <c r="C527" i="12"/>
  <c r="B528" i="12"/>
  <c r="C528" i="12"/>
  <c r="B529" i="12"/>
  <c r="C529" i="12"/>
  <c r="B530" i="12"/>
  <c r="C530" i="12"/>
  <c r="B531" i="12"/>
  <c r="C531" i="12"/>
  <c r="B532" i="12"/>
  <c r="C532" i="12"/>
  <c r="B533" i="12"/>
  <c r="C533" i="12"/>
  <c r="B534" i="12"/>
  <c r="C534" i="12"/>
  <c r="B535" i="12"/>
  <c r="C535" i="12"/>
  <c r="B536" i="12"/>
  <c r="C536" i="12"/>
  <c r="B537" i="12"/>
  <c r="C537" i="12"/>
  <c r="B538" i="12"/>
  <c r="C538" i="12"/>
  <c r="B539" i="12"/>
  <c r="C539" i="12"/>
  <c r="B540" i="12"/>
  <c r="C540" i="12"/>
  <c r="B541" i="12"/>
  <c r="C541" i="12"/>
  <c r="B542" i="12"/>
  <c r="C542" i="12"/>
  <c r="B543" i="12"/>
  <c r="C543" i="12"/>
  <c r="B544" i="12"/>
  <c r="C544" i="12"/>
  <c r="B545" i="12"/>
  <c r="C545" i="12"/>
  <c r="B546" i="12"/>
  <c r="C546" i="12"/>
  <c r="B547" i="12"/>
  <c r="C547" i="12"/>
  <c r="B548" i="12"/>
  <c r="C548" i="12"/>
  <c r="B549" i="12"/>
  <c r="C549" i="12"/>
  <c r="B550" i="12"/>
  <c r="C550" i="12"/>
  <c r="B551" i="12"/>
  <c r="C551" i="12"/>
  <c r="B552" i="12"/>
  <c r="C552" i="12"/>
  <c r="B553" i="12"/>
  <c r="C553" i="12"/>
  <c r="B554" i="12"/>
  <c r="C554" i="12"/>
  <c r="B555" i="12"/>
  <c r="C555" i="12"/>
  <c r="B556" i="12"/>
  <c r="C556" i="12"/>
  <c r="B557" i="12"/>
  <c r="C557" i="12"/>
  <c r="B558" i="12"/>
  <c r="C558" i="12"/>
  <c r="B559" i="12"/>
  <c r="C559" i="12"/>
  <c r="B560" i="12"/>
  <c r="C560" i="12"/>
  <c r="B561" i="12"/>
  <c r="C561" i="12"/>
  <c r="B562" i="12"/>
  <c r="C562" i="12"/>
  <c r="B563" i="12"/>
  <c r="C563" i="12"/>
  <c r="B564" i="12"/>
  <c r="C564" i="12"/>
  <c r="B565" i="12"/>
  <c r="C565" i="12"/>
  <c r="B566" i="12"/>
  <c r="C566" i="12"/>
  <c r="B567" i="12"/>
  <c r="C567" i="12"/>
  <c r="B568" i="12"/>
  <c r="C568" i="12"/>
  <c r="B569" i="12"/>
  <c r="C569" i="12"/>
  <c r="B570" i="12"/>
  <c r="C570" i="12"/>
  <c r="B571" i="12"/>
  <c r="C571" i="12"/>
  <c r="B572" i="12"/>
  <c r="C572" i="12"/>
  <c r="B573" i="12"/>
  <c r="C573" i="12"/>
  <c r="B574" i="12"/>
  <c r="C574" i="12"/>
  <c r="B575" i="12"/>
  <c r="C575" i="12"/>
  <c r="B576" i="12"/>
  <c r="C576" i="12"/>
  <c r="B577" i="12"/>
  <c r="C577" i="12"/>
  <c r="B578" i="12"/>
  <c r="C578" i="12"/>
  <c r="B579" i="12"/>
  <c r="C579" i="12"/>
  <c r="B580" i="12"/>
  <c r="C580" i="12"/>
  <c r="B581" i="12"/>
  <c r="C581" i="12"/>
  <c r="B582" i="12"/>
  <c r="C582" i="12"/>
  <c r="B583" i="12"/>
  <c r="C583" i="12"/>
  <c r="B584" i="12"/>
  <c r="C584" i="12"/>
  <c r="B585" i="12"/>
  <c r="C585" i="12"/>
  <c r="B586" i="12"/>
  <c r="C586" i="12"/>
  <c r="B587" i="12"/>
  <c r="C587" i="12"/>
  <c r="B588" i="12"/>
  <c r="C588" i="12"/>
  <c r="B589" i="12"/>
  <c r="C589" i="12"/>
  <c r="B590" i="12"/>
  <c r="C590" i="12"/>
  <c r="B591" i="12"/>
  <c r="C591" i="12"/>
  <c r="B592" i="12"/>
  <c r="C592" i="12"/>
  <c r="B593" i="12"/>
  <c r="C593" i="12"/>
  <c r="B594" i="12"/>
  <c r="C594" i="12"/>
  <c r="B595" i="12"/>
  <c r="C595" i="12"/>
  <c r="B596" i="12"/>
  <c r="C596" i="12"/>
  <c r="B597" i="12"/>
  <c r="C597" i="12"/>
  <c r="B598" i="12"/>
  <c r="C598" i="12"/>
  <c r="B599" i="12"/>
  <c r="C599" i="12"/>
  <c r="B600" i="12"/>
  <c r="C600" i="12"/>
  <c r="B601" i="12"/>
  <c r="C601" i="12"/>
  <c r="B602" i="12"/>
  <c r="C602" i="12"/>
  <c r="B603" i="12"/>
  <c r="C603" i="12"/>
  <c r="B604" i="12"/>
  <c r="C604" i="12"/>
  <c r="B605" i="12"/>
  <c r="C605" i="12"/>
  <c r="B606" i="12"/>
  <c r="C606" i="12"/>
  <c r="B607" i="12"/>
  <c r="C607" i="12"/>
  <c r="B608" i="12"/>
  <c r="C608" i="12"/>
  <c r="B609" i="12"/>
  <c r="C609" i="12"/>
  <c r="B610" i="12"/>
  <c r="C610" i="12"/>
  <c r="B611" i="12"/>
  <c r="C611" i="12"/>
  <c r="B612" i="12"/>
  <c r="C612" i="12"/>
  <c r="B613" i="12"/>
  <c r="C613" i="12"/>
  <c r="B614" i="12"/>
  <c r="C614" i="12"/>
  <c r="B615" i="12"/>
  <c r="C615" i="12"/>
  <c r="B616" i="12"/>
  <c r="C616" i="12"/>
  <c r="B617" i="12"/>
  <c r="C617" i="12"/>
  <c r="B618" i="12"/>
  <c r="C618" i="12"/>
  <c r="B619" i="12"/>
  <c r="C619" i="12"/>
  <c r="B620" i="12"/>
  <c r="C620" i="12"/>
  <c r="B621" i="12"/>
  <c r="C621" i="12"/>
  <c r="B622" i="12"/>
  <c r="C622" i="12"/>
  <c r="B623" i="12"/>
  <c r="C623" i="12"/>
  <c r="B624" i="12"/>
  <c r="C624" i="12"/>
  <c r="B625" i="12"/>
  <c r="C625" i="12"/>
  <c r="B626" i="12"/>
  <c r="C626" i="12"/>
  <c r="B627" i="12"/>
  <c r="C627" i="12"/>
  <c r="B628" i="12"/>
  <c r="C628" i="12"/>
  <c r="B629" i="12"/>
  <c r="C629" i="12"/>
  <c r="B630" i="12"/>
  <c r="C630" i="12"/>
  <c r="B631" i="12"/>
  <c r="C631" i="12"/>
  <c r="B632" i="12"/>
  <c r="C632" i="12"/>
  <c r="B633" i="12"/>
  <c r="C633" i="12"/>
  <c r="B634" i="12"/>
  <c r="C634" i="12"/>
  <c r="B635" i="12"/>
  <c r="C635" i="12"/>
  <c r="B636" i="12"/>
  <c r="C636" i="12"/>
  <c r="B637" i="12"/>
  <c r="C637" i="12"/>
  <c r="B638" i="12"/>
  <c r="C638" i="12"/>
  <c r="B639" i="12"/>
  <c r="C639" i="12"/>
  <c r="B640" i="12"/>
  <c r="C640" i="12"/>
  <c r="B641" i="12"/>
  <c r="C641" i="12"/>
  <c r="B642" i="12"/>
  <c r="C642" i="12"/>
  <c r="B643" i="12"/>
  <c r="C643" i="12"/>
  <c r="B644" i="12"/>
  <c r="C644" i="12"/>
  <c r="B645" i="12"/>
  <c r="C645" i="12"/>
  <c r="B646" i="12"/>
  <c r="C646" i="12"/>
  <c r="B647" i="12"/>
  <c r="C647" i="12"/>
  <c r="B648" i="12"/>
  <c r="C648" i="12"/>
  <c r="B649" i="12"/>
  <c r="C649" i="12"/>
  <c r="B650" i="12"/>
  <c r="C650" i="12"/>
  <c r="B651" i="12"/>
  <c r="C651" i="12"/>
  <c r="B652" i="12"/>
  <c r="C652" i="12"/>
  <c r="B653" i="12"/>
  <c r="C653" i="12"/>
  <c r="B654" i="12"/>
  <c r="C654" i="12"/>
  <c r="B655" i="12"/>
  <c r="C655" i="12"/>
  <c r="B656" i="12"/>
  <c r="C656" i="12"/>
  <c r="B657" i="12"/>
  <c r="C657" i="12"/>
  <c r="B658" i="12"/>
  <c r="C658" i="12"/>
  <c r="B659" i="12"/>
  <c r="C659" i="12"/>
  <c r="B660" i="12"/>
  <c r="C660" i="12"/>
  <c r="B661" i="12"/>
  <c r="C661" i="12"/>
  <c r="B662" i="12"/>
  <c r="C662" i="12"/>
  <c r="B663" i="12"/>
  <c r="C663" i="12"/>
  <c r="B664" i="12"/>
  <c r="C664" i="12"/>
  <c r="B665" i="12"/>
  <c r="C665" i="12"/>
  <c r="B666" i="12"/>
  <c r="C666" i="12"/>
  <c r="B667" i="12"/>
  <c r="C667" i="12"/>
  <c r="B668" i="12"/>
  <c r="C668" i="12"/>
  <c r="B669" i="12"/>
  <c r="C669" i="12"/>
  <c r="B670" i="12"/>
  <c r="C670" i="12"/>
  <c r="B671" i="12"/>
  <c r="C671" i="12"/>
  <c r="B672" i="12"/>
  <c r="C672" i="12"/>
  <c r="B673" i="12"/>
  <c r="C673" i="12"/>
  <c r="B674" i="12"/>
  <c r="C674" i="12"/>
  <c r="B675" i="12"/>
  <c r="C675" i="12"/>
  <c r="B676" i="12"/>
  <c r="C676" i="12"/>
  <c r="B677" i="12"/>
  <c r="C677" i="12"/>
  <c r="B678" i="12"/>
  <c r="C678" i="12"/>
  <c r="B679" i="12"/>
  <c r="C679" i="12"/>
  <c r="B680" i="12"/>
  <c r="C680" i="12"/>
  <c r="B681" i="12"/>
  <c r="C681" i="12"/>
  <c r="B682" i="12"/>
  <c r="C682" i="12"/>
  <c r="B683" i="12"/>
  <c r="C683" i="12"/>
  <c r="B684" i="12"/>
  <c r="C684" i="12"/>
  <c r="B685" i="12"/>
  <c r="C685" i="12"/>
  <c r="B686" i="12"/>
  <c r="C686" i="12"/>
  <c r="B687" i="12"/>
  <c r="C687" i="12"/>
  <c r="B688" i="12"/>
  <c r="C688" i="12"/>
  <c r="B689" i="12"/>
  <c r="C689" i="12"/>
  <c r="B690" i="12"/>
  <c r="C690" i="12"/>
  <c r="B691" i="12"/>
  <c r="C691" i="12"/>
  <c r="B692" i="12"/>
  <c r="C692" i="12"/>
  <c r="B693" i="12"/>
  <c r="C693" i="12"/>
  <c r="B694" i="12"/>
  <c r="C694" i="12"/>
  <c r="B695" i="12"/>
  <c r="C695" i="12"/>
  <c r="B696" i="12"/>
  <c r="C696" i="12"/>
  <c r="B697" i="12"/>
  <c r="C697" i="12"/>
  <c r="B698" i="12"/>
  <c r="C698" i="12"/>
  <c r="B699" i="12"/>
  <c r="C699" i="12"/>
  <c r="B700" i="12"/>
  <c r="C700" i="12"/>
  <c r="B701" i="12"/>
  <c r="C701" i="12"/>
  <c r="B702" i="12"/>
  <c r="C702" i="12"/>
  <c r="B703" i="12"/>
  <c r="C703" i="12"/>
  <c r="B704" i="12"/>
  <c r="C704" i="12"/>
  <c r="B705" i="12"/>
  <c r="C705" i="12"/>
  <c r="B706" i="12"/>
  <c r="C706" i="12"/>
  <c r="B707" i="12"/>
  <c r="C707" i="12"/>
  <c r="B708" i="12"/>
  <c r="C708" i="12"/>
  <c r="B709" i="12"/>
  <c r="C709" i="12"/>
  <c r="B710" i="12"/>
  <c r="C710" i="12"/>
  <c r="B711" i="12"/>
  <c r="C711" i="12"/>
  <c r="B712" i="12"/>
  <c r="C712" i="12"/>
  <c r="B713" i="12"/>
  <c r="C713" i="12"/>
  <c r="B714" i="12"/>
  <c r="C714" i="12"/>
  <c r="B715" i="12"/>
  <c r="C715" i="12"/>
  <c r="B716" i="12"/>
  <c r="C716" i="12"/>
  <c r="B717" i="12"/>
  <c r="C717" i="12"/>
  <c r="B718" i="12"/>
  <c r="C718" i="12"/>
  <c r="B719" i="12"/>
  <c r="C719" i="12"/>
  <c r="B720" i="12"/>
  <c r="C720" i="12"/>
  <c r="B721" i="12"/>
  <c r="C721" i="12"/>
  <c r="B722" i="12"/>
  <c r="C722" i="12"/>
  <c r="B723" i="12"/>
  <c r="C723" i="12"/>
  <c r="B724" i="12"/>
  <c r="C724" i="12"/>
  <c r="B725" i="12"/>
  <c r="C725" i="12"/>
  <c r="B726" i="12"/>
  <c r="C726" i="12"/>
  <c r="B727" i="12"/>
  <c r="C727" i="12"/>
  <c r="B728" i="12"/>
  <c r="C728" i="12"/>
  <c r="B729" i="12"/>
  <c r="C729" i="12"/>
  <c r="B730" i="12"/>
  <c r="C730" i="12"/>
  <c r="B731" i="12"/>
  <c r="C731" i="12"/>
  <c r="B732" i="12"/>
  <c r="C732" i="12"/>
  <c r="B733" i="12"/>
  <c r="C733" i="12"/>
  <c r="B734" i="12"/>
  <c r="C734" i="12"/>
  <c r="B735" i="12"/>
  <c r="C735" i="12"/>
  <c r="B736" i="12"/>
  <c r="C736" i="12"/>
  <c r="B737" i="12"/>
  <c r="C737" i="12"/>
  <c r="B738" i="12"/>
  <c r="C738" i="12"/>
  <c r="B739" i="12"/>
  <c r="C739" i="12"/>
  <c r="B740" i="12"/>
  <c r="C740" i="12"/>
  <c r="B741" i="12"/>
  <c r="C741" i="12"/>
  <c r="B742" i="12"/>
  <c r="C742" i="12"/>
  <c r="B743" i="12"/>
  <c r="C743" i="12"/>
  <c r="B744" i="12"/>
  <c r="C744" i="12"/>
  <c r="B745" i="12"/>
  <c r="C745" i="12"/>
  <c r="B746" i="12"/>
  <c r="C746" i="12"/>
  <c r="B747" i="12"/>
  <c r="C747" i="12"/>
  <c r="B748" i="12"/>
  <c r="C748" i="12"/>
  <c r="B749" i="12"/>
  <c r="C749" i="12"/>
  <c r="B750" i="12"/>
  <c r="C750" i="12"/>
  <c r="B751" i="12"/>
  <c r="C751" i="12"/>
  <c r="B752" i="12"/>
  <c r="C752" i="12"/>
  <c r="B753" i="12"/>
  <c r="C753" i="12"/>
  <c r="B754" i="12"/>
  <c r="C754" i="12"/>
  <c r="B755" i="12"/>
  <c r="C755" i="12"/>
  <c r="B756" i="12"/>
  <c r="C756" i="12"/>
  <c r="B757" i="12"/>
  <c r="C757" i="12"/>
  <c r="B758" i="12"/>
  <c r="C758" i="12"/>
  <c r="B759" i="12"/>
  <c r="C759" i="12"/>
  <c r="B760" i="12"/>
  <c r="C760" i="12"/>
  <c r="B761" i="12"/>
  <c r="C761" i="12"/>
  <c r="B762" i="12"/>
  <c r="C762" i="12"/>
  <c r="B763" i="12"/>
  <c r="C763" i="12"/>
  <c r="B764" i="12"/>
  <c r="C764" i="12"/>
  <c r="B765" i="12"/>
  <c r="C765" i="12"/>
  <c r="B766" i="12"/>
  <c r="C766" i="12"/>
  <c r="B767" i="12"/>
  <c r="C767" i="12"/>
  <c r="B768" i="12"/>
  <c r="C768" i="12"/>
  <c r="B769" i="12"/>
  <c r="C769" i="12"/>
  <c r="B770" i="12"/>
  <c r="C770" i="12"/>
  <c r="B771" i="12"/>
  <c r="C771" i="12"/>
  <c r="B772" i="12"/>
  <c r="C772" i="12"/>
  <c r="B773" i="12"/>
  <c r="C773" i="12"/>
  <c r="B774" i="12"/>
  <c r="C774" i="12"/>
  <c r="B775" i="12"/>
  <c r="C775" i="12"/>
  <c r="B776" i="12"/>
  <c r="C776" i="12"/>
  <c r="B777" i="12"/>
  <c r="C777" i="12"/>
  <c r="B778" i="12"/>
  <c r="C778" i="12"/>
  <c r="B779" i="12"/>
  <c r="C779" i="12"/>
  <c r="B780" i="12"/>
  <c r="C780" i="12"/>
  <c r="B781" i="12"/>
  <c r="C781" i="12"/>
  <c r="B782" i="12"/>
  <c r="C782" i="12"/>
  <c r="B783" i="12"/>
  <c r="C783" i="12"/>
  <c r="B784" i="12"/>
  <c r="C784" i="12"/>
  <c r="B785" i="12"/>
  <c r="C785" i="12"/>
  <c r="B786" i="12"/>
  <c r="C786" i="12"/>
  <c r="B787" i="12"/>
  <c r="C787" i="12"/>
  <c r="B788" i="12"/>
  <c r="C788" i="12"/>
  <c r="B789" i="12"/>
  <c r="C789" i="12"/>
  <c r="B790" i="12"/>
  <c r="C790" i="12"/>
  <c r="B791" i="12"/>
  <c r="C791" i="12"/>
  <c r="B792" i="12"/>
  <c r="C792" i="12"/>
  <c r="B793" i="12"/>
  <c r="C793" i="12"/>
  <c r="B794" i="12"/>
  <c r="C794" i="12"/>
  <c r="B795" i="12"/>
  <c r="C795" i="12"/>
  <c r="B796" i="12"/>
  <c r="C796" i="12"/>
  <c r="B797" i="12"/>
  <c r="C797" i="12"/>
  <c r="B798" i="12"/>
  <c r="C798" i="12"/>
  <c r="B799" i="12"/>
  <c r="C799" i="12"/>
  <c r="B800" i="12"/>
  <c r="C800" i="12"/>
  <c r="B801" i="12"/>
  <c r="C801" i="12"/>
  <c r="B802" i="12"/>
  <c r="C802" i="12"/>
  <c r="B803" i="12"/>
  <c r="C803" i="12"/>
  <c r="B804" i="12"/>
  <c r="C804" i="12"/>
  <c r="B805" i="12"/>
  <c r="C805" i="12"/>
  <c r="B806" i="12"/>
  <c r="C806" i="12"/>
  <c r="B807" i="12"/>
  <c r="C807" i="12"/>
  <c r="B808" i="12"/>
  <c r="C808" i="12"/>
  <c r="B809" i="12"/>
  <c r="C809" i="12"/>
  <c r="B810" i="12"/>
  <c r="C810" i="12"/>
  <c r="B811" i="12"/>
  <c r="C811" i="12"/>
  <c r="B812" i="12"/>
  <c r="C812" i="12"/>
  <c r="B813" i="12"/>
  <c r="C813" i="12"/>
  <c r="B814" i="12"/>
  <c r="C814" i="12"/>
  <c r="B815" i="12"/>
  <c r="C815" i="12"/>
  <c r="B816" i="12"/>
  <c r="C816" i="12"/>
  <c r="B817" i="12"/>
  <c r="C817" i="12"/>
  <c r="B818" i="12"/>
  <c r="C818" i="12"/>
  <c r="B819" i="12"/>
  <c r="C819" i="12"/>
  <c r="B820" i="12"/>
  <c r="C820" i="12"/>
  <c r="B821" i="12"/>
  <c r="C821" i="12"/>
  <c r="B822" i="12"/>
  <c r="C822" i="12"/>
  <c r="B823" i="12"/>
  <c r="C823" i="12"/>
  <c r="B824" i="12"/>
  <c r="C824" i="12"/>
  <c r="B825" i="12"/>
  <c r="C825" i="12"/>
  <c r="B826" i="12"/>
  <c r="C826" i="12"/>
  <c r="B827" i="12"/>
  <c r="C827" i="12"/>
  <c r="B828" i="12"/>
  <c r="C828" i="12"/>
  <c r="B829" i="12"/>
  <c r="C829" i="12"/>
  <c r="B830" i="12"/>
  <c r="C830" i="12"/>
  <c r="B831" i="12"/>
  <c r="C831" i="12"/>
  <c r="B832" i="12"/>
  <c r="C832" i="12"/>
  <c r="B833" i="12"/>
  <c r="C833" i="12"/>
  <c r="B834" i="12"/>
  <c r="C834" i="12"/>
  <c r="B835" i="12"/>
  <c r="C835" i="12"/>
  <c r="B836" i="12"/>
  <c r="C836" i="12"/>
  <c r="B837" i="12"/>
  <c r="C837" i="12"/>
  <c r="B838" i="12"/>
  <c r="C838" i="12"/>
  <c r="B839" i="12"/>
  <c r="C839" i="12"/>
  <c r="B840" i="12"/>
  <c r="C840" i="12"/>
  <c r="B841" i="12"/>
  <c r="C841" i="12"/>
  <c r="B842" i="12"/>
  <c r="C842" i="12"/>
  <c r="B843" i="12"/>
  <c r="C843" i="12"/>
  <c r="B844" i="12"/>
  <c r="C844" i="12"/>
  <c r="B845" i="12"/>
  <c r="C845" i="12"/>
  <c r="B846" i="12"/>
  <c r="C846" i="12"/>
  <c r="B847" i="12"/>
  <c r="C847" i="12"/>
  <c r="B848" i="12"/>
  <c r="C848" i="12"/>
  <c r="B849" i="12"/>
  <c r="C849" i="12"/>
  <c r="B850" i="12"/>
  <c r="C850" i="12"/>
  <c r="B851" i="12"/>
  <c r="C851" i="12"/>
  <c r="B852" i="12"/>
  <c r="C852" i="12"/>
  <c r="B853" i="12"/>
  <c r="C853" i="12"/>
  <c r="B854" i="12"/>
  <c r="C854" i="12"/>
  <c r="B855" i="12"/>
  <c r="C855" i="12"/>
  <c r="B856" i="12"/>
  <c r="C856" i="12"/>
  <c r="B857" i="12"/>
  <c r="C857" i="12"/>
  <c r="B858" i="12"/>
  <c r="C858" i="12"/>
  <c r="B859" i="12"/>
  <c r="C859" i="12"/>
  <c r="B860" i="12"/>
  <c r="C860" i="12"/>
  <c r="B861" i="12"/>
  <c r="C861" i="12"/>
  <c r="B862" i="12"/>
  <c r="C862" i="12"/>
  <c r="B863" i="12"/>
  <c r="C863" i="12"/>
  <c r="B864" i="12"/>
  <c r="C864" i="12"/>
  <c r="B865" i="12"/>
  <c r="C865" i="12"/>
  <c r="B866" i="12"/>
  <c r="C866" i="12"/>
  <c r="B867" i="12"/>
  <c r="C867" i="12"/>
  <c r="B868" i="12"/>
  <c r="C868" i="12"/>
  <c r="B869" i="12"/>
  <c r="C869" i="12"/>
  <c r="B870" i="12"/>
  <c r="C870" i="12"/>
  <c r="B871" i="12"/>
  <c r="C871" i="12"/>
  <c r="B872" i="12"/>
  <c r="C872" i="12"/>
  <c r="B873" i="12"/>
  <c r="C873" i="12"/>
  <c r="B874" i="12"/>
  <c r="C874" i="12"/>
  <c r="B875" i="12"/>
  <c r="C875" i="12"/>
  <c r="B876" i="12"/>
  <c r="C876" i="12"/>
  <c r="B877" i="12"/>
  <c r="C877" i="12"/>
  <c r="B878" i="12"/>
  <c r="C878" i="12"/>
  <c r="B879" i="12"/>
  <c r="C879" i="12"/>
  <c r="B880" i="12"/>
  <c r="C880" i="12"/>
  <c r="B881" i="12"/>
  <c r="C881" i="12"/>
  <c r="B882" i="12"/>
  <c r="C882" i="12"/>
  <c r="B883" i="12"/>
  <c r="C883" i="12"/>
  <c r="B884" i="12"/>
  <c r="C884" i="12"/>
  <c r="B885" i="12"/>
  <c r="C885" i="12"/>
  <c r="B886" i="12"/>
  <c r="C886" i="12"/>
  <c r="B887" i="12"/>
  <c r="C887" i="12"/>
  <c r="B888" i="12"/>
  <c r="C888" i="12"/>
  <c r="B889" i="12"/>
  <c r="C889" i="12"/>
  <c r="B890" i="12"/>
  <c r="C890" i="12"/>
  <c r="B891" i="12"/>
  <c r="C891" i="12"/>
  <c r="B892" i="12"/>
  <c r="C892" i="12"/>
  <c r="B893" i="12"/>
  <c r="C893" i="12"/>
  <c r="B894" i="12"/>
  <c r="C894" i="12"/>
  <c r="B895" i="12"/>
  <c r="C895" i="12"/>
  <c r="B896" i="12"/>
  <c r="C896" i="12"/>
  <c r="B897" i="12"/>
  <c r="C897" i="12"/>
  <c r="B898" i="12"/>
  <c r="C898" i="12"/>
  <c r="B899" i="12"/>
  <c r="C899" i="12"/>
  <c r="B900" i="12"/>
  <c r="C900" i="12"/>
  <c r="B901" i="12"/>
  <c r="C901" i="12"/>
  <c r="B4" i="11"/>
  <c r="A5" i="11"/>
  <c r="B5" i="11"/>
  <c r="B1" i="11" a="1"/>
  <c r="J899" i="12" l="1"/>
  <c r="J887" i="12"/>
  <c r="J875" i="12"/>
  <c r="J855" i="12"/>
  <c r="J843" i="12"/>
  <c r="J831" i="12"/>
  <c r="J819" i="12"/>
  <c r="J807" i="12"/>
  <c r="J787" i="12"/>
  <c r="J723" i="12"/>
  <c r="J891" i="12"/>
  <c r="J879" i="12"/>
  <c r="J867" i="12"/>
  <c r="J863" i="12"/>
  <c r="J847" i="12"/>
  <c r="J839" i="12"/>
  <c r="J827" i="12"/>
  <c r="J815" i="12"/>
  <c r="J803" i="12"/>
  <c r="J795" i="12"/>
  <c r="J783" i="12"/>
  <c r="J775" i="12"/>
  <c r="J767" i="12"/>
  <c r="J759" i="12"/>
  <c r="J751" i="12"/>
  <c r="J743" i="12"/>
  <c r="J731" i="12"/>
  <c r="J895" i="12"/>
  <c r="J883" i="12"/>
  <c r="J871" i="12"/>
  <c r="J859" i="12"/>
  <c r="J851" i="12"/>
  <c r="J835" i="12"/>
  <c r="J823" i="12"/>
  <c r="J811" i="12"/>
  <c r="J799" i="12"/>
  <c r="J791" i="12"/>
  <c r="J779" i="12"/>
  <c r="J771" i="12"/>
  <c r="J763" i="12"/>
  <c r="J755" i="12"/>
  <c r="J747" i="12"/>
  <c r="J739" i="12"/>
  <c r="J735" i="12"/>
  <c r="J727" i="12"/>
  <c r="J719" i="12"/>
  <c r="J715" i="12"/>
  <c r="J711" i="12"/>
  <c r="J707" i="12"/>
  <c r="J703" i="12"/>
  <c r="J699" i="12"/>
  <c r="J695" i="12"/>
  <c r="J691" i="12"/>
  <c r="J687" i="12"/>
  <c r="J683" i="12"/>
  <c r="J679" i="12"/>
  <c r="J675" i="12"/>
  <c r="J671" i="12"/>
  <c r="J667" i="12"/>
  <c r="J663" i="12"/>
  <c r="J659" i="12"/>
  <c r="J655" i="12"/>
  <c r="J651" i="12"/>
  <c r="J647" i="12"/>
  <c r="J643" i="12"/>
  <c r="J639" i="12"/>
  <c r="J635" i="12"/>
  <c r="J631" i="12"/>
  <c r="J627" i="12"/>
  <c r="J623" i="12"/>
  <c r="J619" i="12"/>
  <c r="J615" i="12"/>
  <c r="J611" i="12"/>
  <c r="J607" i="12"/>
  <c r="J603" i="12"/>
  <c r="J599" i="12"/>
  <c r="J595" i="12"/>
  <c r="J591" i="12"/>
  <c r="J587" i="12"/>
  <c r="J583" i="12"/>
  <c r="J579" i="12"/>
  <c r="J575" i="12"/>
  <c r="J571" i="12"/>
  <c r="J563" i="12"/>
  <c r="J555" i="12"/>
  <c r="J547" i="12"/>
  <c r="J539" i="12"/>
  <c r="J531" i="12"/>
  <c r="J523" i="12"/>
  <c r="J515" i="12"/>
  <c r="J507" i="12"/>
  <c r="J499" i="12"/>
  <c r="J491" i="12"/>
  <c r="J483" i="12"/>
  <c r="J475" i="12"/>
  <c r="J467" i="12"/>
  <c r="J459" i="12"/>
  <c r="J451" i="12"/>
  <c r="J443" i="12"/>
  <c r="J435" i="12"/>
  <c r="J427" i="12"/>
  <c r="J419" i="12"/>
  <c r="J411" i="12"/>
  <c r="J403" i="12"/>
  <c r="J395" i="12"/>
  <c r="J387" i="12"/>
  <c r="J379" i="12"/>
  <c r="J371" i="12"/>
  <c r="J355" i="12"/>
  <c r="J347" i="12"/>
  <c r="J339" i="12"/>
  <c r="J335" i="12"/>
  <c r="J331" i="12"/>
  <c r="J327" i="12"/>
  <c r="J323" i="12"/>
  <c r="J319" i="12"/>
  <c r="J315" i="12"/>
  <c r="J311" i="12"/>
  <c r="J307" i="12"/>
  <c r="J303" i="12"/>
  <c r="J299" i="12"/>
  <c r="J295" i="12"/>
  <c r="J291" i="12"/>
  <c r="J287" i="12"/>
  <c r="J283" i="12"/>
  <c r="J279" i="12"/>
  <c r="J275" i="12"/>
  <c r="J271" i="12"/>
  <c r="J267" i="12"/>
  <c r="J263" i="12"/>
  <c r="J259" i="12"/>
  <c r="J255" i="12"/>
  <c r="J251" i="12"/>
  <c r="J247" i="12"/>
  <c r="J243" i="12"/>
  <c r="J239" i="12"/>
  <c r="J235" i="12"/>
  <c r="J231" i="12"/>
  <c r="J227" i="12"/>
  <c r="J223" i="12"/>
  <c r="J219" i="12"/>
  <c r="J215" i="12"/>
  <c r="J211" i="12"/>
  <c r="J207" i="12"/>
  <c r="J203" i="12"/>
  <c r="J199" i="12"/>
  <c r="J195" i="12"/>
  <c r="J191" i="12"/>
  <c r="J187" i="12"/>
  <c r="J183" i="12"/>
  <c r="J179" i="12"/>
  <c r="J175" i="12"/>
  <c r="J171" i="12"/>
  <c r="J167" i="12"/>
  <c r="J163" i="12"/>
  <c r="J159" i="12"/>
  <c r="J155" i="12"/>
  <c r="J151" i="12"/>
  <c r="J147" i="12"/>
  <c r="J143" i="12"/>
  <c r="J139" i="12"/>
  <c r="J135" i="12"/>
  <c r="J131" i="12"/>
  <c r="J127" i="12"/>
  <c r="J123" i="12"/>
  <c r="J119" i="12"/>
  <c r="J115" i="12"/>
  <c r="J111" i="12"/>
  <c r="J107" i="12"/>
  <c r="J103" i="12"/>
  <c r="J99" i="12"/>
  <c r="J95" i="12"/>
  <c r="J91" i="12"/>
  <c r="J87" i="12"/>
  <c r="J83" i="12"/>
  <c r="J79" i="12"/>
  <c r="J75" i="12"/>
  <c r="J71" i="12"/>
  <c r="J67" i="12"/>
  <c r="J63" i="12"/>
  <c r="J59" i="12"/>
  <c r="J55" i="12"/>
  <c r="J51" i="12"/>
  <c r="J47" i="12"/>
  <c r="J880" i="12"/>
  <c r="J492" i="12"/>
  <c r="J488" i="12"/>
  <c r="J484" i="12"/>
  <c r="J480" i="12"/>
  <c r="J476" i="12"/>
  <c r="J472" i="12"/>
  <c r="J468" i="12"/>
  <c r="J464" i="12"/>
  <c r="J460" i="12"/>
  <c r="J456" i="12"/>
  <c r="J452" i="12"/>
  <c r="J448" i="12"/>
  <c r="J444" i="12"/>
  <c r="J440" i="12"/>
  <c r="J436" i="12"/>
  <c r="J432" i="12"/>
  <c r="J428" i="12"/>
  <c r="J424" i="12"/>
  <c r="J420" i="12"/>
  <c r="J416" i="12"/>
  <c r="J412" i="12"/>
  <c r="J408" i="12"/>
  <c r="J404" i="12"/>
  <c r="J400" i="12"/>
  <c r="J396" i="12"/>
  <c r="J392" i="12"/>
  <c r="J388" i="12"/>
  <c r="J384" i="12"/>
  <c r="J380" i="12"/>
  <c r="J376" i="12"/>
  <c r="J372" i="12"/>
  <c r="J368" i="12"/>
  <c r="J364" i="12"/>
  <c r="J360" i="12"/>
  <c r="J356" i="12"/>
  <c r="J352" i="12"/>
  <c r="J348" i="12"/>
  <c r="J344" i="12"/>
  <c r="J43" i="12"/>
  <c r="J39" i="12"/>
  <c r="J35" i="12"/>
  <c r="J31" i="12"/>
  <c r="J27" i="12"/>
  <c r="J23" i="12"/>
  <c r="J19" i="12"/>
  <c r="J15" i="12"/>
  <c r="J11" i="12"/>
  <c r="J7" i="12"/>
  <c r="J340" i="12"/>
  <c r="J336" i="12"/>
  <c r="J332" i="12"/>
  <c r="J328" i="12"/>
  <c r="J324" i="12"/>
  <c r="J320" i="12"/>
  <c r="J316" i="12"/>
  <c r="J312" i="12"/>
  <c r="J308" i="12"/>
  <c r="J304" i="12"/>
  <c r="J300" i="12"/>
  <c r="J296" i="12"/>
  <c r="J292" i="12"/>
  <c r="J288" i="12"/>
  <c r="J284" i="12"/>
  <c r="J280" i="12"/>
  <c r="J276" i="12"/>
  <c r="J272" i="12"/>
  <c r="J268" i="12"/>
  <c r="J264" i="12"/>
  <c r="J260" i="12"/>
  <c r="J256" i="12"/>
  <c r="J252" i="12"/>
  <c r="J248" i="12"/>
  <c r="J244" i="12"/>
  <c r="J240" i="12"/>
  <c r="J236" i="12"/>
  <c r="J232" i="12"/>
  <c r="J228" i="12"/>
  <c r="J224" i="12"/>
  <c r="J220" i="12"/>
  <c r="J216" i="12"/>
  <c r="J212" i="12"/>
  <c r="J208" i="12"/>
  <c r="J204" i="12"/>
  <c r="J200" i="12"/>
  <c r="J196" i="12"/>
  <c r="J192" i="12"/>
  <c r="J188" i="12"/>
  <c r="J184" i="12"/>
  <c r="J180" i="12"/>
  <c r="J176" i="12"/>
  <c r="J172" i="12"/>
  <c r="J168" i="12"/>
  <c r="J164" i="12"/>
  <c r="J160" i="12"/>
  <c r="J156" i="12"/>
  <c r="J152" i="12"/>
  <c r="J148" i="12"/>
  <c r="J144" i="12"/>
  <c r="J140" i="12"/>
  <c r="J136" i="12"/>
  <c r="J132" i="12"/>
  <c r="J128" i="12"/>
  <c r="J124" i="12"/>
  <c r="J120" i="12"/>
  <c r="J116" i="12"/>
  <c r="J112" i="12"/>
  <c r="J108" i="12"/>
  <c r="J104" i="12"/>
  <c r="J100" i="12"/>
  <c r="J96" i="12"/>
  <c r="J92" i="12"/>
  <c r="J88" i="12"/>
  <c r="J84" i="12"/>
  <c r="J80" i="12"/>
  <c r="J76" i="12"/>
  <c r="J72" i="12"/>
  <c r="J68" i="12"/>
  <c r="J64" i="12"/>
  <c r="J60" i="12"/>
  <c r="J56" i="12"/>
  <c r="J52" i="12"/>
  <c r="J48" i="12"/>
  <c r="J44" i="12"/>
  <c r="J40" i="12"/>
  <c r="J36" i="12"/>
  <c r="J32" i="12"/>
  <c r="J28" i="12"/>
  <c r="J24" i="12"/>
  <c r="J20" i="12"/>
  <c r="J16" i="12"/>
  <c r="J12" i="12"/>
  <c r="J8" i="12"/>
  <c r="J4" i="12"/>
  <c r="J696" i="12"/>
  <c r="J584" i="12"/>
  <c r="J520" i="12"/>
  <c r="J892" i="12"/>
  <c r="J876" i="12"/>
  <c r="J864" i="12"/>
  <c r="J852" i="12"/>
  <c r="J840" i="12"/>
  <c r="J828" i="12"/>
  <c r="J812" i="12"/>
  <c r="J800" i="12"/>
  <c r="J784" i="12"/>
  <c r="J772" i="12"/>
  <c r="J760" i="12"/>
  <c r="J748" i="12"/>
  <c r="J732" i="12"/>
  <c r="J720" i="12"/>
  <c r="J708" i="12"/>
  <c r="J692" i="12"/>
  <c r="J676" i="12"/>
  <c r="J664" i="12"/>
  <c r="J652" i="12"/>
  <c r="J636" i="12"/>
  <c r="J624" i="12"/>
  <c r="J612" i="12"/>
  <c r="J600" i="12"/>
  <c r="J588" i="12"/>
  <c r="J572" i="12"/>
  <c r="J560" i="12"/>
  <c r="J548" i="12"/>
  <c r="J536" i="12"/>
  <c r="J524" i="12"/>
  <c r="J512" i="12"/>
  <c r="J504" i="12"/>
  <c r="J896" i="12"/>
  <c r="J884" i="12"/>
  <c r="J868" i="12"/>
  <c r="J856" i="12"/>
  <c r="J844" i="12"/>
  <c r="J832" i="12"/>
  <c r="J820" i="12"/>
  <c r="J808" i="12"/>
  <c r="J796" i="12"/>
  <c r="J788" i="12"/>
  <c r="J776" i="12"/>
  <c r="J764" i="12"/>
  <c r="J752" i="12"/>
  <c r="J740" i="12"/>
  <c r="J728" i="12"/>
  <c r="J716" i="12"/>
  <c r="J704" i="12"/>
  <c r="J688" i="12"/>
  <c r="J680" i="12"/>
  <c r="J668" i="12"/>
  <c r="J656" i="12"/>
  <c r="J644" i="12"/>
  <c r="J632" i="12"/>
  <c r="J616" i="12"/>
  <c r="J604" i="12"/>
  <c r="J592" i="12"/>
  <c r="J576" i="12"/>
  <c r="J564" i="12"/>
  <c r="J552" i="12"/>
  <c r="J540" i="12"/>
  <c r="J528" i="12"/>
  <c r="J516" i="12"/>
  <c r="J500" i="12"/>
  <c r="J900" i="12"/>
  <c r="J888" i="12"/>
  <c r="J872" i="12"/>
  <c r="J860" i="12"/>
  <c r="J848" i="12"/>
  <c r="J836" i="12"/>
  <c r="J824" i="12"/>
  <c r="J816" i="12"/>
  <c r="J804" i="12"/>
  <c r="J792" i="12"/>
  <c r="J780" i="12"/>
  <c r="J768" i="12"/>
  <c r="J756" i="12"/>
  <c r="J744" i="12"/>
  <c r="J736" i="12"/>
  <c r="J724" i="12"/>
  <c r="J712" i="12"/>
  <c r="J700" i="12"/>
  <c r="J684" i="12"/>
  <c r="J672" i="12"/>
  <c r="J660" i="12"/>
  <c r="J648" i="12"/>
  <c r="J640" i="12"/>
  <c r="J628" i="12"/>
  <c r="J620" i="12"/>
  <c r="J608" i="12"/>
  <c r="J596" i="12"/>
  <c r="J580" i="12"/>
  <c r="J568" i="12"/>
  <c r="J556" i="12"/>
  <c r="J544" i="12"/>
  <c r="J532" i="12"/>
  <c r="J508" i="12"/>
  <c r="J496" i="12"/>
  <c r="J622" i="12"/>
  <c r="J610" i="12"/>
  <c r="J606" i="12"/>
  <c r="J602" i="12"/>
  <c r="J598" i="12"/>
  <c r="J594" i="12"/>
  <c r="J590" i="12"/>
  <c r="J586" i="12"/>
  <c r="J582" i="12"/>
  <c r="J578" i="12"/>
  <c r="J574" i="12"/>
  <c r="J570" i="12"/>
  <c r="J566" i="12"/>
  <c r="J562" i="12"/>
  <c r="J558" i="12"/>
  <c r="J554" i="12"/>
  <c r="J550" i="12"/>
  <c r="J546" i="12"/>
  <c r="J542" i="12"/>
  <c r="J534" i="12"/>
  <c r="J530" i="12"/>
  <c r="J526" i="12"/>
  <c r="J518" i="12"/>
  <c r="J514" i="12"/>
  <c r="J510" i="12"/>
  <c r="J502" i="12"/>
  <c r="J498" i="12"/>
  <c r="J494" i="12"/>
  <c r="J486" i="12"/>
  <c r="J482" i="12"/>
  <c r="J478" i="12"/>
  <c r="J470" i="12"/>
  <c r="J466" i="12"/>
  <c r="J454" i="12"/>
  <c r="J450" i="12"/>
  <c r="J438" i="12"/>
  <c r="J434" i="12"/>
  <c r="J422" i="12"/>
  <c r="J418" i="12"/>
  <c r="J406" i="12"/>
  <c r="J402" i="12"/>
  <c r="J390" i="12"/>
  <c r="J386" i="12"/>
  <c r="J378" i="12"/>
  <c r="J374" i="12"/>
  <c r="J366" i="12"/>
  <c r="J362" i="12"/>
  <c r="J354" i="12"/>
  <c r="J350" i="12"/>
  <c r="J346" i="12"/>
  <c r="J3" i="12"/>
  <c r="J342" i="12"/>
  <c r="J338" i="12"/>
  <c r="J330" i="12"/>
  <c r="J326" i="12"/>
  <c r="J322" i="12"/>
  <c r="J318" i="12"/>
  <c r="J314" i="12"/>
  <c r="J310" i="12"/>
  <c r="J306" i="12"/>
  <c r="J302" i="12"/>
  <c r="J298" i="12"/>
  <c r="J294" i="12"/>
  <c r="J290" i="12"/>
  <c r="J286" i="12"/>
  <c r="J282" i="12"/>
  <c r="J278" i="12"/>
  <c r="J274" i="12"/>
  <c r="J270" i="12"/>
  <c r="J266" i="12"/>
  <c r="J262" i="12"/>
  <c r="J258" i="12"/>
  <c r="J254" i="12"/>
  <c r="J250" i="12"/>
  <c r="J246" i="12"/>
  <c r="J242" i="12"/>
  <c r="J238" i="12"/>
  <c r="J234" i="12"/>
  <c r="J230" i="12"/>
  <c r="J226" i="12"/>
  <c r="J222" i="12"/>
  <c r="J218" i="12"/>
  <c r="J214" i="12"/>
  <c r="J210" i="12"/>
  <c r="J206" i="12"/>
  <c r="J202" i="12"/>
  <c r="J198" i="12"/>
  <c r="J194" i="12"/>
  <c r="J190" i="12"/>
  <c r="J186" i="12"/>
  <c r="J182" i="12"/>
  <c r="J178" i="12"/>
  <c r="J174" i="12"/>
  <c r="J170" i="12"/>
  <c r="J166" i="12"/>
  <c r="J162" i="12"/>
  <c r="J158" i="12"/>
  <c r="J154" i="12"/>
  <c r="J150" i="12"/>
  <c r="J146" i="12"/>
  <c r="J142" i="12"/>
  <c r="J138" i="12"/>
  <c r="J134" i="12"/>
  <c r="J130" i="12"/>
  <c r="J126" i="12"/>
  <c r="J122" i="12"/>
  <c r="J118" i="12"/>
  <c r="J114" i="12"/>
  <c r="J110" i="12"/>
  <c r="J106" i="12"/>
  <c r="J102" i="12"/>
  <c r="J98" i="12"/>
  <c r="J94" i="12"/>
  <c r="J90" i="12"/>
  <c r="J86" i="12"/>
  <c r="J82" i="12"/>
  <c r="J78" i="12"/>
  <c r="J74" i="12"/>
  <c r="J70" i="12"/>
  <c r="J66" i="12"/>
  <c r="J62" i="12"/>
  <c r="J58" i="12"/>
  <c r="J54" i="12"/>
  <c r="J50" i="12"/>
  <c r="J46" i="12"/>
  <c r="J42" i="12"/>
  <c r="J38" i="12"/>
  <c r="J34" i="12"/>
  <c r="J30" i="12"/>
  <c r="J26" i="12"/>
  <c r="J22" i="12"/>
  <c r="J18" i="12"/>
  <c r="J14" i="12"/>
  <c r="J10" i="12"/>
  <c r="J6" i="12"/>
  <c r="J2" i="12"/>
  <c r="J886" i="12"/>
  <c r="J866" i="12"/>
  <c r="J846" i="12"/>
  <c r="J830" i="12"/>
  <c r="J814" i="12"/>
  <c r="J794" i="12"/>
  <c r="J778" i="12"/>
  <c r="J762" i="12"/>
  <c r="J734" i="12"/>
  <c r="J718" i="12"/>
  <c r="J698" i="12"/>
  <c r="J678" i="12"/>
  <c r="J662" i="12"/>
  <c r="J646" i="12"/>
  <c r="J630" i="12"/>
  <c r="J538" i="12"/>
  <c r="J522" i="12"/>
  <c r="J506" i="12"/>
  <c r="J490" i="12"/>
  <c r="J474" i="12"/>
  <c r="J462" i="12"/>
  <c r="J458" i="12"/>
  <c r="J446" i="12"/>
  <c r="J442" i="12"/>
  <c r="J430" i="12"/>
  <c r="J426" i="12"/>
  <c r="J414" i="12"/>
  <c r="J410" i="12"/>
  <c r="J398" i="12"/>
  <c r="J394" i="12"/>
  <c r="J382" i="12"/>
  <c r="J370" i="12"/>
  <c r="J358" i="12"/>
  <c r="J334" i="12"/>
  <c r="J858" i="12"/>
  <c r="J758" i="12"/>
  <c r="J870" i="12"/>
  <c r="J810" i="12"/>
  <c r="J746" i="12"/>
  <c r="J694" i="12"/>
  <c r="J898" i="12"/>
  <c r="J882" i="12"/>
  <c r="J862" i="12"/>
  <c r="J842" i="12"/>
  <c r="J826" i="12"/>
  <c r="J806" i="12"/>
  <c r="J790" i="12"/>
  <c r="J774" i="12"/>
  <c r="J754" i="12"/>
  <c r="J730" i="12"/>
  <c r="J714" i="12"/>
  <c r="J702" i="12"/>
  <c r="J682" i="12"/>
  <c r="J666" i="12"/>
  <c r="J654" i="12"/>
  <c r="J638" i="12"/>
  <c r="J618" i="12"/>
  <c r="J897" i="12"/>
  <c r="J885" i="12"/>
  <c r="J873" i="12"/>
  <c r="J865" i="12"/>
  <c r="J853" i="12"/>
  <c r="J845" i="12"/>
  <c r="J833" i="12"/>
  <c r="J825" i="12"/>
  <c r="J813" i="12"/>
  <c r="J805" i="12"/>
  <c r="J793" i="12"/>
  <c r="J785" i="12"/>
  <c r="J777" i="12"/>
  <c r="J765" i="12"/>
  <c r="J757" i="12"/>
  <c r="J749" i="12"/>
  <c r="J741" i="12"/>
  <c r="J729" i="12"/>
  <c r="J721" i="12"/>
  <c r="J709" i="12"/>
  <c r="J701" i="12"/>
  <c r="J697" i="12"/>
  <c r="J689" i="12"/>
  <c r="J685" i="12"/>
  <c r="J681" i="12"/>
  <c r="J677" i="12"/>
  <c r="J673" i="12"/>
  <c r="J669" i="12"/>
  <c r="J665" i="12"/>
  <c r="J657" i="12"/>
  <c r="J653" i="12"/>
  <c r="J649" i="12"/>
  <c r="J645" i="12"/>
  <c r="J641" i="12"/>
  <c r="J894" i="12"/>
  <c r="J878" i="12"/>
  <c r="J854" i="12"/>
  <c r="J838" i="12"/>
  <c r="J822" i="12"/>
  <c r="J802" i="12"/>
  <c r="J786" i="12"/>
  <c r="J770" i="12"/>
  <c r="J750" i="12"/>
  <c r="J738" i="12"/>
  <c r="J722" i="12"/>
  <c r="J710" i="12"/>
  <c r="J690" i="12"/>
  <c r="J674" i="12"/>
  <c r="J658" i="12"/>
  <c r="J642" i="12"/>
  <c r="J626" i="12"/>
  <c r="J901" i="12"/>
  <c r="J893" i="12"/>
  <c r="J889" i="12"/>
  <c r="J881" i="12"/>
  <c r="J877" i="12"/>
  <c r="J869" i="12"/>
  <c r="J861" i="12"/>
  <c r="J857" i="12"/>
  <c r="J849" i="12"/>
  <c r="J841" i="12"/>
  <c r="J837" i="12"/>
  <c r="J829" i="12"/>
  <c r="J821" i="12"/>
  <c r="J817" i="12"/>
  <c r="J809" i="12"/>
  <c r="J801" i="12"/>
  <c r="J797" i="12"/>
  <c r="J789" i="12"/>
  <c r="J781" i="12"/>
  <c r="J773" i="12"/>
  <c r="J769" i="12"/>
  <c r="J761" i="12"/>
  <c r="J753" i="12"/>
  <c r="J745" i="12"/>
  <c r="J737" i="12"/>
  <c r="J733" i="12"/>
  <c r="J725" i="12"/>
  <c r="J717" i="12"/>
  <c r="J713" i="12"/>
  <c r="J705" i="12"/>
  <c r="J693" i="12"/>
  <c r="J661" i="12"/>
  <c r="J890" i="12"/>
  <c r="J874" i="12"/>
  <c r="J850" i="12"/>
  <c r="J834" i="12"/>
  <c r="J818" i="12"/>
  <c r="J798" i="12"/>
  <c r="J782" i="12"/>
  <c r="J766" i="12"/>
  <c r="J742" i="12"/>
  <c r="J726" i="12"/>
  <c r="J706" i="12"/>
  <c r="J686" i="12"/>
  <c r="J670" i="12"/>
  <c r="J650" i="12"/>
  <c r="J634" i="12"/>
  <c r="J614" i="12"/>
  <c r="J363" i="12"/>
  <c r="J637" i="12"/>
  <c r="J633" i="12"/>
  <c r="J629" i="12"/>
  <c r="J625" i="12"/>
  <c r="J621" i="12"/>
  <c r="J617" i="12"/>
  <c r="J613" i="12"/>
  <c r="J609" i="12"/>
  <c r="J605" i="12"/>
  <c r="J601" i="12"/>
  <c r="J597" i="12"/>
  <c r="J593" i="12"/>
  <c r="J589" i="12"/>
  <c r="J585" i="12"/>
  <c r="J581" i="12"/>
  <c r="J577" i="12"/>
  <c r="J573" i="12"/>
  <c r="J569" i="12"/>
  <c r="J565" i="12"/>
  <c r="J561" i="12"/>
  <c r="J557" i="12"/>
  <c r="J553" i="12"/>
  <c r="J549" i="12"/>
  <c r="J545" i="12"/>
  <c r="J541" i="12"/>
  <c r="J537" i="12"/>
  <c r="J533" i="12"/>
  <c r="J529" i="12"/>
  <c r="J525" i="12"/>
  <c r="J521" i="12"/>
  <c r="J517" i="12"/>
  <c r="J513" i="12"/>
  <c r="J509" i="12"/>
  <c r="J505" i="12"/>
  <c r="J501" i="12"/>
  <c r="J497" i="12"/>
  <c r="J493" i="12"/>
  <c r="J489" i="12"/>
  <c r="J485" i="12"/>
  <c r="J481" i="12"/>
  <c r="J477" i="12"/>
  <c r="J473" i="12"/>
  <c r="J469" i="12"/>
  <c r="J465" i="12"/>
  <c r="J461" i="12"/>
  <c r="J457" i="12"/>
  <c r="J453" i="12"/>
  <c r="J449" i="12"/>
  <c r="J445" i="12"/>
  <c r="J441" i="12"/>
  <c r="J437" i="12"/>
  <c r="J433" i="12"/>
  <c r="J429" i="12"/>
  <c r="J425" i="12"/>
  <c r="J421" i="12"/>
  <c r="J417" i="12"/>
  <c r="J413" i="12"/>
  <c r="J409" i="12"/>
  <c r="J405" i="12"/>
  <c r="J401" i="12"/>
  <c r="J397" i="12"/>
  <c r="J393" i="12"/>
  <c r="J389" i="12"/>
  <c r="J385" i="12"/>
  <c r="J381" i="12"/>
  <c r="J377" i="12"/>
  <c r="J373" i="12"/>
  <c r="J369" i="12"/>
  <c r="J365" i="12"/>
  <c r="J361" i="12"/>
  <c r="J357" i="12"/>
  <c r="J353" i="12"/>
  <c r="J349" i="12"/>
  <c r="J345" i="12"/>
  <c r="J341" i="12"/>
  <c r="J337" i="12"/>
  <c r="J333" i="12"/>
  <c r="J329" i="12"/>
  <c r="J325" i="12"/>
  <c r="J321" i="12"/>
  <c r="J317" i="12"/>
  <c r="J313" i="12"/>
  <c r="J309" i="12"/>
  <c r="J305" i="12"/>
  <c r="J301" i="12"/>
  <c r="J297" i="12"/>
  <c r="J293" i="12"/>
  <c r="J289" i="12"/>
  <c r="J285" i="12"/>
  <c r="J281" i="12"/>
  <c r="J277" i="12"/>
  <c r="J273" i="12"/>
  <c r="J269" i="12"/>
  <c r="J265" i="12"/>
  <c r="J261" i="12"/>
  <c r="J257" i="12"/>
  <c r="J253" i="12"/>
  <c r="J249" i="12"/>
  <c r="J245" i="12"/>
  <c r="J241" i="12"/>
  <c r="J237" i="12"/>
  <c r="J233" i="12"/>
  <c r="J229" i="12"/>
  <c r="J225" i="12"/>
  <c r="J221" i="12"/>
  <c r="J217" i="12"/>
  <c r="J213" i="12"/>
  <c r="J209" i="12"/>
  <c r="J205" i="12"/>
  <c r="J201" i="12"/>
  <c r="J197" i="12"/>
  <c r="J193" i="12"/>
  <c r="J189" i="12"/>
  <c r="J185" i="12"/>
  <c r="J181" i="12"/>
  <c r="J177" i="12"/>
  <c r="J173" i="12"/>
  <c r="J169" i="12"/>
  <c r="J165" i="12"/>
  <c r="J161" i="12"/>
  <c r="J157" i="12"/>
  <c r="J153" i="12"/>
  <c r="J149" i="12"/>
  <c r="J145" i="12"/>
  <c r="J141" i="12"/>
  <c r="J137" i="12"/>
  <c r="J133" i="12"/>
  <c r="J129" i="12"/>
  <c r="J125" i="12"/>
  <c r="J121" i="12"/>
  <c r="J117" i="12"/>
  <c r="J113" i="12"/>
  <c r="J109" i="12"/>
  <c r="J105" i="12"/>
  <c r="J101" i="12"/>
  <c r="J97" i="12"/>
  <c r="J93" i="12"/>
  <c r="J89" i="12"/>
  <c r="J85" i="12"/>
  <c r="J81" i="12"/>
  <c r="J77" i="12"/>
  <c r="J73" i="12"/>
  <c r="J69" i="12"/>
  <c r="J65" i="12"/>
  <c r="J61" i="12"/>
  <c r="J57" i="12"/>
  <c r="J53" i="12"/>
  <c r="J49" i="12"/>
  <c r="J45" i="12"/>
  <c r="J41" i="12"/>
  <c r="J37" i="12"/>
  <c r="J33" i="12"/>
  <c r="J29" i="12"/>
  <c r="J25" i="12"/>
  <c r="J21" i="12"/>
  <c r="J17" i="12"/>
  <c r="J13" i="12"/>
  <c r="J9" i="12"/>
  <c r="J5" i="12"/>
  <c r="J527" i="12"/>
  <c r="J463" i="12"/>
  <c r="J431" i="12"/>
  <c r="J391" i="12"/>
  <c r="J359" i="12"/>
  <c r="J343" i="12"/>
  <c r="J559" i="12"/>
  <c r="J543" i="12"/>
  <c r="J519" i="12"/>
  <c r="J503" i="12"/>
  <c r="J487" i="12"/>
  <c r="J471" i="12"/>
  <c r="J455" i="12"/>
  <c r="J439" i="12"/>
  <c r="J423" i="12"/>
  <c r="J407" i="12"/>
  <c r="J383" i="12"/>
  <c r="J367" i="12"/>
  <c r="J351" i="12"/>
  <c r="J567" i="12"/>
  <c r="J551" i="12"/>
  <c r="J535" i="12"/>
  <c r="J511" i="12"/>
  <c r="J495" i="12"/>
  <c r="J479" i="12"/>
  <c r="J447" i="12"/>
  <c r="J415" i="12"/>
  <c r="J399" i="12"/>
  <c r="J375" i="12"/>
  <c r="AF42" i="10"/>
  <c r="S59" i="10"/>
  <c r="M52" i="10"/>
  <c r="Z61" i="10"/>
  <c r="S42" i="10"/>
  <c r="E653" i="12" a="1"/>
  <c r="E653" i="12" s="1"/>
  <c r="D653" i="12" s="1"/>
  <c r="Z52" i="10"/>
  <c r="G898" i="12"/>
  <c r="E894" i="12" a="1"/>
  <c r="E894" i="12" s="1"/>
  <c r="G882" i="12"/>
  <c r="E878" i="12" a="1"/>
  <c r="E878" i="12" s="1"/>
  <c r="F874" i="12"/>
  <c r="E866" i="12" a="1"/>
  <c r="E866" i="12" s="1"/>
  <c r="E862" i="12" a="1"/>
  <c r="E862" i="12" s="1"/>
  <c r="D862" i="12" s="1"/>
  <c r="G858" i="12"/>
  <c r="G854" i="12"/>
  <c r="G850" i="12"/>
  <c r="G846" i="12"/>
  <c r="F842" i="12"/>
  <c r="E838" i="12" a="1"/>
  <c r="E838" i="12" s="1"/>
  <c r="D838" i="12" s="1"/>
  <c r="G834" i="12"/>
  <c r="F826" i="12"/>
  <c r="E822" i="12" a="1"/>
  <c r="E822" i="12" s="1"/>
  <c r="D822" i="12" s="1"/>
  <c r="F814" i="12"/>
  <c r="E806" i="12" a="1"/>
  <c r="E806" i="12" s="1"/>
  <c r="F798" i="12"/>
  <c r="E794" i="12" a="1"/>
  <c r="E794" i="12" s="1"/>
  <c r="E790" i="12" a="1"/>
  <c r="E790" i="12" s="1"/>
  <c r="D790" i="12" s="1"/>
  <c r="E786" i="12" a="1"/>
  <c r="E786" i="12" s="1"/>
  <c r="F782" i="12"/>
  <c r="G766" i="12"/>
  <c r="E758" i="12" a="1"/>
  <c r="E758" i="12" s="1"/>
  <c r="D758" i="12" s="1"/>
  <c r="F754" i="12"/>
  <c r="F750" i="12"/>
  <c r="F746" i="12"/>
  <c r="F742" i="12"/>
  <c r="F730" i="12"/>
  <c r="E726" i="12" a="1"/>
  <c r="E726" i="12" s="1"/>
  <c r="D726" i="12" s="1"/>
  <c r="G722" i="12"/>
  <c r="F718" i="12"/>
  <c r="E714" i="12" a="1"/>
  <c r="E714" i="12" s="1"/>
  <c r="E710" i="12" a="1"/>
  <c r="E710" i="12" s="1"/>
  <c r="D710" i="12" s="1"/>
  <c r="E706" i="12" a="1"/>
  <c r="E706" i="12" s="1"/>
  <c r="F702" i="12"/>
  <c r="E698" i="12" a="1"/>
  <c r="E698" i="12" s="1"/>
  <c r="F694" i="12"/>
  <c r="E690" i="12" a="1"/>
  <c r="E690" i="12" s="1"/>
  <c r="D690" i="12" s="1"/>
  <c r="G686" i="12"/>
  <c r="G678" i="12"/>
  <c r="F674" i="12"/>
  <c r="E670" i="12" a="1"/>
  <c r="E670" i="12" s="1"/>
  <c r="F666" i="12"/>
  <c r="F650" i="12"/>
  <c r="G646" i="12"/>
  <c r="E642" i="12" a="1"/>
  <c r="E642" i="12" s="1"/>
  <c r="D642" i="12" s="1"/>
  <c r="F638" i="12"/>
  <c r="G634" i="12"/>
  <c r="F630" i="12"/>
  <c r="F626" i="12"/>
  <c r="G622" i="12"/>
  <c r="G3" i="10"/>
  <c r="AF59" i="10"/>
  <c r="E614" i="12" a="1"/>
  <c r="E614" i="12" s="1"/>
  <c r="F602" i="12"/>
  <c r="F594" i="12"/>
  <c r="E590" i="12" a="1"/>
  <c r="E590" i="12" s="1"/>
  <c r="D590" i="12" s="1"/>
  <c r="E586" i="12" a="1"/>
  <c r="E586" i="12" s="1"/>
  <c r="E582" i="12" a="1"/>
  <c r="E582" i="12" s="1"/>
  <c r="D582" i="12" s="1"/>
  <c r="F578" i="12"/>
  <c r="E570" i="12" a="1"/>
  <c r="E570" i="12" s="1"/>
  <c r="D570" i="12" s="1"/>
  <c r="F566" i="12"/>
  <c r="G558" i="12"/>
  <c r="G554" i="12"/>
  <c r="G546" i="12"/>
  <c r="G538" i="12"/>
  <c r="G534" i="12"/>
  <c r="G530" i="12"/>
  <c r="E526" i="12" a="1"/>
  <c r="E526" i="12" s="1"/>
  <c r="D526" i="12" s="1"/>
  <c r="F518" i="12"/>
  <c r="E514" i="12" a="1"/>
  <c r="E514" i="12" s="1"/>
  <c r="D514" i="12" s="1"/>
  <c r="F506" i="12"/>
  <c r="G502" i="12"/>
  <c r="G494" i="12"/>
  <c r="F490" i="12"/>
  <c r="E486" i="12" a="1"/>
  <c r="E486" i="12" s="1"/>
  <c r="F482" i="12"/>
  <c r="E478" i="12" a="1"/>
  <c r="E478" i="12" s="1"/>
  <c r="D478" i="12" s="1"/>
  <c r="G474" i="12"/>
  <c r="F470" i="12"/>
  <c r="G466" i="12"/>
  <c r="E454" i="12" a="1"/>
  <c r="E454" i="12" s="1"/>
  <c r="D454" i="12" s="1"/>
  <c r="F450" i="12"/>
  <c r="E446" i="12" a="1"/>
  <c r="E446" i="12" s="1"/>
  <c r="F442" i="12"/>
  <c r="G438" i="12"/>
  <c r="G434" i="12"/>
  <c r="F430" i="12"/>
  <c r="F422" i="12"/>
  <c r="F418" i="12"/>
  <c r="F414" i="12"/>
  <c r="E410" i="12" a="1"/>
  <c r="E410" i="12" s="1"/>
  <c r="E398" i="12" a="1"/>
  <c r="E398" i="12" s="1"/>
  <c r="D398" i="12" s="1"/>
  <c r="G394" i="12"/>
  <c r="F390" i="12"/>
  <c r="G386" i="12"/>
  <c r="G378" i="12"/>
  <c r="G374" i="12"/>
  <c r="F370" i="12"/>
  <c r="G366" i="12"/>
  <c r="F362" i="12"/>
  <c r="E358" i="12" a="1"/>
  <c r="E358" i="12" s="1"/>
  <c r="D358" i="12" s="1"/>
  <c r="G354" i="12"/>
  <c r="E350" i="12" a="1"/>
  <c r="E350" i="12" s="1"/>
  <c r="G342" i="12"/>
  <c r="F338" i="12"/>
  <c r="G334" i="12"/>
  <c r="E330" i="12" a="1"/>
  <c r="E330" i="12" s="1"/>
  <c r="G322" i="12"/>
  <c r="E306" i="12" a="1"/>
  <c r="E306" i="12" s="1"/>
  <c r="D306" i="12" s="1"/>
  <c r="G298" i="12"/>
  <c r="E294" i="12" a="1"/>
  <c r="E294" i="12" s="1"/>
  <c r="G290" i="12"/>
  <c r="E286" i="12" a="1"/>
  <c r="E286" i="12" s="1"/>
  <c r="D286" i="12" s="1"/>
  <c r="G278" i="12"/>
  <c r="G270" i="12"/>
  <c r="F254" i="12"/>
  <c r="G250" i="12"/>
  <c r="F246" i="12"/>
  <c r="F242" i="12"/>
  <c r="G238" i="12"/>
  <c r="G230" i="12"/>
  <c r="E222" i="12" a="1"/>
  <c r="E222" i="12" s="1"/>
  <c r="D222" i="12" s="1"/>
  <c r="G218" i="12"/>
  <c r="E210" i="12" a="1"/>
  <c r="E210" i="12" s="1"/>
  <c r="D210" i="12" s="1"/>
  <c r="E206" i="12" a="1"/>
  <c r="E206" i="12" s="1"/>
  <c r="D206" i="12" s="1"/>
  <c r="F202" i="12"/>
  <c r="E198" i="12" a="1"/>
  <c r="E198" i="12" s="1"/>
  <c r="E190" i="12" a="1"/>
  <c r="E190" i="12" s="1"/>
  <c r="D190" i="12" s="1"/>
  <c r="F186" i="12"/>
  <c r="F182" i="12"/>
  <c r="E178" i="12" a="1"/>
  <c r="E178" i="12" s="1"/>
  <c r="E174" i="12" a="1"/>
  <c r="E174" i="12" s="1"/>
  <c r="D174" i="12" s="1"/>
  <c r="G170" i="12"/>
  <c r="E166" i="12" a="1"/>
  <c r="E166" i="12" s="1"/>
  <c r="D166" i="12" s="1"/>
  <c r="F162" i="12"/>
  <c r="E154" i="12" a="1"/>
  <c r="E154" i="12" s="1"/>
  <c r="D154" i="12" s="1"/>
  <c r="F146" i="12"/>
  <c r="G142" i="12"/>
  <c r="E138" i="12" a="1"/>
  <c r="E138" i="12" s="1"/>
  <c r="E134" i="12" a="1"/>
  <c r="E134" i="12" s="1"/>
  <c r="D134" i="12" s="1"/>
  <c r="F126" i="12"/>
  <c r="F122" i="12"/>
  <c r="F118" i="12"/>
  <c r="E114" i="12" a="1"/>
  <c r="E114" i="12" s="1"/>
  <c r="D114" i="12" s="1"/>
  <c r="E102" i="12" a="1"/>
  <c r="E102" i="12" s="1"/>
  <c r="F94" i="12"/>
  <c r="F86" i="12"/>
  <c r="E82" i="12" a="1"/>
  <c r="E82" i="12" s="1"/>
  <c r="D82" i="12" s="1"/>
  <c r="E78" i="12" a="1"/>
  <c r="E78" i="12" s="1"/>
  <c r="D78" i="12" s="1"/>
  <c r="F74" i="12"/>
  <c r="F70" i="12"/>
  <c r="E50" i="12" a="1"/>
  <c r="E50" i="12" s="1"/>
  <c r="D50" i="12" s="1"/>
  <c r="E46" i="12" a="1"/>
  <c r="E46" i="12" s="1"/>
  <c r="G42" i="12"/>
  <c r="F38" i="12"/>
  <c r="G34" i="12"/>
  <c r="E30" i="12" a="1"/>
  <c r="E30" i="12" s="1"/>
  <c r="D30" i="12" s="1"/>
  <c r="F22" i="12"/>
  <c r="E18" i="12" a="1"/>
  <c r="E18" i="12" s="1"/>
  <c r="F6" i="12"/>
  <c r="G2" i="12"/>
  <c r="E634" i="12" a="1"/>
  <c r="E634" i="12" s="1"/>
  <c r="D634" i="12" s="1"/>
  <c r="E150" i="12" a="1"/>
  <c r="E150" i="12" s="1"/>
  <c r="E10" i="12" a="1"/>
  <c r="E10" i="12" s="1"/>
  <c r="D10" i="12" s="1"/>
  <c r="E409" i="12" a="1"/>
  <c r="E409" i="12" s="1"/>
  <c r="D409" i="12" s="1"/>
  <c r="E289" i="12" a="1"/>
  <c r="E289" i="12" s="1"/>
  <c r="D289" i="12" s="1"/>
  <c r="F288" i="12"/>
  <c r="E152" i="12" a="1"/>
  <c r="E152" i="12" s="1"/>
  <c r="D152" i="12" s="1"/>
  <c r="F100" i="12"/>
  <c r="E80" i="12" a="1"/>
  <c r="E80" i="12" s="1"/>
  <c r="D80" i="12" s="1"/>
  <c r="E34" i="12" a="1"/>
  <c r="E34" i="12" s="1"/>
  <c r="E35" i="12" a="1"/>
  <c r="E35" i="12" s="1"/>
  <c r="D35" i="12" s="1"/>
  <c r="E535" i="12" a="1"/>
  <c r="E535" i="12" s="1"/>
  <c r="E347" i="12" a="1"/>
  <c r="E347" i="12" s="1"/>
  <c r="D347" i="12" s="1"/>
  <c r="F608" i="12"/>
  <c r="E584" i="12" a="1"/>
  <c r="E584" i="12" s="1"/>
  <c r="D584" i="12" s="1"/>
  <c r="F576" i="12"/>
  <c r="E548" i="12" a="1"/>
  <c r="E548" i="12" s="1"/>
  <c r="D548" i="12" s="1"/>
  <c r="E212" i="12" a="1"/>
  <c r="E212" i="12" s="1"/>
  <c r="E168" i="12" a="1"/>
  <c r="E168" i="12" s="1"/>
  <c r="D168" i="12" s="1"/>
  <c r="E156" i="12" a="1"/>
  <c r="E156" i="12" s="1"/>
  <c r="E64" i="12" a="1"/>
  <c r="E64" i="12" s="1"/>
  <c r="E24" i="12" a="1"/>
  <c r="E24" i="12" s="1"/>
  <c r="E743" i="12" a="1"/>
  <c r="E743" i="12" s="1"/>
  <c r="D743" i="12" s="1"/>
  <c r="E675" i="12" a="1"/>
  <c r="E675" i="12" s="1"/>
  <c r="D675" i="12" s="1"/>
  <c r="E891" i="12" a="1"/>
  <c r="E891" i="12" s="1"/>
  <c r="D891" i="12" s="1"/>
  <c r="E695" i="12" a="1"/>
  <c r="E695" i="12" s="1"/>
  <c r="E579" i="12" a="1"/>
  <c r="E579" i="12" s="1"/>
  <c r="D579" i="12" s="1"/>
  <c r="E523" i="12" a="1"/>
  <c r="E523" i="12" s="1"/>
  <c r="D523" i="12" s="1"/>
  <c r="E483" i="12" a="1"/>
  <c r="E483" i="12" s="1"/>
  <c r="E459" i="12" a="1"/>
  <c r="E459" i="12" s="1"/>
  <c r="E435" i="12" a="1"/>
  <c r="E435" i="12" s="1"/>
  <c r="D435" i="12" s="1"/>
  <c r="E339" i="12" a="1"/>
  <c r="E339" i="12" s="1"/>
  <c r="D339" i="12" s="1"/>
  <c r="F311" i="12"/>
  <c r="E263" i="12" a="1"/>
  <c r="E263" i="12" s="1"/>
  <c r="E243" i="12" a="1"/>
  <c r="E243" i="12" s="1"/>
  <c r="D243" i="12" s="1"/>
  <c r="E223" i="12" a="1"/>
  <c r="E223" i="12" s="1"/>
  <c r="D223" i="12" s="1"/>
  <c r="G187" i="12"/>
  <c r="E139" i="12" a="1"/>
  <c r="E139" i="12" s="1"/>
  <c r="E123" i="12" a="1"/>
  <c r="E123" i="12" s="1"/>
  <c r="D123" i="12" s="1"/>
  <c r="F95" i="12"/>
  <c r="E47" i="12" a="1"/>
  <c r="E47" i="12" s="1"/>
  <c r="D47" i="12" s="1"/>
  <c r="F31" i="12"/>
  <c r="F15" i="12"/>
  <c r="E11" i="12" a="1"/>
  <c r="E11" i="12" s="1"/>
  <c r="D11" i="12" s="1"/>
  <c r="E831" i="12" a="1"/>
  <c r="E831" i="12" s="1"/>
  <c r="D831" i="12" s="1"/>
  <c r="E787" i="12" a="1"/>
  <c r="E787" i="12" s="1"/>
  <c r="E731" i="12" a="1"/>
  <c r="E731" i="12" s="1"/>
  <c r="D731" i="12" s="1"/>
  <c r="E687" i="12" a="1"/>
  <c r="E687" i="12" s="1"/>
  <c r="D687" i="12" s="1"/>
  <c r="E663" i="12" a="1"/>
  <c r="E663" i="12" s="1"/>
  <c r="D663" i="12" s="1"/>
  <c r="E647" i="12" a="1"/>
  <c r="E647" i="12" s="1"/>
  <c r="E631" i="12" a="1"/>
  <c r="E631" i="12" s="1"/>
  <c r="D631" i="12" s="1"/>
  <c r="E603" i="12" a="1"/>
  <c r="E603" i="12" s="1"/>
  <c r="D603" i="12" s="1"/>
  <c r="E543" i="12" a="1"/>
  <c r="E543" i="12" s="1"/>
  <c r="D543" i="12" s="1"/>
  <c r="E539" i="12" a="1"/>
  <c r="E539" i="12" s="1"/>
  <c r="E527" i="12" a="1"/>
  <c r="E527" i="12" s="1"/>
  <c r="E507" i="12" a="1"/>
  <c r="E507" i="12" s="1"/>
  <c r="D507" i="12" s="1"/>
  <c r="E503" i="12" a="1"/>
  <c r="E503" i="12" s="1"/>
  <c r="D503" i="12" s="1"/>
  <c r="E499" i="12" a="1"/>
  <c r="E499" i="12" s="1"/>
  <c r="E495" i="12" a="1"/>
  <c r="E495" i="12" s="1"/>
  <c r="D495" i="12" s="1"/>
  <c r="E491" i="12" a="1"/>
  <c r="E491" i="12" s="1"/>
  <c r="D491" i="12" s="1"/>
  <c r="E479" i="12" a="1"/>
  <c r="E479" i="12" s="1"/>
  <c r="D479" i="12" s="1"/>
  <c r="E471" i="12" a="1"/>
  <c r="E471" i="12" s="1"/>
  <c r="E467" i="12" a="1"/>
  <c r="E467" i="12" s="1"/>
  <c r="D467" i="12" s="1"/>
  <c r="F455" i="12"/>
  <c r="F431" i="12"/>
  <c r="E427" i="12" a="1"/>
  <c r="E427" i="12" s="1"/>
  <c r="E423" i="12" a="1"/>
  <c r="E423" i="12" s="1"/>
  <c r="D423" i="12" s="1"/>
  <c r="E415" i="12" a="1"/>
  <c r="E415" i="12" s="1"/>
  <c r="D415" i="12" s="1"/>
  <c r="F411" i="12"/>
  <c r="F399" i="12"/>
  <c r="E395" i="12" a="1"/>
  <c r="E395" i="12" s="1"/>
  <c r="D395" i="12" s="1"/>
  <c r="E383" i="12" a="1"/>
  <c r="E383" i="12" s="1"/>
  <c r="D383" i="12" s="1"/>
  <c r="E375" i="12" a="1"/>
  <c r="E375" i="12" s="1"/>
  <c r="D375" i="12" s="1"/>
  <c r="E367" i="12" a="1"/>
  <c r="E367" i="12" s="1"/>
  <c r="E363" i="12" a="1"/>
  <c r="E363" i="12" s="1"/>
  <c r="D363" i="12" s="1"/>
  <c r="E355" i="12" a="1"/>
  <c r="E355" i="12" s="1"/>
  <c r="D355" i="12" s="1"/>
  <c r="E351" i="12" a="1"/>
  <c r="E351" i="12" s="1"/>
  <c r="D351" i="12" s="1"/>
  <c r="F343" i="12"/>
  <c r="E343" i="12" a="1"/>
  <c r="E343" i="12" s="1"/>
  <c r="G335" i="12"/>
  <c r="E331" i="12" a="1"/>
  <c r="E331" i="12" s="1"/>
  <c r="D331" i="12" s="1"/>
  <c r="E327" i="12" a="1"/>
  <c r="E327" i="12" s="1"/>
  <c r="E315" i="12" a="1"/>
  <c r="E315" i="12" s="1"/>
  <c r="D315" i="12" s="1"/>
  <c r="E307" i="12" a="1"/>
  <c r="E307" i="12" s="1"/>
  <c r="E303" i="12" a="1"/>
  <c r="E303" i="12" s="1"/>
  <c r="D303" i="12" s="1"/>
  <c r="E299" i="12" a="1"/>
  <c r="E299" i="12" s="1"/>
  <c r="E283" i="12" a="1"/>
  <c r="E283" i="12" s="1"/>
  <c r="D283" i="12" s="1"/>
  <c r="E275" i="12" a="1"/>
  <c r="E275" i="12" s="1"/>
  <c r="D275" i="12" s="1"/>
  <c r="F271" i="12"/>
  <c r="E267" i="12" a="1"/>
  <c r="E267" i="12" s="1"/>
  <c r="E259" i="12" a="1"/>
  <c r="E259" i="12" s="1"/>
  <c r="D259" i="12" s="1"/>
  <c r="F255" i="12"/>
  <c r="F251" i="12"/>
  <c r="E247" i="12" a="1"/>
  <c r="E247" i="12" s="1"/>
  <c r="E239" i="12" a="1"/>
  <c r="E239" i="12" s="1"/>
  <c r="D239" i="12" s="1"/>
  <c r="E235" i="12" a="1"/>
  <c r="E235" i="12" s="1"/>
  <c r="D235" i="12" s="1"/>
  <c r="E219" i="12" a="1"/>
  <c r="E219" i="12" s="1"/>
  <c r="D219" i="12" s="1"/>
  <c r="E215" i="12" a="1"/>
  <c r="E215" i="12" s="1"/>
  <c r="F207" i="12"/>
  <c r="E203" i="12" a="1"/>
  <c r="E203" i="12" s="1"/>
  <c r="D203" i="12" s="1"/>
  <c r="E175" i="12" a="1"/>
  <c r="E175" i="12" s="1"/>
  <c r="E171" i="12" a="1"/>
  <c r="E171" i="12" s="1"/>
  <c r="E167" i="12" a="1"/>
  <c r="E167" i="12" s="1"/>
  <c r="D167" i="12" s="1"/>
  <c r="E159" i="12" a="1"/>
  <c r="E159" i="12" s="1"/>
  <c r="D159" i="12" s="1"/>
  <c r="E155" i="12" a="1"/>
  <c r="E155" i="12" s="1"/>
  <c r="D155" i="12" s="1"/>
  <c r="E151" i="12" a="1"/>
  <c r="E151" i="12" s="1"/>
  <c r="E147" i="12" a="1"/>
  <c r="E147" i="12" s="1"/>
  <c r="D147" i="12" s="1"/>
  <c r="E143" i="12" a="1"/>
  <c r="E143" i="12" s="1"/>
  <c r="D143" i="12" s="1"/>
  <c r="E135" i="12" a="1"/>
  <c r="E135" i="12" s="1"/>
  <c r="D135" i="12" s="1"/>
  <c r="E131" i="12" a="1"/>
  <c r="E131" i="12" s="1"/>
  <c r="E127" i="12" a="1"/>
  <c r="E127" i="12" s="1"/>
  <c r="D127" i="12" s="1"/>
  <c r="E107" i="12" a="1"/>
  <c r="E107" i="12" s="1"/>
  <c r="D107" i="12" s="1"/>
  <c r="F103" i="12"/>
  <c r="E87" i="12" a="1"/>
  <c r="E87" i="12" s="1"/>
  <c r="E79" i="12" a="1"/>
  <c r="E79" i="12" s="1"/>
  <c r="D79" i="12" s="1"/>
  <c r="F75" i="12"/>
  <c r="E71" i="12" a="1"/>
  <c r="E71" i="12" s="1"/>
  <c r="D71" i="12" s="1"/>
  <c r="G63" i="12"/>
  <c r="F59" i="12"/>
  <c r="E55" i="12" a="1"/>
  <c r="E55" i="12" s="1"/>
  <c r="D55" i="12" s="1"/>
  <c r="E51" i="12" a="1"/>
  <c r="E51" i="12" s="1"/>
  <c r="D51" i="12" s="1"/>
  <c r="E43" i="12" a="1"/>
  <c r="E43" i="12" s="1"/>
  <c r="F87" i="12"/>
  <c r="E875" i="12" a="1"/>
  <c r="E875" i="12" s="1"/>
  <c r="E839" i="12" a="1"/>
  <c r="E839" i="12" s="1"/>
  <c r="D839" i="12" s="1"/>
  <c r="E775" i="12" a="1"/>
  <c r="E775" i="12" s="1"/>
  <c r="G755" i="12"/>
  <c r="E719" i="12" a="1"/>
  <c r="E719" i="12" s="1"/>
  <c r="D719" i="12" s="1"/>
  <c r="F671" i="12"/>
  <c r="E619" i="12" a="1"/>
  <c r="E619" i="12" s="1"/>
  <c r="E843" i="12" a="1"/>
  <c r="E843" i="12" s="1"/>
  <c r="D843" i="12" s="1"/>
  <c r="E827" i="12" a="1"/>
  <c r="E827" i="12" s="1"/>
  <c r="D827" i="12" s="1"/>
  <c r="E811" i="12" a="1"/>
  <c r="E811" i="12" s="1"/>
  <c r="D811" i="12" s="1"/>
  <c r="E767" i="12" a="1"/>
  <c r="E767" i="12" s="1"/>
  <c r="E723" i="12" a="1"/>
  <c r="E723" i="12" s="1"/>
  <c r="D723" i="12" s="1"/>
  <c r="E699" i="12" a="1"/>
  <c r="E699" i="12" s="1"/>
  <c r="D699" i="12" s="1"/>
  <c r="E679" i="12" a="1"/>
  <c r="E679" i="12" s="1"/>
  <c r="D679" i="12" s="1"/>
  <c r="E643" i="12" a="1"/>
  <c r="E643" i="12" s="1"/>
  <c r="E889" i="12" a="1"/>
  <c r="E889" i="12" s="1"/>
  <c r="D889" i="12" s="1"/>
  <c r="F881" i="12"/>
  <c r="E857" i="12" a="1"/>
  <c r="E857" i="12" s="1"/>
  <c r="D857" i="12" s="1"/>
  <c r="E833" i="12" a="1"/>
  <c r="E833" i="12" s="1"/>
  <c r="E821" i="12" a="1"/>
  <c r="E821" i="12" s="1"/>
  <c r="G781" i="12"/>
  <c r="E777" i="12" a="1"/>
  <c r="E777" i="12" s="1"/>
  <c r="D777" i="12" s="1"/>
  <c r="F769" i="12"/>
  <c r="E761" i="12" a="1"/>
  <c r="E761" i="12" s="1"/>
  <c r="D761" i="12" s="1"/>
  <c r="E757" i="12" a="1"/>
  <c r="E757" i="12" s="1"/>
  <c r="D757" i="12" s="1"/>
  <c r="E749" i="12" a="1"/>
  <c r="E749" i="12" s="1"/>
  <c r="D749" i="12" s="1"/>
  <c r="E733" i="12" a="1"/>
  <c r="E733" i="12" s="1"/>
  <c r="E729" i="12" a="1"/>
  <c r="E729" i="12" s="1"/>
  <c r="E721" i="12" a="1"/>
  <c r="E721" i="12" s="1"/>
  <c r="E713" i="12" a="1"/>
  <c r="E713" i="12" s="1"/>
  <c r="D713" i="12" s="1"/>
  <c r="E693" i="12" a="1"/>
  <c r="E693" i="12" s="1"/>
  <c r="E677" i="12" a="1"/>
  <c r="E677" i="12" s="1"/>
  <c r="D677" i="12" s="1"/>
  <c r="F673" i="12"/>
  <c r="E669" i="12" a="1"/>
  <c r="E669" i="12" s="1"/>
  <c r="D669" i="12" s="1"/>
  <c r="E665" i="12" a="1"/>
  <c r="E665" i="12" s="1"/>
  <c r="E661" i="12" a="1"/>
  <c r="E661" i="12" s="1"/>
  <c r="D661" i="12" s="1"/>
  <c r="E649" i="12" a="1"/>
  <c r="E649" i="12" s="1"/>
  <c r="D649" i="12" s="1"/>
  <c r="E637" i="12" a="1"/>
  <c r="E637" i="12" s="1"/>
  <c r="D637" i="12" s="1"/>
  <c r="E609" i="12" a="1"/>
  <c r="E609" i="12" s="1"/>
  <c r="E241" i="12" a="1"/>
  <c r="E241" i="12" s="1"/>
  <c r="D241" i="12" s="1"/>
  <c r="F77" i="12"/>
  <c r="E21" i="12" a="1"/>
  <c r="E21" i="12" s="1"/>
  <c r="D21" i="12" s="1"/>
  <c r="E899" i="12" a="1"/>
  <c r="E899" i="12" s="1"/>
  <c r="E835" i="12" a="1"/>
  <c r="E835" i="12" s="1"/>
  <c r="E779" i="12" a="1"/>
  <c r="E779" i="12" s="1"/>
  <c r="E747" i="12" a="1"/>
  <c r="E747" i="12" s="1"/>
  <c r="D747" i="12" s="1"/>
  <c r="E727" i="12" a="1"/>
  <c r="E727" i="12" s="1"/>
  <c r="E667" i="12" a="1"/>
  <c r="E667" i="12" s="1"/>
  <c r="D667" i="12" s="1"/>
  <c r="F655" i="12"/>
  <c r="E635" i="12" a="1"/>
  <c r="E635" i="12" s="1"/>
  <c r="D635" i="12" s="1"/>
  <c r="E615" i="12" a="1"/>
  <c r="E615" i="12" s="1"/>
  <c r="E515" i="12" a="1"/>
  <c r="E515" i="12" s="1"/>
  <c r="D515" i="12" s="1"/>
  <c r="F897" i="12"/>
  <c r="E885" i="12" a="1"/>
  <c r="E885" i="12" s="1"/>
  <c r="D885" i="12" s="1"/>
  <c r="G877" i="12"/>
  <c r="E801" i="12" a="1"/>
  <c r="E801" i="12" s="1"/>
  <c r="D801" i="12" s="1"/>
  <c r="E793" i="12" a="1"/>
  <c r="E793" i="12" s="1"/>
  <c r="D793" i="12" s="1"/>
  <c r="E785" i="12" a="1"/>
  <c r="E785" i="12" s="1"/>
  <c r="D785" i="12" s="1"/>
  <c r="E621" i="12" a="1"/>
  <c r="E621" i="12" s="1"/>
  <c r="E601" i="12" a="1"/>
  <c r="E601" i="12" s="1"/>
  <c r="D601" i="12" s="1"/>
  <c r="G589" i="12"/>
  <c r="E581" i="12" a="1"/>
  <c r="E581" i="12" s="1"/>
  <c r="D581" i="12" s="1"/>
  <c r="E573" i="12" a="1"/>
  <c r="E573" i="12" s="1"/>
  <c r="E553" i="12" a="1"/>
  <c r="E553" i="12" s="1"/>
  <c r="D553" i="12" s="1"/>
  <c r="E545" i="12" a="1"/>
  <c r="E545" i="12" s="1"/>
  <c r="D545" i="12" s="1"/>
  <c r="E541" i="12" a="1"/>
  <c r="E541" i="12" s="1"/>
  <c r="D541" i="12" s="1"/>
  <c r="E521" i="12" a="1"/>
  <c r="E521" i="12" s="1"/>
  <c r="E517" i="12" a="1"/>
  <c r="E517" i="12" s="1"/>
  <c r="D517" i="12" s="1"/>
  <c r="E501" i="12" a="1"/>
  <c r="E501" i="12" s="1"/>
  <c r="D501" i="12" s="1"/>
  <c r="E497" i="12" a="1"/>
  <c r="E497" i="12" s="1"/>
  <c r="D497" i="12" s="1"/>
  <c r="F493" i="12"/>
  <c r="E489" i="12" a="1"/>
  <c r="E489" i="12" s="1"/>
  <c r="D489" i="12" s="1"/>
  <c r="F485" i="12"/>
  <c r="E477" i="12" a="1"/>
  <c r="E477" i="12" s="1"/>
  <c r="D477" i="12" s="1"/>
  <c r="E465" i="12" a="1"/>
  <c r="E465" i="12" s="1"/>
  <c r="E461" i="12" a="1"/>
  <c r="E461" i="12" s="1"/>
  <c r="D461" i="12" s="1"/>
  <c r="E457" i="12" a="1"/>
  <c r="E457" i="12" s="1"/>
  <c r="D457" i="12" s="1"/>
  <c r="E449" i="12" a="1"/>
  <c r="E449" i="12" s="1"/>
  <c r="D449" i="12" s="1"/>
  <c r="E441" i="12" a="1"/>
  <c r="E441" i="12" s="1"/>
  <c r="E433" i="12" a="1"/>
  <c r="E433" i="12" s="1"/>
  <c r="D433" i="12" s="1"/>
  <c r="E429" i="12" a="1"/>
  <c r="E429" i="12" s="1"/>
  <c r="D429" i="12" s="1"/>
  <c r="E425" i="12" a="1"/>
  <c r="E425" i="12" s="1"/>
  <c r="E421" i="12" a="1"/>
  <c r="E421" i="12" s="1"/>
  <c r="G417" i="12"/>
  <c r="G409" i="12"/>
  <c r="E405" i="12" a="1"/>
  <c r="E405" i="12" s="1"/>
  <c r="D405" i="12" s="1"/>
  <c r="E397" i="12" a="1"/>
  <c r="E397" i="12" s="1"/>
  <c r="E393" i="12" a="1"/>
  <c r="E393" i="12" s="1"/>
  <c r="D393" i="12" s="1"/>
  <c r="F389" i="12"/>
  <c r="E385" i="12" a="1"/>
  <c r="E385" i="12" s="1"/>
  <c r="D385" i="12" s="1"/>
  <c r="E377" i="12" a="1"/>
  <c r="E377" i="12" s="1"/>
  <c r="F373" i="12"/>
  <c r="F361" i="12"/>
  <c r="E357" i="12" a="1"/>
  <c r="E357" i="12" s="1"/>
  <c r="D357" i="12" s="1"/>
  <c r="E349" i="12" a="1"/>
  <c r="E349" i="12" s="1"/>
  <c r="E345" i="12" a="1"/>
  <c r="E345" i="12" s="1"/>
  <c r="D345" i="12" s="1"/>
  <c r="E341" i="12" a="1"/>
  <c r="E341" i="12" s="1"/>
  <c r="D341" i="12" s="1"/>
  <c r="E329" i="12" a="1"/>
  <c r="E329" i="12" s="1"/>
  <c r="D329" i="12" s="1"/>
  <c r="E321" i="12" a="1"/>
  <c r="E321" i="12" s="1"/>
  <c r="E317" i="12" a="1"/>
  <c r="E317" i="12" s="1"/>
  <c r="D317" i="12" s="1"/>
  <c r="F309" i="12"/>
  <c r="E305" i="12" a="1"/>
  <c r="E305" i="12" s="1"/>
  <c r="D305" i="12" s="1"/>
  <c r="E301" i="12" a="1"/>
  <c r="E301" i="12" s="1"/>
  <c r="F281" i="12"/>
  <c r="E273" i="12" a="1"/>
  <c r="E273" i="12" s="1"/>
  <c r="D273" i="12" s="1"/>
  <c r="E269" i="12" a="1"/>
  <c r="E269" i="12" s="1"/>
  <c r="D269" i="12" s="1"/>
  <c r="F261" i="12"/>
  <c r="E253" i="12" a="1"/>
  <c r="E253" i="12" s="1"/>
  <c r="D253" i="12" s="1"/>
  <c r="E237" i="12" a="1"/>
  <c r="E237" i="12" s="1"/>
  <c r="E229" i="12" a="1"/>
  <c r="E229" i="12" s="1"/>
  <c r="D229" i="12" s="1"/>
  <c r="F205" i="12"/>
  <c r="F201" i="12"/>
  <c r="E197" i="12" a="1"/>
  <c r="E197" i="12" s="1"/>
  <c r="D197" i="12" s="1"/>
  <c r="E193" i="12" a="1"/>
  <c r="E193" i="12" s="1"/>
  <c r="D193" i="12" s="1"/>
  <c r="E185" i="12" a="1"/>
  <c r="E185" i="12" s="1"/>
  <c r="E181" i="12" a="1"/>
  <c r="E181" i="12" s="1"/>
  <c r="D181" i="12" s="1"/>
  <c r="E177" i="12" a="1"/>
  <c r="E177" i="12" s="1"/>
  <c r="D177" i="12" s="1"/>
  <c r="E169" i="12" a="1"/>
  <c r="E169" i="12" s="1"/>
  <c r="D169" i="12" s="1"/>
  <c r="F165" i="12"/>
  <c r="E161" i="12" a="1"/>
  <c r="E161" i="12" s="1"/>
  <c r="D161" i="12" s="1"/>
  <c r="F153" i="12"/>
  <c r="E149" i="12" a="1"/>
  <c r="E149" i="12" s="1"/>
  <c r="D149" i="12" s="1"/>
  <c r="E145" i="12" a="1"/>
  <c r="E145" i="12" s="1"/>
  <c r="F141" i="12"/>
  <c r="F133" i="12"/>
  <c r="E129" i="12" a="1"/>
  <c r="E129" i="12" s="1"/>
  <c r="D129" i="12" s="1"/>
  <c r="F117" i="12"/>
  <c r="E109" i="12" a="1"/>
  <c r="E109" i="12" s="1"/>
  <c r="D109" i="12" s="1"/>
  <c r="G101" i="12"/>
  <c r="E97" i="12" a="1"/>
  <c r="E97" i="12" s="1"/>
  <c r="D97" i="12" s="1"/>
  <c r="F89" i="12"/>
  <c r="E85" i="12" a="1"/>
  <c r="E85" i="12" s="1"/>
  <c r="D85" i="12" s="1"/>
  <c r="E77" i="12" a="1"/>
  <c r="E77" i="12" s="1"/>
  <c r="D77" i="12" s="1"/>
  <c r="E73" i="12" a="1"/>
  <c r="E73" i="12" s="1"/>
  <c r="D73" i="12" s="1"/>
  <c r="E65" i="12" a="1"/>
  <c r="E65" i="12" s="1"/>
  <c r="E61" i="12" a="1"/>
  <c r="E61" i="12" s="1"/>
  <c r="D61" i="12" s="1"/>
  <c r="F57" i="12"/>
  <c r="F53" i="12"/>
  <c r="E49" i="12" a="1"/>
  <c r="E49" i="12" s="1"/>
  <c r="G29" i="12"/>
  <c r="E25" i="12" a="1"/>
  <c r="E25" i="12" s="1"/>
  <c r="F17" i="12"/>
  <c r="F5" i="12"/>
  <c r="G633" i="12"/>
  <c r="E597" i="12" a="1"/>
  <c r="E597" i="12" s="1"/>
  <c r="D597" i="12" s="1"/>
  <c r="E585" i="12" a="1"/>
  <c r="E585" i="12" s="1"/>
  <c r="D585" i="12" s="1"/>
  <c r="E577" i="12" a="1"/>
  <c r="E577" i="12" s="1"/>
  <c r="E565" i="12" a="1"/>
  <c r="E565" i="12" s="1"/>
  <c r="D565" i="12" s="1"/>
  <c r="E629" i="12" a="1"/>
  <c r="E629" i="12" s="1"/>
  <c r="D629" i="12" s="1"/>
  <c r="E613" i="12" a="1"/>
  <c r="E613" i="12" s="1"/>
  <c r="D613" i="12" s="1"/>
  <c r="E593" i="12" a="1"/>
  <c r="E593" i="12" s="1"/>
  <c r="F549" i="12"/>
  <c r="F325" i="12"/>
  <c r="E325" i="12" a="1"/>
  <c r="E325" i="12" s="1"/>
  <c r="D325" i="12" s="1"/>
  <c r="G285" i="12"/>
  <c r="E285" i="12" a="1"/>
  <c r="E285" i="12" s="1"/>
  <c r="D285" i="12" s="1"/>
  <c r="F265" i="12"/>
  <c r="E265" i="12" a="1"/>
  <c r="E265" i="12" s="1"/>
  <c r="D265" i="12" s="1"/>
  <c r="E217" i="12" a="1"/>
  <c r="E217" i="12" s="1"/>
  <c r="F217" i="12"/>
  <c r="E485" i="12" a="1"/>
  <c r="E485" i="12" s="1"/>
  <c r="D485" i="12" s="1"/>
  <c r="F601" i="12"/>
  <c r="E473" i="12" a="1"/>
  <c r="E473" i="12" s="1"/>
  <c r="F473" i="12"/>
  <c r="E353" i="12" a="1"/>
  <c r="E353" i="12" s="1"/>
  <c r="D353" i="12" s="1"/>
  <c r="F353" i="12"/>
  <c r="G173" i="12"/>
  <c r="F173" i="12"/>
  <c r="E173" i="12" a="1"/>
  <c r="E173" i="12" s="1"/>
  <c r="D173" i="12" s="1"/>
  <c r="E137" i="12" a="1"/>
  <c r="E137" i="12" s="1"/>
  <c r="D137" i="12" s="1"/>
  <c r="F137" i="12"/>
  <c r="G69" i="12"/>
  <c r="E69" i="12" a="1"/>
  <c r="E69" i="12" s="1"/>
  <c r="D69" i="12" s="1"/>
  <c r="F429" i="12"/>
  <c r="F845" i="12"/>
  <c r="E845" i="12" a="1"/>
  <c r="E845" i="12" s="1"/>
  <c r="D845" i="12" s="1"/>
  <c r="E153" i="12" a="1"/>
  <c r="E153" i="12" s="1"/>
  <c r="D153" i="12" s="1"/>
  <c r="E165" i="12" a="1"/>
  <c r="E165" i="12" s="1"/>
  <c r="D165" i="12" s="1"/>
  <c r="G281" i="12"/>
  <c r="F437" i="12"/>
  <c r="E437" i="12" a="1"/>
  <c r="E437" i="12" s="1"/>
  <c r="D437" i="12" s="1"/>
  <c r="E249" i="12" a="1"/>
  <c r="E249" i="12" s="1"/>
  <c r="D249" i="12" s="1"/>
  <c r="G249" i="12"/>
  <c r="E45" i="12" a="1"/>
  <c r="E45" i="12" s="1"/>
  <c r="D45" i="12" s="1"/>
  <c r="F45" i="12"/>
  <c r="F37" i="12"/>
  <c r="G37" i="12"/>
  <c r="E37" i="12" a="1"/>
  <c r="E37" i="12" s="1"/>
  <c r="F29" i="12"/>
  <c r="E29" i="12" a="1"/>
  <c r="E29" i="12" s="1"/>
  <c r="D29" i="12" s="1"/>
  <c r="F701" i="12"/>
  <c r="E701" i="12" a="1"/>
  <c r="E701" i="12" s="1"/>
  <c r="D701" i="12" s="1"/>
  <c r="F505" i="12"/>
  <c r="G505" i="12"/>
  <c r="E505" i="12" a="1"/>
  <c r="E505" i="12" s="1"/>
  <c r="E401" i="12" a="1"/>
  <c r="E401" i="12" s="1"/>
  <c r="D401" i="12" s="1"/>
  <c r="F401" i="12"/>
  <c r="E297" i="12" a="1"/>
  <c r="E297" i="12" s="1"/>
  <c r="D297" i="12" s="1"/>
  <c r="G297" i="12"/>
  <c r="F293" i="12"/>
  <c r="E293" i="12" a="1"/>
  <c r="E293" i="12" s="1"/>
  <c r="D293" i="12" s="1"/>
  <c r="E189" i="12" a="1"/>
  <c r="E189" i="12" s="1"/>
  <c r="G189" i="12"/>
  <c r="F81" i="12"/>
  <c r="G81" i="12"/>
  <c r="F529" i="12"/>
  <c r="E529" i="12" a="1"/>
  <c r="E529" i="12" s="1"/>
  <c r="E333" i="12" a="1"/>
  <c r="E333" i="12" s="1"/>
  <c r="D333" i="12" s="1"/>
  <c r="F333" i="12"/>
  <c r="E221" i="12" a="1"/>
  <c r="E221" i="12" s="1"/>
  <c r="F221" i="12"/>
  <c r="E213" i="12" a="1"/>
  <c r="E213" i="12" s="1"/>
  <c r="D213" i="12" s="1"/>
  <c r="F213" i="12"/>
  <c r="E209" i="12" a="1"/>
  <c r="E209" i="12" s="1"/>
  <c r="D209" i="12" s="1"/>
  <c r="F209" i="12"/>
  <c r="E121" i="12" a="1"/>
  <c r="E121" i="12" s="1"/>
  <c r="D121" i="12" s="1"/>
  <c r="G121" i="12"/>
  <c r="F113" i="12"/>
  <c r="E113" i="12" a="1"/>
  <c r="E113" i="12" s="1"/>
  <c r="E93" i="12" a="1"/>
  <c r="E93" i="12" s="1"/>
  <c r="D93" i="12" s="1"/>
  <c r="F93" i="12"/>
  <c r="E117" i="12" a="1"/>
  <c r="E117" i="12" s="1"/>
  <c r="D117" i="12" s="1"/>
  <c r="E730" i="12" a="1"/>
  <c r="E730" i="12" s="1"/>
  <c r="E399" i="12" a="1"/>
  <c r="E399" i="12" s="1"/>
  <c r="D399" i="12" s="1"/>
  <c r="E430" i="12" a="1"/>
  <c r="E430" i="12" s="1"/>
  <c r="D430" i="12" s="1"/>
  <c r="E338" i="12" a="1"/>
  <c r="E338" i="12" s="1"/>
  <c r="G82" i="12"/>
  <c r="E849" i="12" a="1"/>
  <c r="E849" i="12" s="1"/>
  <c r="D849" i="12" s="1"/>
  <c r="E829" i="12" a="1"/>
  <c r="E829" i="12" s="1"/>
  <c r="D829" i="12" s="1"/>
  <c r="F817" i="12"/>
  <c r="F797" i="12"/>
  <c r="E697" i="12" a="1"/>
  <c r="E697" i="12" s="1"/>
  <c r="D697" i="12" s="1"/>
  <c r="F645" i="12"/>
  <c r="E641" i="12" a="1"/>
  <c r="E641" i="12" s="1"/>
  <c r="D641" i="12" s="1"/>
  <c r="E617" i="12" a="1"/>
  <c r="E617" i="12" s="1"/>
  <c r="E589" i="12" a="1"/>
  <c r="E589" i="12" s="1"/>
  <c r="D589" i="12" s="1"/>
  <c r="E557" i="12" a="1"/>
  <c r="E557" i="12" s="1"/>
  <c r="D557" i="12" s="1"/>
  <c r="F545" i="12"/>
  <c r="E533" i="12" a="1"/>
  <c r="E533" i="12" s="1"/>
  <c r="E525" i="12" a="1"/>
  <c r="E525" i="12" s="1"/>
  <c r="D525" i="12" s="1"/>
  <c r="G445" i="12"/>
  <c r="E417" i="12" a="1"/>
  <c r="E417" i="12" s="1"/>
  <c r="D417" i="12" s="1"/>
  <c r="F413" i="12"/>
  <c r="E365" i="12" a="1"/>
  <c r="E365" i="12" s="1"/>
  <c r="D365" i="12" s="1"/>
  <c r="F357" i="12"/>
  <c r="G353" i="12"/>
  <c r="F337" i="12"/>
  <c r="E313" i="12" a="1"/>
  <c r="E313" i="12" s="1"/>
  <c r="D313" i="12" s="1"/>
  <c r="E277" i="12" a="1"/>
  <c r="E277" i="12" s="1"/>
  <c r="D277" i="12" s="1"/>
  <c r="E261" i="12" a="1"/>
  <c r="E261" i="12" s="1"/>
  <c r="D261" i="12" s="1"/>
  <c r="F253" i="12"/>
  <c r="F249" i="12"/>
  <c r="E233" i="12" a="1"/>
  <c r="E233" i="12" s="1"/>
  <c r="D233" i="12" s="1"/>
  <c r="E205" i="12" a="1"/>
  <c r="E205" i="12" s="1"/>
  <c r="D205" i="12" s="1"/>
  <c r="F181" i="12"/>
  <c r="F169" i="12"/>
  <c r="E157" i="12" a="1"/>
  <c r="E157" i="12" s="1"/>
  <c r="D157" i="12" s="1"/>
  <c r="G145" i="12"/>
  <c r="F125" i="12"/>
  <c r="G113" i="12"/>
  <c r="F101" i="12"/>
  <c r="E89" i="12" a="1"/>
  <c r="E89" i="12" s="1"/>
  <c r="D89" i="12" s="1"/>
  <c r="F73" i="12"/>
  <c r="F41" i="12"/>
  <c r="E33" i="12" a="1"/>
  <c r="E33" i="12" s="1"/>
  <c r="D33" i="12" s="1"/>
  <c r="F9" i="12"/>
  <c r="E418" i="12" a="1"/>
  <c r="E418" i="12" s="1"/>
  <c r="E482" i="12" a="1"/>
  <c r="E482" i="12" s="1"/>
  <c r="D482" i="12" s="1"/>
  <c r="E490" i="12" a="1"/>
  <c r="E490" i="12" s="1"/>
  <c r="D490" i="12" s="1"/>
  <c r="F802" i="12"/>
  <c r="E366" i="12" a="1"/>
  <c r="E366" i="12" s="1"/>
  <c r="E122" i="12" a="1"/>
  <c r="E122" i="12" s="1"/>
  <c r="D122" i="12" s="1"/>
  <c r="E900" i="12" a="1"/>
  <c r="E900" i="12" s="1"/>
  <c r="D900" i="12" s="1"/>
  <c r="E892" i="12" a="1"/>
  <c r="E892" i="12" s="1"/>
  <c r="E888" i="12" a="1"/>
  <c r="E888" i="12" s="1"/>
  <c r="E884" i="12" a="1"/>
  <c r="E884" i="12" s="1"/>
  <c r="D884" i="12" s="1"/>
  <c r="E876" i="12" a="1"/>
  <c r="E876" i="12" s="1"/>
  <c r="E872" i="12" a="1"/>
  <c r="E872" i="12" s="1"/>
  <c r="D872" i="12" s="1"/>
  <c r="E868" i="12" a="1"/>
  <c r="E868" i="12" s="1"/>
  <c r="F864" i="12"/>
  <c r="E860" i="12" a="1"/>
  <c r="E860" i="12" s="1"/>
  <c r="D860" i="12" s="1"/>
  <c r="F856" i="12"/>
  <c r="F852" i="12"/>
  <c r="E848" i="12" a="1"/>
  <c r="E848" i="12" s="1"/>
  <c r="D848" i="12" s="1"/>
  <c r="F844" i="12"/>
  <c r="E836" i="12" a="1"/>
  <c r="E836" i="12" s="1"/>
  <c r="D836" i="12" s="1"/>
  <c r="E824" i="12" a="1"/>
  <c r="E824" i="12" s="1"/>
  <c r="E816" i="12" a="1"/>
  <c r="E816" i="12" s="1"/>
  <c r="D816" i="12" s="1"/>
  <c r="E808" i="12" a="1"/>
  <c r="E808" i="12" s="1"/>
  <c r="D808" i="12" s="1"/>
  <c r="E804" i="12" a="1"/>
  <c r="E804" i="12" s="1"/>
  <c r="D804" i="12" s="1"/>
  <c r="E800" i="12" a="1"/>
  <c r="E800" i="12" s="1"/>
  <c r="E792" i="12" a="1"/>
  <c r="E792" i="12" s="1"/>
  <c r="D792" i="12" s="1"/>
  <c r="E784" i="12" a="1"/>
  <c r="E784" i="12" s="1"/>
  <c r="D784" i="12" s="1"/>
  <c r="E776" i="12" a="1"/>
  <c r="E776" i="12" s="1"/>
  <c r="D776" i="12" s="1"/>
  <c r="F772" i="12"/>
  <c r="E768" i="12" a="1"/>
  <c r="E768" i="12" s="1"/>
  <c r="D768" i="12" s="1"/>
  <c r="E764" i="12" a="1"/>
  <c r="E764" i="12" s="1"/>
  <c r="D764" i="12" s="1"/>
  <c r="E760" i="12" a="1"/>
  <c r="E760" i="12" s="1"/>
  <c r="E752" i="12" a="1"/>
  <c r="E752" i="12" s="1"/>
  <c r="E744" i="12" a="1"/>
  <c r="E744" i="12" s="1"/>
  <c r="D744" i="12" s="1"/>
  <c r="E740" i="12" a="1"/>
  <c r="E740" i="12" s="1"/>
  <c r="D740" i="12" s="1"/>
  <c r="E736" i="12" a="1"/>
  <c r="E736" i="12" s="1"/>
  <c r="D736" i="12" s="1"/>
  <c r="E732" i="12" a="1"/>
  <c r="E732" i="12" s="1"/>
  <c r="E728" i="12" a="1"/>
  <c r="E728" i="12" s="1"/>
  <c r="D728" i="12" s="1"/>
  <c r="E724" i="12" a="1"/>
  <c r="E724" i="12" s="1"/>
  <c r="D724" i="12" s="1"/>
  <c r="F720" i="12"/>
  <c r="E716" i="12" a="1"/>
  <c r="E716" i="12" s="1"/>
  <c r="F712" i="12"/>
  <c r="E704" i="12" a="1"/>
  <c r="E704" i="12" s="1"/>
  <c r="D704" i="12" s="1"/>
  <c r="E696" i="12" a="1"/>
  <c r="E696" i="12" s="1"/>
  <c r="D696" i="12" s="1"/>
  <c r="E692" i="12" a="1"/>
  <c r="E692" i="12" s="1"/>
  <c r="E684" i="12" a="1"/>
  <c r="E684" i="12" s="1"/>
  <c r="D684" i="12" s="1"/>
  <c r="E680" i="12" a="1"/>
  <c r="E680" i="12" s="1"/>
  <c r="D680" i="12" s="1"/>
  <c r="E676" i="12" a="1"/>
  <c r="E676" i="12" s="1"/>
  <c r="E672" i="12" a="1"/>
  <c r="E672" i="12" s="1"/>
  <c r="E664" i="12" a="1"/>
  <c r="E664" i="12" s="1"/>
  <c r="D664" i="12" s="1"/>
  <c r="E660" i="12" a="1"/>
  <c r="E660" i="12" s="1"/>
  <c r="D660" i="12" s="1"/>
  <c r="E656" i="12" a="1"/>
  <c r="E656" i="12" s="1"/>
  <c r="D656" i="12" s="1"/>
  <c r="F652" i="12"/>
  <c r="E648" i="12" a="1"/>
  <c r="E648" i="12" s="1"/>
  <c r="D648" i="12" s="1"/>
  <c r="E644" i="12" a="1"/>
  <c r="E644" i="12" s="1"/>
  <c r="D644" i="12" s="1"/>
  <c r="F640" i="12"/>
  <c r="F636" i="12"/>
  <c r="F632" i="12"/>
  <c r="E628" i="12" a="1"/>
  <c r="E628" i="12" s="1"/>
  <c r="D628" i="12" s="1"/>
  <c r="F624" i="12"/>
  <c r="E620" i="12" a="1"/>
  <c r="E620" i="12" s="1"/>
  <c r="E616" i="12" a="1"/>
  <c r="E616" i="12" s="1"/>
  <c r="D616" i="12" s="1"/>
  <c r="E612" i="12" a="1"/>
  <c r="E612" i="12" s="1"/>
  <c r="D612" i="12" s="1"/>
  <c r="E608" i="12" a="1"/>
  <c r="E608" i="12" s="1"/>
  <c r="D608" i="12" s="1"/>
  <c r="E604" i="12" a="1"/>
  <c r="E604" i="12" s="1"/>
  <c r="E600" i="12" a="1"/>
  <c r="E600" i="12" s="1"/>
  <c r="D600" i="12" s="1"/>
  <c r="E596" i="12" a="1"/>
  <c r="E596" i="12" s="1"/>
  <c r="D596" i="12" s="1"/>
  <c r="E592" i="12" a="1"/>
  <c r="E592" i="12" s="1"/>
  <c r="D592" i="12" s="1"/>
  <c r="F584" i="12"/>
  <c r="F580" i="12"/>
  <c r="E576" i="12" a="1"/>
  <c r="E576" i="12" s="1"/>
  <c r="D576" i="12" s="1"/>
  <c r="E572" i="12" a="1"/>
  <c r="E572" i="12" s="1"/>
  <c r="D572" i="12" s="1"/>
  <c r="E568" i="12" a="1"/>
  <c r="E568" i="12" s="1"/>
  <c r="E564" i="12" a="1"/>
  <c r="E564" i="12" s="1"/>
  <c r="D564" i="12" s="1"/>
  <c r="E560" i="12" a="1"/>
  <c r="E560" i="12" s="1"/>
  <c r="D560" i="12" s="1"/>
  <c r="E556" i="12" a="1"/>
  <c r="E556" i="12" s="1"/>
  <c r="D556" i="12" s="1"/>
  <c r="E552" i="12" a="1"/>
  <c r="E552" i="12" s="1"/>
  <c r="F548" i="12"/>
  <c r="F544" i="12"/>
  <c r="E540" i="12" a="1"/>
  <c r="E540" i="12" s="1"/>
  <c r="D540" i="12" s="1"/>
  <c r="E536" i="12" a="1"/>
  <c r="E536" i="12" s="1"/>
  <c r="E532" i="12" a="1"/>
  <c r="E532" i="12" s="1"/>
  <c r="D532" i="12" s="1"/>
  <c r="E528" i="12" a="1"/>
  <c r="E528" i="12" s="1"/>
  <c r="D528" i="12" s="1"/>
  <c r="F524" i="12"/>
  <c r="E520" i="12" a="1"/>
  <c r="E520" i="12" s="1"/>
  <c r="F516" i="12"/>
  <c r="F512" i="12"/>
  <c r="F508" i="12"/>
  <c r="F504" i="12"/>
  <c r="F496" i="12"/>
  <c r="E492" i="12" a="1"/>
  <c r="E492" i="12" s="1"/>
  <c r="D492" i="12" s="1"/>
  <c r="E476" i="12" a="1"/>
  <c r="E476" i="12" s="1"/>
  <c r="D476" i="12" s="1"/>
  <c r="E468" i="12" a="1"/>
  <c r="E468" i="12" s="1"/>
  <c r="F464" i="12"/>
  <c r="F456" i="12"/>
  <c r="E444" i="12" a="1"/>
  <c r="E444" i="12" s="1"/>
  <c r="F428" i="12"/>
  <c r="F420" i="12"/>
  <c r="E412" i="12" a="1"/>
  <c r="E412" i="12" s="1"/>
  <c r="D412" i="12" s="1"/>
  <c r="E404" i="12" a="1"/>
  <c r="E404" i="12" s="1"/>
  <c r="D404" i="12" s="1"/>
  <c r="E396" i="12" a="1"/>
  <c r="E396" i="12" s="1"/>
  <c r="F384" i="12"/>
  <c r="F376" i="12"/>
  <c r="E368" i="12" a="1"/>
  <c r="E368" i="12" s="1"/>
  <c r="D368" i="12" s="1"/>
  <c r="F364" i="12"/>
  <c r="E348" i="12" a="1"/>
  <c r="E348" i="12" s="1"/>
  <c r="D348" i="12" s="1"/>
  <c r="F340" i="12"/>
  <c r="E332" i="12" a="1"/>
  <c r="E332" i="12" s="1"/>
  <c r="D332" i="12" s="1"/>
  <c r="E320" i="12" a="1"/>
  <c r="E320" i="12" s="1"/>
  <c r="E312" i="12" a="1"/>
  <c r="E312" i="12" s="1"/>
  <c r="D312" i="12" s="1"/>
  <c r="E304" i="12" a="1"/>
  <c r="E304" i="12" s="1"/>
  <c r="E300" i="12" a="1"/>
  <c r="E300" i="12" s="1"/>
  <c r="E280" i="12" a="1"/>
  <c r="E280" i="12" s="1"/>
  <c r="F272" i="12"/>
  <c r="E264" i="12" a="1"/>
  <c r="E264" i="12" s="1"/>
  <c r="D264" i="12" s="1"/>
  <c r="E252" i="12" a="1"/>
  <c r="E252" i="12" s="1"/>
  <c r="D252" i="12" s="1"/>
  <c r="E248" i="12" a="1"/>
  <c r="E248" i="12" s="1"/>
  <c r="F240" i="12"/>
  <c r="F224" i="12"/>
  <c r="E220" i="12" a="1"/>
  <c r="E220" i="12" s="1"/>
  <c r="D220" i="12" s="1"/>
  <c r="F212" i="12"/>
  <c r="E188" i="12" a="1"/>
  <c r="E188" i="12" s="1"/>
  <c r="D188" i="12" s="1"/>
  <c r="G176" i="12"/>
  <c r="F168" i="12"/>
  <c r="F156" i="12"/>
  <c r="E148" i="12" a="1"/>
  <c r="E148" i="12" s="1"/>
  <c r="D148" i="12" s="1"/>
  <c r="E140" i="12" a="1"/>
  <c r="E140" i="12" s="1"/>
  <c r="D140" i="12" s="1"/>
  <c r="E132" i="12" a="1"/>
  <c r="E132" i="12" s="1"/>
  <c r="E124" i="12" a="1"/>
  <c r="E124" i="12" s="1"/>
  <c r="E120" i="12" a="1"/>
  <c r="E120" i="12" s="1"/>
  <c r="D120" i="12" s="1"/>
  <c r="E112" i="12" a="1"/>
  <c r="E112" i="12" s="1"/>
  <c r="D112" i="12" s="1"/>
  <c r="G108" i="12"/>
  <c r="E100" i="12" a="1"/>
  <c r="E100" i="12" s="1"/>
  <c r="F88" i="12"/>
  <c r="F84" i="12"/>
  <c r="F64" i="12"/>
  <c r="F52" i="12"/>
  <c r="E44" i="12" a="1"/>
  <c r="E44" i="12" s="1"/>
  <c r="D44" i="12" s="1"/>
  <c r="F36" i="12"/>
  <c r="G28" i="12"/>
  <c r="F24" i="12"/>
  <c r="F16" i="12"/>
  <c r="E4" i="12" a="1"/>
  <c r="E4" i="12" s="1"/>
  <c r="D4" i="12" s="1"/>
  <c r="F488" i="12"/>
  <c r="E480" i="12" a="1"/>
  <c r="E480" i="12" s="1"/>
  <c r="E472" i="12" a="1"/>
  <c r="E472" i="12" s="1"/>
  <c r="D472" i="12" s="1"/>
  <c r="E460" i="12" a="1"/>
  <c r="E460" i="12" s="1"/>
  <c r="D460" i="12" s="1"/>
  <c r="F448" i="12"/>
  <c r="F440" i="12"/>
  <c r="F408" i="12"/>
  <c r="F392" i="12"/>
  <c r="E372" i="12" a="1"/>
  <c r="E372" i="12" s="1"/>
  <c r="D372" i="12" s="1"/>
  <c r="E360" i="12" a="1"/>
  <c r="E360" i="12" s="1"/>
  <c r="F344" i="12"/>
  <c r="E336" i="12" a="1"/>
  <c r="E336" i="12" s="1"/>
  <c r="D336" i="12" s="1"/>
  <c r="F324" i="12"/>
  <c r="E308" i="12" a="1"/>
  <c r="E308" i="12" s="1"/>
  <c r="E296" i="12" a="1"/>
  <c r="E296" i="12" s="1"/>
  <c r="D296" i="12" s="1"/>
  <c r="E276" i="12" a="1"/>
  <c r="E276" i="12" s="1"/>
  <c r="D276" i="12" s="1"/>
  <c r="F268" i="12"/>
  <c r="F256" i="12"/>
  <c r="F244" i="12"/>
  <c r="F236" i="12"/>
  <c r="E228" i="12" a="1"/>
  <c r="E228" i="12" s="1"/>
  <c r="D228" i="12" s="1"/>
  <c r="E216" i="12" a="1"/>
  <c r="E216" i="12" s="1"/>
  <c r="E192" i="12" a="1"/>
  <c r="E192" i="12" s="1"/>
  <c r="D192" i="12" s="1"/>
  <c r="F180" i="12"/>
  <c r="E172" i="12" a="1"/>
  <c r="E172" i="12" s="1"/>
  <c r="D172" i="12" s="1"/>
  <c r="E160" i="12" a="1"/>
  <c r="E160" i="12" s="1"/>
  <c r="F152" i="12"/>
  <c r="E116" i="12" a="1"/>
  <c r="E116" i="12" s="1"/>
  <c r="F104" i="12"/>
  <c r="G96" i="12"/>
  <c r="F80" i="12"/>
  <c r="E72" i="12" a="1"/>
  <c r="E72" i="12" s="1"/>
  <c r="D72" i="12" s="1"/>
  <c r="F56" i="12"/>
  <c r="E48" i="12" a="1"/>
  <c r="E48" i="12" s="1"/>
  <c r="E40" i="12" a="1"/>
  <c r="E40" i="12" s="1"/>
  <c r="D40" i="12" s="1"/>
  <c r="F20" i="12"/>
  <c r="F832" i="12"/>
  <c r="E832" i="12" a="1"/>
  <c r="E832" i="12" s="1"/>
  <c r="F436" i="12"/>
  <c r="E436" i="12" a="1"/>
  <c r="E436" i="12" s="1"/>
  <c r="D436" i="12" s="1"/>
  <c r="E424" i="12" a="1"/>
  <c r="E424" i="12" s="1"/>
  <c r="D424" i="12" s="1"/>
  <c r="F424" i="12"/>
  <c r="E380" i="12" a="1"/>
  <c r="E380" i="12" s="1"/>
  <c r="D380" i="12" s="1"/>
  <c r="F380" i="12"/>
  <c r="G119" i="12"/>
  <c r="F119" i="12"/>
  <c r="E119" i="12" a="1"/>
  <c r="E119" i="12" s="1"/>
  <c r="D119" i="12" s="1"/>
  <c r="E111" i="12" a="1"/>
  <c r="E111" i="12" s="1"/>
  <c r="D111" i="12" s="1"/>
  <c r="F111" i="12"/>
  <c r="F27" i="12"/>
  <c r="E27" i="12" a="1"/>
  <c r="E27" i="12" s="1"/>
  <c r="D27" i="12" s="1"/>
  <c r="G19" i="12"/>
  <c r="E19" i="12" a="1"/>
  <c r="E19" i="12" s="1"/>
  <c r="D19" i="12" s="1"/>
  <c r="G7" i="12"/>
  <c r="E7" i="12" a="1"/>
  <c r="E7" i="12" s="1"/>
  <c r="D7" i="12" s="1"/>
  <c r="F388" i="12"/>
  <c r="E388" i="12" a="1"/>
  <c r="E388" i="12" s="1"/>
  <c r="D388" i="12" s="1"/>
  <c r="E712" i="12" a="1"/>
  <c r="E712" i="12" s="1"/>
  <c r="F402" i="12"/>
  <c r="E402" i="12" a="1"/>
  <c r="E402" i="12" s="1"/>
  <c r="D402" i="12" s="1"/>
  <c r="F840" i="12"/>
  <c r="E840" i="12" a="1"/>
  <c r="E840" i="12" s="1"/>
  <c r="E788" i="12" a="1"/>
  <c r="E788" i="12" s="1"/>
  <c r="D788" i="12" s="1"/>
  <c r="F788" i="12"/>
  <c r="E232" i="12" a="1"/>
  <c r="E232" i="12" s="1"/>
  <c r="D232" i="12" s="1"/>
  <c r="F232" i="12"/>
  <c r="G711" i="12"/>
  <c r="E711" i="12" a="1"/>
  <c r="E711" i="12" s="1"/>
  <c r="D711" i="12" s="1"/>
  <c r="E88" i="12" a="1"/>
  <c r="E88" i="12" s="1"/>
  <c r="D88" i="12" s="1"/>
  <c r="E852" i="12" a="1"/>
  <c r="E852" i="12" s="1"/>
  <c r="F124" i="12"/>
  <c r="F458" i="12"/>
  <c r="E458" i="12" a="1"/>
  <c r="E458" i="12" s="1"/>
  <c r="D458" i="12" s="1"/>
  <c r="F382" i="12"/>
  <c r="E382" i="12" a="1"/>
  <c r="E382" i="12" s="1"/>
  <c r="D382" i="12" s="1"/>
  <c r="G318" i="12"/>
  <c r="E318" i="12" a="1"/>
  <c r="E318" i="12" s="1"/>
  <c r="D318" i="12" s="1"/>
  <c r="G282" i="12"/>
  <c r="E282" i="12" a="1"/>
  <c r="E282" i="12" s="1"/>
  <c r="D282" i="12" s="1"/>
  <c r="E268" i="12" a="1"/>
  <c r="E268" i="12" s="1"/>
  <c r="E858" i="12" a="1"/>
  <c r="E858" i="12" s="1"/>
  <c r="D858" i="12" s="1"/>
  <c r="F132" i="12"/>
  <c r="F238" i="12"/>
  <c r="E890" i="12" a="1"/>
  <c r="E890" i="12" s="1"/>
  <c r="D890" i="12" s="1"/>
  <c r="E842" i="12" a="1"/>
  <c r="E842" i="12" s="1"/>
  <c r="D842" i="12" s="1"/>
  <c r="E830" i="12" a="1"/>
  <c r="E830" i="12" s="1"/>
  <c r="E826" i="12" a="1"/>
  <c r="E826" i="12" s="1"/>
  <c r="D826" i="12" s="1"/>
  <c r="E694" i="12" a="1"/>
  <c r="E694" i="12" s="1"/>
  <c r="D694" i="12" s="1"/>
  <c r="E686" i="12" a="1"/>
  <c r="E686" i="12" s="1"/>
  <c r="D686" i="12" s="1"/>
  <c r="E606" i="12" a="1"/>
  <c r="E606" i="12" s="1"/>
  <c r="E534" i="12" a="1"/>
  <c r="E534" i="12" s="1"/>
  <c r="D534" i="12" s="1"/>
  <c r="E530" i="12" a="1"/>
  <c r="E530" i="12" s="1"/>
  <c r="D530" i="12" s="1"/>
  <c r="E510" i="12" a="1"/>
  <c r="E510" i="12" s="1"/>
  <c r="D510" i="12" s="1"/>
  <c r="E462" i="12" a="1"/>
  <c r="E462" i="12" s="1"/>
  <c r="E426" i="12" a="1"/>
  <c r="E426" i="12" s="1"/>
  <c r="D426" i="12" s="1"/>
  <c r="G358" i="12"/>
  <c r="E342" i="12" a="1"/>
  <c r="E342" i="12" s="1"/>
  <c r="D342" i="12" s="1"/>
  <c r="G330" i="12"/>
  <c r="E326" i="12" a="1"/>
  <c r="E326" i="12" s="1"/>
  <c r="D326" i="12" s="1"/>
  <c r="E310" i="12" a="1"/>
  <c r="E310" i="12" s="1"/>
  <c r="D310" i="12" s="1"/>
  <c r="E242" i="12" a="1"/>
  <c r="E242" i="12" s="1"/>
  <c r="D242" i="12" s="1"/>
  <c r="E182" i="12" a="1"/>
  <c r="E182" i="12" s="1"/>
  <c r="E170" i="12" a="1"/>
  <c r="E170" i="12" s="1"/>
  <c r="D170" i="12" s="1"/>
  <c r="E70" i="12" a="1"/>
  <c r="E70" i="12" s="1"/>
  <c r="D70" i="12" s="1"/>
  <c r="E66" i="12" a="1"/>
  <c r="E66" i="12" s="1"/>
  <c r="D66" i="12" s="1"/>
  <c r="E62" i="12" a="1"/>
  <c r="E62" i="12" s="1"/>
  <c r="E42" i="12" a="1"/>
  <c r="E42" i="12" s="1"/>
  <c r="D42" i="12" s="1"/>
  <c r="E26" i="12" a="1"/>
  <c r="E26" i="12" s="1"/>
  <c r="D26" i="12" s="1"/>
  <c r="E14" i="12" a="1"/>
  <c r="E14" i="12" s="1"/>
  <c r="D14" i="12" s="1"/>
  <c r="G542" i="12"/>
  <c r="E542" i="12" a="1"/>
  <c r="E542" i="12" s="1"/>
  <c r="D542" i="12" s="1"/>
  <c r="E302" i="12" a="1"/>
  <c r="E302" i="12" s="1"/>
  <c r="D302" i="12" s="1"/>
  <c r="F302" i="12"/>
  <c r="G234" i="12"/>
  <c r="E234" i="12" a="1"/>
  <c r="E234" i="12" s="1"/>
  <c r="D234" i="12" s="1"/>
  <c r="E20" i="12" a="1"/>
  <c r="E20" i="12" s="1"/>
  <c r="D20" i="12" s="1"/>
  <c r="E270" i="12" a="1"/>
  <c r="E270" i="12" s="1"/>
  <c r="D270" i="12" s="1"/>
  <c r="E186" i="12" a="1"/>
  <c r="E186" i="12" s="1"/>
  <c r="E238" i="12" a="1"/>
  <c r="E238" i="12" s="1"/>
  <c r="D238" i="12" s="1"/>
  <c r="E538" i="12" a="1"/>
  <c r="E538" i="12" s="1"/>
  <c r="D538" i="12" s="1"/>
  <c r="E52" i="12" a="1"/>
  <c r="E52" i="12" s="1"/>
  <c r="D52" i="12" s="1"/>
  <c r="F220" i="12"/>
  <c r="G18" i="12"/>
  <c r="E432" i="12" a="1"/>
  <c r="E432" i="12" s="1"/>
  <c r="D432" i="12" s="1"/>
  <c r="F432" i="12"/>
  <c r="E416" i="12" a="1"/>
  <c r="E416" i="12" s="1"/>
  <c r="F416" i="12"/>
  <c r="E580" i="12" a="1"/>
  <c r="E580" i="12" s="1"/>
  <c r="D580" i="12" s="1"/>
  <c r="E652" i="12" a="1"/>
  <c r="E652" i="12" s="1"/>
  <c r="D652" i="12" s="1"/>
  <c r="F536" i="12"/>
  <c r="F500" i="12"/>
  <c r="E500" i="12" a="1"/>
  <c r="E500" i="12" s="1"/>
  <c r="D500" i="12" s="1"/>
  <c r="F352" i="12"/>
  <c r="E352" i="12" a="1"/>
  <c r="E352" i="12" s="1"/>
  <c r="F284" i="12"/>
  <c r="E284" i="12" a="1"/>
  <c r="E284" i="12" s="1"/>
  <c r="D284" i="12" s="1"/>
  <c r="E496" i="12" a="1"/>
  <c r="E496" i="12" s="1"/>
  <c r="D496" i="12" s="1"/>
  <c r="E256" i="12" a="1"/>
  <c r="E256" i="12" s="1"/>
  <c r="E255" i="12" a="1"/>
  <c r="E255" i="12" s="1"/>
  <c r="E384" i="12" a="1"/>
  <c r="E384" i="12" s="1"/>
  <c r="D384" i="12" s="1"/>
  <c r="E240" i="12" a="1"/>
  <c r="E240" i="12" s="1"/>
  <c r="D240" i="12" s="1"/>
  <c r="E440" i="12" a="1"/>
  <c r="E440" i="12" s="1"/>
  <c r="E84" i="12" a="1"/>
  <c r="E84" i="12" s="1"/>
  <c r="D84" i="12" s="1"/>
  <c r="E6" i="12" a="1"/>
  <c r="E6" i="12" s="1"/>
  <c r="D6" i="12" s="1"/>
  <c r="E230" i="12" a="1"/>
  <c r="E230" i="12" s="1"/>
  <c r="D230" i="12" s="1"/>
  <c r="E272" i="12" a="1"/>
  <c r="E272" i="12" s="1"/>
  <c r="E108" i="12" a="1"/>
  <c r="E108" i="12" s="1"/>
  <c r="D108" i="12" s="1"/>
  <c r="E236" i="12" a="1"/>
  <c r="E236" i="12" s="1"/>
  <c r="D236" i="12" s="1"/>
  <c r="F568" i="12"/>
  <c r="F243" i="12"/>
  <c r="E780" i="12" a="1"/>
  <c r="E780" i="12" s="1"/>
  <c r="D780" i="12" s="1"/>
  <c r="F780" i="12"/>
  <c r="F208" i="12"/>
  <c r="E208" i="12" a="1"/>
  <c r="E208" i="12" s="1"/>
  <c r="F204" i="12"/>
  <c r="E204" i="12" a="1"/>
  <c r="E204" i="12" s="1"/>
  <c r="D204" i="12" s="1"/>
  <c r="F200" i="12"/>
  <c r="E200" i="12" a="1"/>
  <c r="E200" i="12" s="1"/>
  <c r="F176" i="12"/>
  <c r="E176" i="12" a="1"/>
  <c r="E176" i="12" s="1"/>
  <c r="D176" i="12" s="1"/>
  <c r="E144" i="12" a="1"/>
  <c r="E144" i="12" s="1"/>
  <c r="D144" i="12" s="1"/>
  <c r="F144" i="12"/>
  <c r="E128" i="12" a="1"/>
  <c r="E128" i="12" s="1"/>
  <c r="D128" i="12" s="1"/>
  <c r="F128" i="12"/>
  <c r="E92" i="12" a="1"/>
  <c r="E92" i="12" s="1"/>
  <c r="D92" i="12" s="1"/>
  <c r="F92" i="12"/>
  <c r="F76" i="12"/>
  <c r="E76" i="12" a="1"/>
  <c r="E76" i="12" s="1"/>
  <c r="D76" i="12" s="1"/>
  <c r="G32" i="12"/>
  <c r="E32" i="12" a="1"/>
  <c r="E32" i="12" s="1"/>
  <c r="E12" i="12" a="1"/>
  <c r="E12" i="12" s="1"/>
  <c r="D12" i="12" s="1"/>
  <c r="F12" i="12"/>
  <c r="E8" i="12" a="1"/>
  <c r="E8" i="12" s="1"/>
  <c r="D8" i="12" s="1"/>
  <c r="F8" i="12"/>
  <c r="F484" i="12"/>
  <c r="E484" i="12" a="1"/>
  <c r="E484" i="12" s="1"/>
  <c r="D484" i="12" s="1"/>
  <c r="G400" i="12"/>
  <c r="E400" i="12" a="1"/>
  <c r="E400" i="12" s="1"/>
  <c r="F328" i="12"/>
  <c r="E328" i="12" a="1"/>
  <c r="E328" i="12" s="1"/>
  <c r="D328" i="12" s="1"/>
  <c r="F292" i="12"/>
  <c r="E292" i="12" a="1"/>
  <c r="E292" i="12" s="1"/>
  <c r="F260" i="12"/>
  <c r="E260" i="12" a="1"/>
  <c r="E260" i="12" s="1"/>
  <c r="D260" i="12" s="1"/>
  <c r="G184" i="12"/>
  <c r="E184" i="12" a="1"/>
  <c r="E184" i="12" s="1"/>
  <c r="F164" i="12"/>
  <c r="E164" i="12" a="1"/>
  <c r="E164" i="12" s="1"/>
  <c r="D164" i="12" s="1"/>
  <c r="E136" i="12" a="1"/>
  <c r="E136" i="12" s="1"/>
  <c r="D136" i="12" s="1"/>
  <c r="F136" i="12"/>
  <c r="E420" i="12" a="1"/>
  <c r="E420" i="12" s="1"/>
  <c r="D420" i="12" s="1"/>
  <c r="F304" i="12"/>
  <c r="F899" i="12"/>
  <c r="E887" i="12" a="1"/>
  <c r="E887" i="12" s="1"/>
  <c r="E879" i="12" a="1"/>
  <c r="E879" i="12" s="1"/>
  <c r="D879" i="12" s="1"/>
  <c r="F863" i="12"/>
  <c r="E859" i="12" a="1"/>
  <c r="E859" i="12" s="1"/>
  <c r="D859" i="12" s="1"/>
  <c r="F847" i="12"/>
  <c r="G827" i="12"/>
  <c r="E819" i="12" a="1"/>
  <c r="E819" i="12" s="1"/>
  <c r="D819" i="12" s="1"/>
  <c r="E815" i="12" a="1"/>
  <c r="E815" i="12" s="1"/>
  <c r="E803" i="12" a="1"/>
  <c r="E803" i="12" s="1"/>
  <c r="E799" i="12" a="1"/>
  <c r="E799" i="12" s="1"/>
  <c r="D799" i="12" s="1"/>
  <c r="E795" i="12" a="1"/>
  <c r="E795" i="12" s="1"/>
  <c r="D795" i="12" s="1"/>
  <c r="E658" i="12" a="1"/>
  <c r="E658" i="12" s="1"/>
  <c r="D658" i="12" s="1"/>
  <c r="E502" i="12" a="1"/>
  <c r="E502" i="12" s="1"/>
  <c r="E246" i="12" a="1"/>
  <c r="E246" i="12" s="1"/>
  <c r="D246" i="12" s="1"/>
  <c r="G90" i="12"/>
  <c r="E722" i="12" a="1"/>
  <c r="E722" i="12" s="1"/>
  <c r="D722" i="12" s="1"/>
  <c r="G13" i="12"/>
  <c r="E13" i="12" a="1"/>
  <c r="E13" i="12" s="1"/>
  <c r="D13" i="12" s="1"/>
  <c r="E41" i="12" a="1"/>
  <c r="E41" i="12" s="1"/>
  <c r="D41" i="12" s="1"/>
  <c r="E9" i="12" a="1"/>
  <c r="E9" i="12" s="1"/>
  <c r="D9" i="12" s="1"/>
  <c r="F829" i="12"/>
  <c r="G337" i="12"/>
  <c r="E126" i="12" a="1"/>
  <c r="E126" i="12" s="1"/>
  <c r="D126" i="12" s="1"/>
  <c r="E90" i="12" a="1"/>
  <c r="E90" i="12" s="1"/>
  <c r="D90" i="12" s="1"/>
  <c r="E791" i="12" a="1"/>
  <c r="E791" i="12" s="1"/>
  <c r="E771" i="12" a="1"/>
  <c r="E771" i="12" s="1"/>
  <c r="G767" i="12"/>
  <c r="E759" i="12" a="1"/>
  <c r="E759" i="12" s="1"/>
  <c r="D759" i="12" s="1"/>
  <c r="E755" i="12" a="1"/>
  <c r="E755" i="12" s="1"/>
  <c r="E739" i="12" a="1"/>
  <c r="E739" i="12" s="1"/>
  <c r="D739" i="12" s="1"/>
  <c r="E735" i="12" a="1"/>
  <c r="E735" i="12" s="1"/>
  <c r="D735" i="12" s="1"/>
  <c r="E707" i="12" a="1"/>
  <c r="E707" i="12" s="1"/>
  <c r="D707" i="12" s="1"/>
  <c r="G703" i="12"/>
  <c r="E691" i="12" a="1"/>
  <c r="E691" i="12" s="1"/>
  <c r="D691" i="12" s="1"/>
  <c r="E683" i="12" a="1"/>
  <c r="E683" i="12" s="1"/>
  <c r="D683" i="12" s="1"/>
  <c r="G679" i="12"/>
  <c r="E671" i="12" a="1"/>
  <c r="E671" i="12" s="1"/>
  <c r="F667" i="12"/>
  <c r="G663" i="12"/>
  <c r="E655" i="12" a="1"/>
  <c r="E655" i="12" s="1"/>
  <c r="D655" i="12" s="1"/>
  <c r="E651" i="12" a="1"/>
  <c r="E651" i="12" s="1"/>
  <c r="G627" i="12"/>
  <c r="E623" i="12" a="1"/>
  <c r="E623" i="12" s="1"/>
  <c r="D623" i="12" s="1"/>
  <c r="G619" i="12"/>
  <c r="E611" i="12" a="1"/>
  <c r="E611" i="12" s="1"/>
  <c r="E607" i="12" a="1"/>
  <c r="E607" i="12" s="1"/>
  <c r="D607" i="12" s="1"/>
  <c r="E595" i="12" a="1"/>
  <c r="E595" i="12" s="1"/>
  <c r="E591" i="12" a="1"/>
  <c r="E591" i="12" s="1"/>
  <c r="D591" i="12" s="1"/>
  <c r="E587" i="12" a="1"/>
  <c r="E587" i="12" s="1"/>
  <c r="E575" i="12" a="1"/>
  <c r="E575" i="12" s="1"/>
  <c r="D575" i="12" s="1"/>
  <c r="E571" i="12" a="1"/>
  <c r="E571" i="12" s="1"/>
  <c r="D571" i="12" s="1"/>
  <c r="E567" i="12" a="1"/>
  <c r="E567" i="12" s="1"/>
  <c r="D567" i="12" s="1"/>
  <c r="F563" i="12"/>
  <c r="F559" i="12"/>
  <c r="E551" i="12" a="1"/>
  <c r="E551" i="12" s="1"/>
  <c r="D551" i="12" s="1"/>
  <c r="E547" i="12" a="1"/>
  <c r="E547" i="12" s="1"/>
  <c r="D547" i="12" s="1"/>
  <c r="G535" i="12"/>
  <c r="F527" i="12"/>
  <c r="E519" i="12" a="1"/>
  <c r="E519" i="12" s="1"/>
  <c r="D519" i="12" s="1"/>
  <c r="F475" i="12"/>
  <c r="E463" i="12" a="1"/>
  <c r="E463" i="12" s="1"/>
  <c r="E451" i="12" a="1"/>
  <c r="E451" i="12" s="1"/>
  <c r="D451" i="12" s="1"/>
  <c r="E447" i="12" a="1"/>
  <c r="E447" i="12" s="1"/>
  <c r="D447" i="12" s="1"/>
  <c r="F439" i="12"/>
  <c r="G435" i="12"/>
  <c r="E431" i="12" a="1"/>
  <c r="E431" i="12" s="1"/>
  <c r="D431" i="12" s="1"/>
  <c r="G423" i="12"/>
  <c r="F415" i="12"/>
  <c r="E407" i="12" a="1"/>
  <c r="E407" i="12" s="1"/>
  <c r="F403" i="12"/>
  <c r="F375" i="12"/>
  <c r="F335" i="12"/>
  <c r="F331" i="12"/>
  <c r="F323" i="12"/>
  <c r="G319" i="12"/>
  <c r="E311" i="12" a="1"/>
  <c r="E311" i="12" s="1"/>
  <c r="D311" i="12" s="1"/>
  <c r="F307" i="12"/>
  <c r="G279" i="12"/>
  <c r="F267" i="12"/>
  <c r="F263" i="12"/>
  <c r="F259" i="12"/>
  <c r="E251" i="12" a="1"/>
  <c r="E251" i="12" s="1"/>
  <c r="D251" i="12" s="1"/>
  <c r="G243" i="12"/>
  <c r="E231" i="12" a="1"/>
  <c r="E231" i="12" s="1"/>
  <c r="D231" i="12" s="1"/>
  <c r="E227" i="12" a="1"/>
  <c r="E227" i="12" s="1"/>
  <c r="G211" i="12"/>
  <c r="F203" i="12"/>
  <c r="F199" i="12"/>
  <c r="E183" i="12" a="1"/>
  <c r="E183" i="12" s="1"/>
  <c r="F179" i="12"/>
  <c r="F167" i="12"/>
  <c r="E163" i="12" a="1"/>
  <c r="E163" i="12" s="1"/>
  <c r="D163" i="12" s="1"/>
  <c r="G155" i="12"/>
  <c r="F151" i="12"/>
  <c r="G147" i="12"/>
  <c r="G127" i="12"/>
  <c r="E75" i="12" a="1"/>
  <c r="E75" i="12" s="1"/>
  <c r="F71" i="12"/>
  <c r="E67" i="12" a="1"/>
  <c r="E67" i="12" s="1"/>
  <c r="D67" i="12" s="1"/>
  <c r="E63" i="12" a="1"/>
  <c r="E63" i="12" s="1"/>
  <c r="D63" i="12" s="1"/>
  <c r="E59" i="12" a="1"/>
  <c r="E59" i="12" s="1"/>
  <c r="G51" i="12"/>
  <c r="G35" i="12"/>
  <c r="G31" i="12"/>
  <c r="G27" i="12"/>
  <c r="F19" i="12"/>
  <c r="F11" i="12"/>
  <c r="F7" i="12"/>
  <c r="G3" i="12"/>
  <c r="E897" i="12" a="1"/>
  <c r="E897" i="12" s="1"/>
  <c r="D897" i="12" s="1"/>
  <c r="F889" i="12"/>
  <c r="G881" i="12"/>
  <c r="F877" i="12"/>
  <c r="F873" i="12"/>
  <c r="F869" i="12"/>
  <c r="F857" i="12"/>
  <c r="F853" i="12"/>
  <c r="F849" i="12"/>
  <c r="G845" i="12"/>
  <c r="G841" i="12"/>
  <c r="E837" i="12" a="1"/>
  <c r="E837" i="12" s="1"/>
  <c r="F833" i="12"/>
  <c r="G829" i="12"/>
  <c r="F825" i="12"/>
  <c r="G821" i="12"/>
  <c r="G809" i="12"/>
  <c r="F805" i="12"/>
  <c r="E797" i="12" a="1"/>
  <c r="E797" i="12" s="1"/>
  <c r="D797" i="12" s="1"/>
  <c r="F793" i="12"/>
  <c r="F785" i="12"/>
  <c r="F781" i="12"/>
  <c r="G769" i="12"/>
  <c r="F761" i="12"/>
  <c r="F757" i="12"/>
  <c r="F753" i="12"/>
  <c r="E745" i="12" a="1"/>
  <c r="E745" i="12" s="1"/>
  <c r="E737" i="12" a="1"/>
  <c r="E737" i="12" s="1"/>
  <c r="F733" i="12"/>
  <c r="F729" i="12"/>
  <c r="E725" i="12" a="1"/>
  <c r="E725" i="12" s="1"/>
  <c r="D725" i="12" s="1"/>
  <c r="F721" i="12"/>
  <c r="E709" i="12" a="1"/>
  <c r="E709" i="12" s="1"/>
  <c r="D709" i="12" s="1"/>
  <c r="G693" i="12"/>
  <c r="E689" i="12" a="1"/>
  <c r="E689" i="12" s="1"/>
  <c r="D689" i="12" s="1"/>
  <c r="F685" i="12"/>
  <c r="F681" i="12"/>
  <c r="F677" i="12"/>
  <c r="E673" i="12" a="1"/>
  <c r="E673" i="12" s="1"/>
  <c r="D673" i="12" s="1"/>
  <c r="F665" i="12"/>
  <c r="G661" i="12"/>
  <c r="E645" i="12" a="1"/>
  <c r="E645" i="12" s="1"/>
  <c r="D645" i="12" s="1"/>
  <c r="G641" i="12"/>
  <c r="F629" i="12"/>
  <c r="F621" i="12"/>
  <c r="F613" i="12"/>
  <c r="F605" i="12"/>
  <c r="G601" i="12"/>
  <c r="G597" i="12"/>
  <c r="F593" i="12"/>
  <c r="F589" i="12"/>
  <c r="F581" i="12"/>
  <c r="E569" i="12" a="1"/>
  <c r="E569" i="12" s="1"/>
  <c r="D569" i="12" s="1"/>
  <c r="F557" i="12"/>
  <c r="G553" i="12"/>
  <c r="E549" i="12" a="1"/>
  <c r="E549" i="12" s="1"/>
  <c r="G545" i="12"/>
  <c r="E537" i="12" a="1"/>
  <c r="E537" i="12" s="1"/>
  <c r="D537" i="12" s="1"/>
  <c r="G533" i="12"/>
  <c r="G529" i="12"/>
  <c r="G525" i="12"/>
  <c r="F521" i="12"/>
  <c r="G517" i="12"/>
  <c r="G497" i="12"/>
  <c r="E493" i="12" a="1"/>
  <c r="E493" i="12" s="1"/>
  <c r="D493" i="12" s="1"/>
  <c r="G485" i="12"/>
  <c r="G477" i="12"/>
  <c r="G473" i="12"/>
  <c r="F461" i="12"/>
  <c r="G449" i="12"/>
  <c r="G441" i="12"/>
  <c r="G437" i="12"/>
  <c r="G433" i="12"/>
  <c r="G429" i="12"/>
  <c r="F425" i="12"/>
  <c r="F417" i="12"/>
  <c r="F409" i="12"/>
  <c r="G405" i="12"/>
  <c r="G401" i="12"/>
  <c r="F393" i="12"/>
  <c r="G381" i="12"/>
  <c r="F365" i="12"/>
  <c r="G361" i="12"/>
  <c r="G357" i="12"/>
  <c r="G341" i="12"/>
  <c r="E337" i="12" a="1"/>
  <c r="E337" i="12" s="1"/>
  <c r="D337" i="12" s="1"/>
  <c r="G333" i="12"/>
  <c r="G325" i="12"/>
  <c r="F313" i="12"/>
  <c r="E309" i="12" a="1"/>
  <c r="E309" i="12" s="1"/>
  <c r="D309" i="12" s="1"/>
  <c r="G301" i="12"/>
  <c r="F297" i="12"/>
  <c r="G293" i="12"/>
  <c r="F285" i="12"/>
  <c r="E281" i="12" a="1"/>
  <c r="E281" i="12" s="1"/>
  <c r="D281" i="12" s="1"/>
  <c r="F277" i="12"/>
  <c r="F273" i="12"/>
  <c r="G265" i="12"/>
  <c r="G261" i="12"/>
  <c r="G253" i="12"/>
  <c r="E245" i="12" a="1"/>
  <c r="E245" i="12" s="1"/>
  <c r="G241" i="12"/>
  <c r="F237" i="12"/>
  <c r="G221" i="12"/>
  <c r="G217" i="12"/>
  <c r="G209" i="12"/>
  <c r="G205" i="12"/>
  <c r="E201" i="12" a="1"/>
  <c r="E201" i="12" s="1"/>
  <c r="F193" i="12"/>
  <c r="F189" i="12"/>
  <c r="G177" i="12"/>
  <c r="G161" i="12"/>
  <c r="F149" i="12"/>
  <c r="F145" i="12"/>
  <c r="G141" i="12"/>
  <c r="E133" i="12" a="1"/>
  <c r="E133" i="12" s="1"/>
  <c r="F129" i="12"/>
  <c r="F121" i="12"/>
  <c r="G109" i="12"/>
  <c r="G105" i="12"/>
  <c r="E101" i="12" a="1"/>
  <c r="E101" i="12" s="1"/>
  <c r="D101" i="12" s="1"/>
  <c r="G93" i="12"/>
  <c r="G89" i="12"/>
  <c r="F85" i="12"/>
  <c r="E81" i="12" a="1"/>
  <c r="E81" i="12" s="1"/>
  <c r="D81" i="12" s="1"/>
  <c r="G77" i="12"/>
  <c r="G73" i="12"/>
  <c r="F69" i="12"/>
  <c r="F65" i="12"/>
  <c r="G61" i="12"/>
  <c r="E53" i="12" a="1"/>
  <c r="E53" i="12" s="1"/>
  <c r="D53" i="12" s="1"/>
  <c r="G45" i="12"/>
  <c r="G41" i="12"/>
  <c r="G25" i="12"/>
  <c r="F21" i="12"/>
  <c r="F13" i="12"/>
  <c r="G9" i="12"/>
  <c r="G667" i="12"/>
  <c r="E708" i="12" a="1"/>
  <c r="E708" i="12" s="1"/>
  <c r="F708" i="12"/>
  <c r="F312" i="12"/>
  <c r="G312" i="12"/>
  <c r="G196" i="12"/>
  <c r="F196" i="12"/>
  <c r="E96" i="12" a="1"/>
  <c r="E96" i="12" s="1"/>
  <c r="D96" i="12" s="1"/>
  <c r="F96" i="12"/>
  <c r="G72" i="12"/>
  <c r="F72" i="12"/>
  <c r="G68" i="12"/>
  <c r="F68" i="12"/>
  <c r="G60" i="12"/>
  <c r="F60" i="12"/>
  <c r="F4" i="12"/>
  <c r="G4" i="12"/>
  <c r="F371" i="12"/>
  <c r="E323" i="12" a="1"/>
  <c r="E323" i="12" s="1"/>
  <c r="F303" i="12"/>
  <c r="F291" i="12"/>
  <c r="F287" i="12"/>
  <c r="G231" i="12"/>
  <c r="E199" i="12" a="1"/>
  <c r="E199" i="12" s="1"/>
  <c r="D199" i="12" s="1"/>
  <c r="E195" i="12" a="1"/>
  <c r="E195" i="12" s="1"/>
  <c r="D195" i="12" s="1"/>
  <c r="F191" i="12"/>
  <c r="F183" i="12"/>
  <c r="F135" i="12"/>
  <c r="E115" i="12" a="1"/>
  <c r="E115" i="12" s="1"/>
  <c r="D115" i="12" s="1"/>
  <c r="G115" i="12"/>
  <c r="G107" i="12"/>
  <c r="G99" i="12"/>
  <c r="E91" i="12" a="1"/>
  <c r="E91" i="12" s="1"/>
  <c r="D91" i="12" s="1"/>
  <c r="G87" i="12"/>
  <c r="G83" i="12"/>
  <c r="F55" i="12"/>
  <c r="F51" i="12"/>
  <c r="G47" i="12"/>
  <c r="F47" i="12"/>
  <c r="F43" i="12"/>
  <c r="E39" i="12" a="1"/>
  <c r="E39" i="12" s="1"/>
  <c r="D39" i="12" s="1"/>
  <c r="G39" i="12"/>
  <c r="F39" i="12"/>
  <c r="F35" i="12"/>
  <c r="F23" i="12"/>
  <c r="F3" i="12"/>
  <c r="E863" i="12" a="1"/>
  <c r="E863" i="12" s="1"/>
  <c r="F662" i="12"/>
  <c r="G662" i="12"/>
  <c r="F320" i="12"/>
  <c r="F150" i="12"/>
  <c r="G150" i="12"/>
  <c r="G98" i="12"/>
  <c r="F98" i="12"/>
  <c r="E191" i="12" a="1"/>
  <c r="E191" i="12" s="1"/>
  <c r="E504" i="12" a="1"/>
  <c r="E504" i="12" s="1"/>
  <c r="D504" i="12" s="1"/>
  <c r="E782" i="12" a="1"/>
  <c r="E782" i="12" s="1"/>
  <c r="D782" i="12" s="1"/>
  <c r="E640" i="12" a="1"/>
  <c r="E640" i="12" s="1"/>
  <c r="D640" i="12" s="1"/>
  <c r="E856" i="12" a="1"/>
  <c r="E856" i="12" s="1"/>
  <c r="F276" i="12"/>
  <c r="F140" i="12"/>
  <c r="F684" i="12"/>
  <c r="F63" i="12"/>
  <c r="F231" i="12"/>
  <c r="F351" i="12"/>
  <c r="F483" i="12"/>
  <c r="F398" i="12"/>
  <c r="F34" i="12"/>
  <c r="G395" i="12"/>
  <c r="E475" i="12" a="1"/>
  <c r="E475" i="12" s="1"/>
  <c r="D475" i="12" s="1"/>
  <c r="E319" i="12" a="1"/>
  <c r="E319" i="12" s="1"/>
  <c r="D319" i="12" s="1"/>
  <c r="F463" i="12"/>
  <c r="G771" i="12"/>
  <c r="E751" i="12" a="1"/>
  <c r="E751" i="12" s="1"/>
  <c r="D751" i="12" s="1"/>
  <c r="E599" i="12" a="1"/>
  <c r="E599" i="12" s="1"/>
  <c r="E511" i="12" a="1"/>
  <c r="E511" i="12" s="1"/>
  <c r="D511" i="12" s="1"/>
  <c r="F479" i="12"/>
  <c r="E443" i="12" a="1"/>
  <c r="E443" i="12" s="1"/>
  <c r="D443" i="12" s="1"/>
  <c r="G419" i="12"/>
  <c r="F359" i="12"/>
  <c r="F628" i="12"/>
  <c r="G770" i="12"/>
  <c r="F770" i="12"/>
  <c r="F598" i="12"/>
  <c r="G598" i="12"/>
  <c r="E598" i="12" a="1"/>
  <c r="E598" i="12" s="1"/>
  <c r="D598" i="12" s="1"/>
  <c r="F498" i="12"/>
  <c r="G498" i="12"/>
  <c r="F314" i="12"/>
  <c r="E314" i="12" a="1"/>
  <c r="E314" i="12" s="1"/>
  <c r="E226" i="12" a="1"/>
  <c r="E226" i="12" s="1"/>
  <c r="F226" i="12"/>
  <c r="G110" i="12"/>
  <c r="F110" i="12"/>
  <c r="G106" i="12"/>
  <c r="F106" i="12"/>
  <c r="F58" i="12"/>
  <c r="G58" i="12"/>
  <c r="E23" i="12" a="1"/>
  <c r="E23" i="12" s="1"/>
  <c r="E322" i="12" a="1"/>
  <c r="E322" i="12" s="1"/>
  <c r="D322" i="12" s="1"/>
  <c r="E898" i="12" a="1"/>
  <c r="E898" i="12" s="1"/>
  <c r="D898" i="12" s="1"/>
  <c r="E464" i="12" a="1"/>
  <c r="E464" i="12" s="1"/>
  <c r="D464" i="12" s="1"/>
  <c r="E386" i="12" a="1"/>
  <c r="E386" i="12" s="1"/>
  <c r="E22" i="12" a="1"/>
  <c r="E22" i="12" s="1"/>
  <c r="D22" i="12" s="1"/>
  <c r="E250" i="12" a="1"/>
  <c r="E250" i="12" s="1"/>
  <c r="D250" i="12" s="1"/>
  <c r="E624" i="12" a="1"/>
  <c r="E624" i="12" s="1"/>
  <c r="D624" i="12" s="1"/>
  <c r="E516" i="12" a="1"/>
  <c r="E516" i="12" s="1"/>
  <c r="E750" i="12" a="1"/>
  <c r="E750" i="12" s="1"/>
  <c r="D750" i="12" s="1"/>
  <c r="E594" i="12" a="1"/>
  <c r="E594" i="12" s="1"/>
  <c r="D594" i="12" s="1"/>
  <c r="E456" i="12" a="1"/>
  <c r="E456" i="12" s="1"/>
  <c r="D456" i="12" s="1"/>
  <c r="E74" i="12" a="1"/>
  <c r="E74" i="12" s="1"/>
  <c r="E376" i="12" a="1"/>
  <c r="E376" i="12" s="1"/>
  <c r="D376" i="12" s="1"/>
  <c r="E146" i="12" a="1"/>
  <c r="E146" i="12" s="1"/>
  <c r="D146" i="12" s="1"/>
  <c r="E442" i="12" a="1"/>
  <c r="E442" i="12" s="1"/>
  <c r="D442" i="12" s="1"/>
  <c r="E419" i="12" a="1"/>
  <c r="E419" i="12" s="1"/>
  <c r="E291" i="12" a="1"/>
  <c r="E291" i="12" s="1"/>
  <c r="D291" i="12" s="1"/>
  <c r="E498" i="12" a="1"/>
  <c r="E498" i="12" s="1"/>
  <c r="D498" i="12" s="1"/>
  <c r="E99" i="12" a="1"/>
  <c r="E99" i="12" s="1"/>
  <c r="D99" i="12" s="1"/>
  <c r="E95" i="12" a="1"/>
  <c r="E95" i="12" s="1"/>
  <c r="F716" i="12"/>
  <c r="F28" i="12"/>
  <c r="F148" i="12"/>
  <c r="F348" i="12"/>
  <c r="F444" i="12"/>
  <c r="F692" i="12"/>
  <c r="F79" i="12"/>
  <c r="F235" i="12"/>
  <c r="F363" i="12"/>
  <c r="F491" i="12"/>
  <c r="F40" i="12"/>
  <c r="F160" i="12"/>
  <c r="F166" i="12"/>
  <c r="G454" i="12"/>
  <c r="G46" i="12"/>
  <c r="G15" i="12"/>
  <c r="G304" i="12"/>
  <c r="E211" i="12" a="1"/>
  <c r="E211" i="12" s="1"/>
  <c r="D211" i="12" s="1"/>
  <c r="F451" i="12"/>
  <c r="E783" i="12" a="1"/>
  <c r="E783" i="12" s="1"/>
  <c r="E659" i="12" a="1"/>
  <c r="E659" i="12" s="1"/>
  <c r="D659" i="12" s="1"/>
  <c r="E387" i="12" a="1"/>
  <c r="E387" i="12" s="1"/>
  <c r="D387" i="12" s="1"/>
  <c r="G387" i="12"/>
  <c r="F387" i="12"/>
  <c r="F295" i="12"/>
  <c r="E364" i="12" a="1"/>
  <c r="E364" i="12" s="1"/>
  <c r="D364" i="12" s="1"/>
  <c r="E844" i="12" a="1"/>
  <c r="E844" i="12" s="1"/>
  <c r="D844" i="12" s="1"/>
  <c r="E636" i="12" a="1"/>
  <c r="E636" i="12" s="1"/>
  <c r="F870" i="12"/>
  <c r="E870" i="12" a="1"/>
  <c r="E870" i="12" s="1"/>
  <c r="D870" i="12" s="1"/>
  <c r="E258" i="12" a="1"/>
  <c r="E258" i="12" s="1"/>
  <c r="D258" i="12" s="1"/>
  <c r="G258" i="12"/>
  <c r="F54" i="12"/>
  <c r="E54" i="12" a="1"/>
  <c r="E54" i="12" s="1"/>
  <c r="D54" i="12" s="1"/>
  <c r="F26" i="12"/>
  <c r="G26" i="12"/>
  <c r="F14" i="12"/>
  <c r="G14" i="12"/>
  <c r="E411" i="12" a="1"/>
  <c r="E411" i="12" s="1"/>
  <c r="D411" i="12" s="1"/>
  <c r="E508" i="12" a="1"/>
  <c r="E508" i="12" s="1"/>
  <c r="E546" i="12" a="1"/>
  <c r="E546" i="12" s="1"/>
  <c r="D546" i="12" s="1"/>
  <c r="E180" i="12" a="1"/>
  <c r="E180" i="12" s="1"/>
  <c r="D180" i="12" s="1"/>
  <c r="E371" i="12" a="1"/>
  <c r="E371" i="12" s="1"/>
  <c r="E38" i="12" a="1"/>
  <c r="E38" i="12" s="1"/>
  <c r="E98" i="12" a="1"/>
  <c r="E98" i="12" s="1"/>
  <c r="D98" i="12" s="1"/>
  <c r="E94" i="12" a="1"/>
  <c r="E94" i="12" s="1"/>
  <c r="D94" i="12" s="1"/>
  <c r="E31" i="12" a="1"/>
  <c r="E31" i="12" s="1"/>
  <c r="D31" i="12" s="1"/>
  <c r="E15" i="12" a="1"/>
  <c r="E15" i="12" s="1"/>
  <c r="D15" i="12" s="1"/>
  <c r="E56" i="12" a="1"/>
  <c r="E56" i="12" s="1"/>
  <c r="D56" i="12" s="1"/>
  <c r="E28" i="12" a="1"/>
  <c r="E28" i="12" s="1"/>
  <c r="D28" i="12" s="1"/>
  <c r="E110" i="12" a="1"/>
  <c r="E110" i="12" s="1"/>
  <c r="D110" i="12" s="1"/>
  <c r="E118" i="12" a="1"/>
  <c r="E118" i="12" s="1"/>
  <c r="E290" i="12" a="1"/>
  <c r="E290" i="12" s="1"/>
  <c r="D290" i="12" s="1"/>
  <c r="E408" i="12" a="1"/>
  <c r="E408" i="12" s="1"/>
  <c r="D408" i="12" s="1"/>
  <c r="E662" i="12" a="1"/>
  <c r="E662" i="12" s="1"/>
  <c r="D662" i="12" s="1"/>
  <c r="E720" i="12" a="1"/>
  <c r="E720" i="12" s="1"/>
  <c r="E772" i="12" a="1"/>
  <c r="E772" i="12" s="1"/>
  <c r="D772" i="12" s="1"/>
  <c r="E718" i="12" a="1"/>
  <c r="E718" i="12" s="1"/>
  <c r="D718" i="12" s="1"/>
  <c r="E622" i="12" a="1"/>
  <c r="E622" i="12" s="1"/>
  <c r="D622" i="12" s="1"/>
  <c r="E3" i="12" a="1"/>
  <c r="E3" i="12" s="1"/>
  <c r="E202" i="12" a="1"/>
  <c r="E202" i="12" s="1"/>
  <c r="D202" i="12" s="1"/>
  <c r="E224" i="12" a="1"/>
  <c r="E224" i="12" s="1"/>
  <c r="D224" i="12" s="1"/>
  <c r="E448" i="12" a="1"/>
  <c r="E448" i="12" s="1"/>
  <c r="D448" i="12" s="1"/>
  <c r="E207" i="12" a="1"/>
  <c r="E207" i="12" s="1"/>
  <c r="E558" i="12" a="1"/>
  <c r="E558" i="12" s="1"/>
  <c r="D558" i="12" s="1"/>
  <c r="E450" i="12" a="1"/>
  <c r="E450" i="12" s="1"/>
  <c r="D450" i="12" s="1"/>
  <c r="E68" i="12" a="1"/>
  <c r="E68" i="12" s="1"/>
  <c r="D68" i="12" s="1"/>
  <c r="E103" i="12" a="1"/>
  <c r="E103" i="12" s="1"/>
  <c r="F308" i="12"/>
  <c r="F520" i="12"/>
  <c r="F724" i="12"/>
  <c r="F360" i="12"/>
  <c r="F460" i="12"/>
  <c r="F804" i="12"/>
  <c r="F83" i="12"/>
  <c r="G746" i="12"/>
  <c r="G50" i="12"/>
  <c r="E279" i="12" a="1"/>
  <c r="E279" i="12" s="1"/>
  <c r="D279" i="12" s="1"/>
  <c r="E403" i="12" a="1"/>
  <c r="E403" i="12" s="1"/>
  <c r="D403" i="12" s="1"/>
  <c r="E895" i="12" a="1"/>
  <c r="E895" i="12" s="1"/>
  <c r="E763" i="12" a="1"/>
  <c r="E763" i="12" s="1"/>
  <c r="D763" i="12" s="1"/>
  <c r="E715" i="12" a="1"/>
  <c r="E715" i="12" s="1"/>
  <c r="E703" i="12" a="1"/>
  <c r="E703" i="12" s="1"/>
  <c r="D703" i="12" s="1"/>
  <c r="F703" i="12"/>
  <c r="E639" i="12" a="1"/>
  <c r="E639" i="12" s="1"/>
  <c r="D639" i="12" s="1"/>
  <c r="E563" i="12" a="1"/>
  <c r="E563" i="12" s="1"/>
  <c r="D563" i="12" s="1"/>
  <c r="F471" i="12"/>
  <c r="E455" i="12" a="1"/>
  <c r="E455" i="12" s="1"/>
  <c r="F435" i="12"/>
  <c r="E391" i="12" a="1"/>
  <c r="E391" i="12" s="1"/>
  <c r="D391" i="12" s="1"/>
  <c r="G367" i="12"/>
  <c r="F347" i="12"/>
  <c r="E488" i="12" a="1"/>
  <c r="E488" i="12" s="1"/>
  <c r="D488" i="12" s="1"/>
  <c r="E524" i="12" a="1"/>
  <c r="E524" i="12" s="1"/>
  <c r="D524" i="12" s="1"/>
  <c r="G818" i="12"/>
  <c r="F818" i="12"/>
  <c r="G774" i="12"/>
  <c r="E774" i="12" a="1"/>
  <c r="E774" i="12" s="1"/>
  <c r="D774" i="12" s="1"/>
  <c r="G654" i="12"/>
  <c r="E654" i="12" a="1"/>
  <c r="E654" i="12" s="1"/>
  <c r="F618" i="12"/>
  <c r="E618" i="12" a="1"/>
  <c r="E618" i="12" s="1"/>
  <c r="D618" i="12" s="1"/>
  <c r="G274" i="12"/>
  <c r="F274" i="12"/>
  <c r="F206" i="12"/>
  <c r="G206" i="12"/>
  <c r="F194" i="12"/>
  <c r="E194" i="12" a="1"/>
  <c r="E194" i="12" s="1"/>
  <c r="F134" i="12"/>
  <c r="G134" i="12"/>
  <c r="E16" i="12" a="1"/>
  <c r="E16" i="12" s="1"/>
  <c r="D16" i="12" s="1"/>
  <c r="E104" i="12" a="1"/>
  <c r="E104" i="12" s="1"/>
  <c r="E83" i="12" a="1"/>
  <c r="E83" i="12" s="1"/>
  <c r="D83" i="12" s="1"/>
  <c r="E271" i="12" a="1"/>
  <c r="E271" i="12" s="1"/>
  <c r="D271" i="12" s="1"/>
  <c r="E354" i="12" a="1"/>
  <c r="E354" i="12" s="1"/>
  <c r="D354" i="12" s="1"/>
  <c r="E512" i="12" a="1"/>
  <c r="E512" i="12" s="1"/>
  <c r="E494" i="12" a="1"/>
  <c r="E494" i="12" s="1"/>
  <c r="D494" i="12" s="1"/>
  <c r="E196" i="12" a="1"/>
  <c r="E196" i="12" s="1"/>
  <c r="D196" i="12" s="1"/>
  <c r="E274" i="12" a="1"/>
  <c r="E274" i="12" s="1"/>
  <c r="D274" i="12" s="1"/>
  <c r="E374" i="12" a="1"/>
  <c r="E374" i="12" s="1"/>
  <c r="E359" i="12" a="1"/>
  <c r="E359" i="12" s="1"/>
  <c r="D359" i="12" s="1"/>
  <c r="E86" i="12" a="1"/>
  <c r="E86" i="12" s="1"/>
  <c r="D86" i="12" s="1"/>
  <c r="E58" i="12" a="1"/>
  <c r="E58" i="12" s="1"/>
  <c r="D58" i="12" s="1"/>
  <c r="E60" i="12" a="1"/>
  <c r="E60" i="12" s="1"/>
  <c r="E187" i="12" a="1"/>
  <c r="E187" i="12" s="1"/>
  <c r="D187" i="12" s="1"/>
  <c r="E362" i="12" a="1"/>
  <c r="E362" i="12" s="1"/>
  <c r="D362" i="12" s="1"/>
  <c r="E414" i="12" a="1"/>
  <c r="E414" i="12" s="1"/>
  <c r="D414" i="12" s="1"/>
  <c r="E798" i="12" a="1"/>
  <c r="E798" i="12" s="1"/>
  <c r="E814" i="12" a="1"/>
  <c r="E814" i="12" s="1"/>
  <c r="D814" i="12" s="1"/>
  <c r="E850" i="12" a="1"/>
  <c r="E850" i="12" s="1"/>
  <c r="D850" i="12" s="1"/>
  <c r="E518" i="12" a="1"/>
  <c r="E518" i="12" s="1"/>
  <c r="D518" i="12" s="1"/>
  <c r="E287" i="12" a="1"/>
  <c r="E287" i="12" s="1"/>
  <c r="E632" i="12" a="1"/>
  <c r="E632" i="12" s="1"/>
  <c r="D632" i="12" s="1"/>
  <c r="G190" i="12"/>
  <c r="F78" i="12"/>
  <c r="F115" i="12"/>
  <c r="G183" i="12"/>
  <c r="G900" i="12"/>
  <c r="E896" i="12" a="1"/>
  <c r="E896" i="12" s="1"/>
  <c r="D896" i="12" s="1"/>
  <c r="F888" i="12"/>
  <c r="G884" i="12"/>
  <c r="G880" i="12"/>
  <c r="G876" i="12"/>
  <c r="G864" i="12"/>
  <c r="G860" i="12"/>
  <c r="G852" i="12"/>
  <c r="G848" i="12"/>
  <c r="G844" i="12"/>
  <c r="G836" i="12"/>
  <c r="G832" i="12"/>
  <c r="E828" i="12" a="1"/>
  <c r="E828" i="12" s="1"/>
  <c r="D828" i="12" s="1"/>
  <c r="F824" i="12"/>
  <c r="E820" i="12" a="1"/>
  <c r="E820" i="12" s="1"/>
  <c r="D820" i="12" s="1"/>
  <c r="F812" i="12"/>
  <c r="F808" i="12"/>
  <c r="G804" i="12"/>
  <c r="F800" i="12"/>
  <c r="E796" i="12" a="1"/>
  <c r="E796" i="12" s="1"/>
  <c r="D796" i="12" s="1"/>
  <c r="G792" i="12"/>
  <c r="G788" i="12"/>
  <c r="F784" i="12"/>
  <c r="G780" i="12"/>
  <c r="G776" i="12"/>
  <c r="G772" i="12"/>
  <c r="G768" i="12"/>
  <c r="F764" i="12"/>
  <c r="F756" i="12"/>
  <c r="F752" i="12"/>
  <c r="F748" i="12"/>
  <c r="F744" i="12"/>
  <c r="G740" i="12"/>
  <c r="F736" i="12"/>
  <c r="G732" i="12"/>
  <c r="G720" i="12"/>
  <c r="G712" i="12"/>
  <c r="G708" i="12"/>
  <c r="F700" i="12"/>
  <c r="G692" i="12"/>
  <c r="G688" i="12"/>
  <c r="G684" i="12"/>
  <c r="G680" i="12"/>
  <c r="F676" i="12"/>
  <c r="F672" i="12"/>
  <c r="G668" i="12"/>
  <c r="G664" i="12"/>
  <c r="G660" i="12"/>
  <c r="G656" i="12"/>
  <c r="F648" i="12"/>
  <c r="G640" i="12"/>
  <c r="G636" i="12"/>
  <c r="G632" i="12"/>
  <c r="G624" i="12"/>
  <c r="G620" i="12"/>
  <c r="F616" i="12"/>
  <c r="F612" i="12"/>
  <c r="G604" i="12"/>
  <c r="G596" i="12"/>
  <c r="G592" i="12"/>
  <c r="F588" i="12"/>
  <c r="G584" i="12"/>
  <c r="G576" i="12"/>
  <c r="G572" i="12"/>
  <c r="G568" i="12"/>
  <c r="G564" i="12"/>
  <c r="G560" i="12"/>
  <c r="F552" i="12"/>
  <c r="G544" i="12"/>
  <c r="G540" i="12"/>
  <c r="G536" i="12"/>
  <c r="F532" i="12"/>
  <c r="G520" i="12"/>
  <c r="G516" i="12"/>
  <c r="G500" i="12"/>
  <c r="G496" i="12"/>
  <c r="G492" i="12"/>
  <c r="G488" i="12"/>
  <c r="G484" i="12"/>
  <c r="G480" i="12"/>
  <c r="G813" i="12"/>
  <c r="E813" i="12" a="1"/>
  <c r="E813" i="12" s="1"/>
  <c r="F472" i="12"/>
  <c r="G464" i="12"/>
  <c r="G456" i="12"/>
  <c r="G448" i="12"/>
  <c r="G440" i="12"/>
  <c r="G436" i="12"/>
  <c r="G432" i="12"/>
  <c r="G428" i="12"/>
  <c r="G424" i="12"/>
  <c r="G420" i="12"/>
  <c r="G416" i="12"/>
  <c r="F412" i="12"/>
  <c r="G408" i="12"/>
  <c r="F404" i="12"/>
  <c r="F400" i="12"/>
  <c r="G396" i="12"/>
  <c r="G392" i="12"/>
  <c r="G388" i="12"/>
  <c r="G384" i="12"/>
  <c r="G380" i="12"/>
  <c r="G376" i="12"/>
  <c r="G372" i="12"/>
  <c r="G360" i="12"/>
  <c r="G352" i="12"/>
  <c r="G348" i="12"/>
  <c r="G344" i="12"/>
  <c r="G332" i="12"/>
  <c r="G328" i="12"/>
  <c r="G324" i="12"/>
  <c r="G320" i="12"/>
  <c r="G308" i="12"/>
  <c r="G300" i="12"/>
  <c r="G296" i="12"/>
  <c r="G292" i="12"/>
  <c r="G288" i="12"/>
  <c r="G284" i="12"/>
  <c r="F280" i="12"/>
  <c r="G276" i="12"/>
  <c r="G272" i="12"/>
  <c r="G268" i="12"/>
  <c r="G260" i="12"/>
  <c r="G256" i="12"/>
  <c r="G244" i="12"/>
  <c r="G240" i="12"/>
  <c r="G232" i="12"/>
  <c r="G228" i="12"/>
  <c r="G224" i="12"/>
  <c r="G220" i="12"/>
  <c r="G212" i="12"/>
  <c r="G208" i="12"/>
  <c r="G204" i="12"/>
  <c r="G200" i="12"/>
  <c r="G192" i="12"/>
  <c r="G188" i="12"/>
  <c r="F184" i="12"/>
  <c r="G180" i="12"/>
  <c r="G172" i="12"/>
  <c r="G168" i="12"/>
  <c r="G164" i="12"/>
  <c r="G160" i="12"/>
  <c r="G156" i="12"/>
  <c r="G148" i="12"/>
  <c r="G144" i="12"/>
  <c r="G132" i="12"/>
  <c r="G128" i="12"/>
  <c r="G124" i="12"/>
  <c r="G120" i="12"/>
  <c r="G116" i="12"/>
  <c r="G112" i="12"/>
  <c r="F108" i="12"/>
  <c r="G104" i="12"/>
  <c r="G92" i="12"/>
  <c r="G88" i="12"/>
  <c r="G84" i="12"/>
  <c r="G80" i="12"/>
  <c r="G76" i="12"/>
  <c r="G64" i="12"/>
  <c r="G52" i="12"/>
  <c r="G48" i="12"/>
  <c r="G44" i="12"/>
  <c r="G40" i="12"/>
  <c r="G36" i="12"/>
  <c r="G24" i="12"/>
  <c r="G20" i="12"/>
  <c r="G8" i="12"/>
  <c r="E781" i="12" a="1"/>
  <c r="E781" i="12" s="1"/>
  <c r="D781" i="12" s="1"/>
  <c r="F725" i="12"/>
  <c r="G866" i="12"/>
  <c r="G862" i="12"/>
  <c r="E466" i="12" a="1"/>
  <c r="E466" i="12" s="1"/>
  <c r="D466" i="12" s="1"/>
  <c r="E769" i="12" a="1"/>
  <c r="E769" i="12" s="1"/>
  <c r="D769" i="12" s="1"/>
  <c r="E766" i="12" a="1"/>
  <c r="E766" i="12" s="1"/>
  <c r="E869" i="12" a="1"/>
  <c r="E869" i="12" s="1"/>
  <c r="D869" i="12" s="1"/>
  <c r="E630" i="12" a="1"/>
  <c r="E630" i="12" s="1"/>
  <c r="D630" i="12" s="1"/>
  <c r="E825" i="12" a="1"/>
  <c r="E825" i="12" s="1"/>
  <c r="D825" i="12" s="1"/>
  <c r="E702" i="12" a="1"/>
  <c r="E702" i="12" s="1"/>
  <c r="E474" i="12" a="1"/>
  <c r="E474" i="12" s="1"/>
  <c r="D474" i="12" s="1"/>
  <c r="E605" i="12" a="1"/>
  <c r="E605" i="12" s="1"/>
  <c r="D605" i="12" s="1"/>
  <c r="E674" i="12" a="1"/>
  <c r="E674" i="12" s="1"/>
  <c r="D674" i="12" s="1"/>
  <c r="E754" i="12" a="1"/>
  <c r="E754" i="12" s="1"/>
  <c r="E854" i="12" a="1"/>
  <c r="E854" i="12" s="1"/>
  <c r="D854" i="12" s="1"/>
  <c r="E361" i="12" a="1"/>
  <c r="E361" i="12" s="1"/>
  <c r="D361" i="12" s="1"/>
  <c r="E334" i="12" a="1"/>
  <c r="E334" i="12" s="1"/>
  <c r="F821" i="12"/>
  <c r="F245" i="12"/>
  <c r="F301" i="12"/>
  <c r="F641" i="12"/>
  <c r="F569" i="12"/>
  <c r="F533" i="12"/>
  <c r="F341" i="12"/>
  <c r="F477" i="12"/>
  <c r="G425" i="12"/>
  <c r="G182" i="12"/>
  <c r="F290" i="12"/>
  <c r="G430" i="12"/>
  <c r="G478" i="12"/>
  <c r="F526" i="12"/>
  <c r="G570" i="12"/>
  <c r="F642" i="12"/>
  <c r="G706" i="12"/>
  <c r="F862" i="12"/>
  <c r="G78" i="12"/>
  <c r="G294" i="12"/>
  <c r="F433" i="12"/>
  <c r="G621" i="12"/>
  <c r="E602" i="12" a="1"/>
  <c r="E602" i="12" s="1"/>
  <c r="D602" i="12" s="1"/>
  <c r="G750" i="12"/>
  <c r="F866" i="12"/>
  <c r="F298" i="12"/>
  <c r="G442" i="12"/>
  <c r="G482" i="12"/>
  <c r="F570" i="12"/>
  <c r="F646" i="12"/>
  <c r="F883" i="12"/>
  <c r="E883" i="12" a="1"/>
  <c r="E883" i="12" s="1"/>
  <c r="D883" i="12" s="1"/>
  <c r="F871" i="12"/>
  <c r="E871" i="12" a="1"/>
  <c r="E871" i="12" s="1"/>
  <c r="D871" i="12" s="1"/>
  <c r="G855" i="12"/>
  <c r="F855" i="12"/>
  <c r="E855" i="12" a="1"/>
  <c r="E855" i="12" s="1"/>
  <c r="F831" i="12"/>
  <c r="G831" i="12"/>
  <c r="G823" i="12"/>
  <c r="E823" i="12" a="1"/>
  <c r="E823" i="12" s="1"/>
  <c r="E742" i="12" a="1"/>
  <c r="E742" i="12" s="1"/>
  <c r="D742" i="12" s="1"/>
  <c r="F809" i="12"/>
  <c r="F841" i="12"/>
  <c r="F689" i="12"/>
  <c r="F661" i="12"/>
  <c r="F405" i="12"/>
  <c r="G493" i="12"/>
  <c r="G302" i="12"/>
  <c r="F350" i="12"/>
  <c r="G398" i="12"/>
  <c r="F590" i="12"/>
  <c r="F434" i="12"/>
  <c r="G733" i="12"/>
  <c r="F497" i="12"/>
  <c r="G673" i="12"/>
  <c r="G682" i="12"/>
  <c r="E682" i="12" a="1"/>
  <c r="E682" i="12" s="1"/>
  <c r="D682" i="12" s="1"/>
  <c r="G610" i="12"/>
  <c r="E610" i="12" a="1"/>
  <c r="E610" i="12" s="1"/>
  <c r="D610" i="12" s="1"/>
  <c r="G586" i="12"/>
  <c r="F586" i="12"/>
  <c r="G574" i="12"/>
  <c r="F574" i="12"/>
  <c r="G550" i="12"/>
  <c r="F550" i="12"/>
  <c r="G522" i="12"/>
  <c r="F522" i="12"/>
  <c r="E406" i="12" a="1"/>
  <c r="E406" i="12" s="1"/>
  <c r="G406" i="12"/>
  <c r="G346" i="12"/>
  <c r="F346" i="12"/>
  <c r="E266" i="12" a="1"/>
  <c r="E266" i="12" s="1"/>
  <c r="G266" i="12"/>
  <c r="G262" i="12"/>
  <c r="E262" i="12" a="1"/>
  <c r="E262" i="12" s="1"/>
  <c r="D262" i="12" s="1"/>
  <c r="E214" i="12" a="1"/>
  <c r="E214" i="12" s="1"/>
  <c r="D214" i="12" s="1"/>
  <c r="F214" i="12"/>
  <c r="G198" i="12"/>
  <c r="F198" i="12"/>
  <c r="E158" i="12" a="1"/>
  <c r="E158" i="12" s="1"/>
  <c r="F158" i="12"/>
  <c r="E130" i="12" a="1"/>
  <c r="E130" i="12" s="1"/>
  <c r="D130" i="12" s="1"/>
  <c r="G130" i="12"/>
  <c r="F130" i="12"/>
  <c r="G62" i="12"/>
  <c r="F62" i="12"/>
  <c r="E422" i="12" a="1"/>
  <c r="E422" i="12" s="1"/>
  <c r="D422" i="12" s="1"/>
  <c r="E805" i="12" a="1"/>
  <c r="E805" i="12" s="1"/>
  <c r="E434" i="12" a="1"/>
  <c r="E434" i="12" s="1"/>
  <c r="D434" i="12" s="1"/>
  <c r="E809" i="12" a="1"/>
  <c r="E809" i="12" s="1"/>
  <c r="D809" i="12" s="1"/>
  <c r="F813" i="12"/>
  <c r="F517" i="12"/>
  <c r="G314" i="12"/>
  <c r="G410" i="12"/>
  <c r="F454" i="12"/>
  <c r="G889" i="12"/>
  <c r="G537" i="12"/>
  <c r="F898" i="12"/>
  <c r="G894" i="12"/>
  <c r="F894" i="12"/>
  <c r="F890" i="12"/>
  <c r="G886" i="12"/>
  <c r="E886" i="12" a="1"/>
  <c r="E886" i="12" s="1"/>
  <c r="F886" i="12"/>
  <c r="E882" i="12" a="1"/>
  <c r="E882" i="12" s="1"/>
  <c r="F882" i="12"/>
  <c r="F878" i="12"/>
  <c r="G874" i="12"/>
  <c r="E874" i="12" a="1"/>
  <c r="E874" i="12" s="1"/>
  <c r="D874" i="12" s="1"/>
  <c r="G870" i="12"/>
  <c r="F858" i="12"/>
  <c r="F854" i="12"/>
  <c r="F850" i="12"/>
  <c r="E846" i="12" a="1"/>
  <c r="E846" i="12" s="1"/>
  <c r="D846" i="12" s="1"/>
  <c r="F834" i="12"/>
  <c r="F830" i="12"/>
  <c r="F822" i="12"/>
  <c r="F810" i="12"/>
  <c r="G798" i="12"/>
  <c r="F790" i="12"/>
  <c r="E778" i="12" a="1"/>
  <c r="E778" i="12" s="1"/>
  <c r="D778" i="12" s="1"/>
  <c r="G734" i="12"/>
  <c r="G730" i="12"/>
  <c r="G714" i="12"/>
  <c r="F706" i="12"/>
  <c r="G698" i="12"/>
  <c r="F670" i="12"/>
  <c r="E638" i="12" a="1"/>
  <c r="E638" i="12" s="1"/>
  <c r="E574" i="12" a="1"/>
  <c r="E574" i="12" s="1"/>
  <c r="D574" i="12" s="1"/>
  <c r="E873" i="12" a="1"/>
  <c r="E873" i="12" s="1"/>
  <c r="D873" i="12" s="1"/>
  <c r="E841" i="12" a="1"/>
  <c r="E841" i="12" s="1"/>
  <c r="D841" i="12" s="1"/>
  <c r="E877" i="12" a="1"/>
  <c r="E877" i="12" s="1"/>
  <c r="E378" i="12" a="1"/>
  <c r="E378" i="12" s="1"/>
  <c r="D378" i="12" s="1"/>
  <c r="F537" i="12"/>
  <c r="F525" i="12"/>
  <c r="F693" i="12"/>
  <c r="F709" i="12"/>
  <c r="G790" i="12"/>
  <c r="G214" i="12"/>
  <c r="F318" i="12"/>
  <c r="G418" i="12"/>
  <c r="G458" i="12"/>
  <c r="G506" i="12"/>
  <c r="F614" i="12"/>
  <c r="G162" i="12"/>
  <c r="G393" i="12"/>
  <c r="G569" i="12"/>
  <c r="E678" i="12" a="1"/>
  <c r="E678" i="12" s="1"/>
  <c r="E746" i="12" a="1"/>
  <c r="E746" i="12" s="1"/>
  <c r="D746" i="12" s="1"/>
  <c r="G742" i="12"/>
  <c r="G370" i="12"/>
  <c r="F558" i="12"/>
  <c r="G618" i="12"/>
  <c r="G901" i="12"/>
  <c r="E901" i="12" a="1"/>
  <c r="E901" i="12" s="1"/>
  <c r="D901" i="12" s="1"/>
  <c r="F901" i="12"/>
  <c r="G893" i="12"/>
  <c r="F893" i="12"/>
  <c r="E893" i="12" a="1"/>
  <c r="E893" i="12" s="1"/>
  <c r="D893" i="12" s="1"/>
  <c r="G885" i="12"/>
  <c r="F885" i="12"/>
  <c r="G865" i="12"/>
  <c r="E865" i="12" a="1"/>
  <c r="E865" i="12" s="1"/>
  <c r="D865" i="12" s="1"/>
  <c r="F861" i="12"/>
  <c r="E861" i="12" a="1"/>
  <c r="E861" i="12" s="1"/>
  <c r="D861" i="12" s="1"/>
  <c r="G853" i="12"/>
  <c r="E853" i="12" a="1"/>
  <c r="E853" i="12" s="1"/>
  <c r="D853" i="12" s="1"/>
  <c r="G837" i="12"/>
  <c r="F837" i="12"/>
  <c r="G817" i="12"/>
  <c r="E817" i="12" a="1"/>
  <c r="E817" i="12" s="1"/>
  <c r="D817" i="12" s="1"/>
  <c r="G801" i="12"/>
  <c r="F801" i="12"/>
  <c r="F789" i="12"/>
  <c r="G789" i="12"/>
  <c r="E789" i="12" a="1"/>
  <c r="E789" i="12" s="1"/>
  <c r="G777" i="12"/>
  <c r="F777" i="12"/>
  <c r="F773" i="12"/>
  <c r="E773" i="12" a="1"/>
  <c r="E773" i="12" s="1"/>
  <c r="E765" i="12" a="1"/>
  <c r="E765" i="12" s="1"/>
  <c r="D765" i="12" s="1"/>
  <c r="F765" i="12"/>
  <c r="E753" i="12" a="1"/>
  <c r="E753" i="12" s="1"/>
  <c r="D753" i="12" s="1"/>
  <c r="G753" i="12"/>
  <c r="G749" i="12"/>
  <c r="F749" i="12"/>
  <c r="G745" i="12"/>
  <c r="F745" i="12"/>
  <c r="G741" i="12"/>
  <c r="E741" i="12" a="1"/>
  <c r="E741" i="12" s="1"/>
  <c r="D741" i="12" s="1"/>
  <c r="F741" i="12"/>
  <c r="G717" i="12"/>
  <c r="F717" i="12"/>
  <c r="E717" i="12" a="1"/>
  <c r="E717" i="12" s="1"/>
  <c r="D717" i="12" s="1"/>
  <c r="G713" i="12"/>
  <c r="F713" i="12"/>
  <c r="G705" i="12"/>
  <c r="E705" i="12" a="1"/>
  <c r="E705" i="12" s="1"/>
  <c r="D705" i="12" s="1"/>
  <c r="F705" i="12"/>
  <c r="G697" i="12"/>
  <c r="F697" i="12"/>
  <c r="E685" i="12" a="1"/>
  <c r="E685" i="12" s="1"/>
  <c r="D685" i="12" s="1"/>
  <c r="G685" i="12"/>
  <c r="E681" i="12" a="1"/>
  <c r="E681" i="12" s="1"/>
  <c r="G681" i="12"/>
  <c r="G669" i="12"/>
  <c r="F669" i="12"/>
  <c r="F657" i="12"/>
  <c r="G657" i="12"/>
  <c r="E657" i="12" a="1"/>
  <c r="E657" i="12" s="1"/>
  <c r="D657" i="12" s="1"/>
  <c r="G653" i="12"/>
  <c r="F653" i="12"/>
  <c r="G649" i="12"/>
  <c r="F649" i="12"/>
  <c r="G637" i="12"/>
  <c r="F637" i="12"/>
  <c r="F633" i="12"/>
  <c r="E633" i="12" a="1"/>
  <c r="E633" i="12" s="1"/>
  <c r="D633" i="12" s="1"/>
  <c r="G625" i="12"/>
  <c r="F625" i="12"/>
  <c r="E625" i="12" a="1"/>
  <c r="E625" i="12" s="1"/>
  <c r="D625" i="12" s="1"/>
  <c r="G617" i="12"/>
  <c r="F617" i="12"/>
  <c r="G609" i="12"/>
  <c r="F609" i="12"/>
  <c r="G585" i="12"/>
  <c r="F585" i="12"/>
  <c r="F577" i="12"/>
  <c r="G577" i="12"/>
  <c r="G573" i="12"/>
  <c r="F573" i="12"/>
  <c r="F565" i="12"/>
  <c r="G565" i="12"/>
  <c r="F561" i="12"/>
  <c r="E561" i="12" a="1"/>
  <c r="E561" i="12" s="1"/>
  <c r="D561" i="12" s="1"/>
  <c r="G561" i="12"/>
  <c r="F541" i="12"/>
  <c r="G541" i="12"/>
  <c r="G513" i="12"/>
  <c r="E513" i="12" a="1"/>
  <c r="E513" i="12" s="1"/>
  <c r="G509" i="12"/>
  <c r="F509" i="12"/>
  <c r="G501" i="12"/>
  <c r="F501" i="12"/>
  <c r="F489" i="12"/>
  <c r="G489" i="12"/>
  <c r="F481" i="12"/>
  <c r="G481" i="12"/>
  <c r="E481" i="12" a="1"/>
  <c r="E481" i="12" s="1"/>
  <c r="D481" i="12" s="1"/>
  <c r="F469" i="12"/>
  <c r="G469" i="12"/>
  <c r="E469" i="12" a="1"/>
  <c r="E469" i="12" s="1"/>
  <c r="D469" i="12" s="1"/>
  <c r="F465" i="12"/>
  <c r="G465" i="12"/>
  <c r="G457" i="12"/>
  <c r="F457" i="12"/>
  <c r="G453" i="12"/>
  <c r="F453" i="12"/>
  <c r="E453" i="12" a="1"/>
  <c r="E453" i="12" s="1"/>
  <c r="D453" i="12" s="1"/>
  <c r="E445" i="12" a="1"/>
  <c r="E445" i="12" s="1"/>
  <c r="F445" i="12"/>
  <c r="G421" i="12"/>
  <c r="F421" i="12"/>
  <c r="E413" i="12" a="1"/>
  <c r="E413" i="12" s="1"/>
  <c r="G413" i="12"/>
  <c r="F397" i="12"/>
  <c r="G397" i="12"/>
  <c r="G389" i="12"/>
  <c r="E389" i="12" a="1"/>
  <c r="E389" i="12" s="1"/>
  <c r="D389" i="12" s="1"/>
  <c r="G385" i="12"/>
  <c r="F385" i="12"/>
  <c r="F381" i="12"/>
  <c r="E381" i="12" a="1"/>
  <c r="E381" i="12" s="1"/>
  <c r="D381" i="12" s="1"/>
  <c r="G377" i="12"/>
  <c r="F377" i="12"/>
  <c r="E373" i="12" a="1"/>
  <c r="E373" i="12" s="1"/>
  <c r="G373" i="12"/>
  <c r="F369" i="12"/>
  <c r="E369" i="12" a="1"/>
  <c r="E369" i="12" s="1"/>
  <c r="D369" i="12" s="1"/>
  <c r="G349" i="12"/>
  <c r="F349" i="12"/>
  <c r="G345" i="12"/>
  <c r="F345" i="12"/>
  <c r="F329" i="12"/>
  <c r="G329" i="12"/>
  <c r="G321" i="12"/>
  <c r="F321" i="12"/>
  <c r="G317" i="12"/>
  <c r="F317" i="12"/>
  <c r="G305" i="12"/>
  <c r="F305" i="12"/>
  <c r="F289" i="12"/>
  <c r="G289" i="12"/>
  <c r="G269" i="12"/>
  <c r="F269" i="12"/>
  <c r="G257" i="12"/>
  <c r="F257" i="12"/>
  <c r="G233" i="12"/>
  <c r="F233" i="12"/>
  <c r="F229" i="12"/>
  <c r="G229" i="12"/>
  <c r="G225" i="12"/>
  <c r="F225" i="12"/>
  <c r="E225" i="12" a="1"/>
  <c r="E225" i="12" s="1"/>
  <c r="G197" i="12"/>
  <c r="F197" i="12"/>
  <c r="G185" i="12"/>
  <c r="F185" i="12"/>
  <c r="E626" i="12" a="1"/>
  <c r="E626" i="12" s="1"/>
  <c r="D626" i="12" s="1"/>
  <c r="E646" i="12" a="1"/>
  <c r="E646" i="12" s="1"/>
  <c r="D646" i="12" s="1"/>
  <c r="E254" i="12" a="1"/>
  <c r="E254" i="12" s="1"/>
  <c r="D254" i="12" s="1"/>
  <c r="E509" i="12" a="1"/>
  <c r="E509" i="12" s="1"/>
  <c r="E257" i="12" a="1"/>
  <c r="E257" i="12" s="1"/>
  <c r="D257" i="12" s="1"/>
  <c r="E881" i="12" a="1"/>
  <c r="E881" i="12" s="1"/>
  <c r="D881" i="12" s="1"/>
  <c r="F865" i="12"/>
  <c r="F177" i="12"/>
  <c r="F241" i="12"/>
  <c r="F597" i="12"/>
  <c r="F553" i="12"/>
  <c r="F737" i="12"/>
  <c r="G461" i="12"/>
  <c r="G890" i="12"/>
  <c r="G174" i="12"/>
  <c r="F474" i="12"/>
  <c r="G702" i="12"/>
  <c r="F266" i="12"/>
  <c r="G869" i="12"/>
  <c r="G193" i="12"/>
  <c r="G785" i="12"/>
  <c r="G797" i="12"/>
  <c r="G605" i="12"/>
  <c r="E810" i="12" a="1"/>
  <c r="E810" i="12" s="1"/>
  <c r="F25" i="12"/>
  <c r="F109" i="12"/>
  <c r="G65" i="12"/>
  <c r="F846" i="12"/>
  <c r="G842" i="12"/>
  <c r="F838" i="12"/>
  <c r="G838" i="12"/>
  <c r="E834" i="12" a="1"/>
  <c r="E834" i="12" s="1"/>
  <c r="D834" i="12" s="1"/>
  <c r="G830" i="12"/>
  <c r="G826" i="12"/>
  <c r="G822" i="12"/>
  <c r="E818" i="12" a="1"/>
  <c r="E818" i="12" s="1"/>
  <c r="G810" i="12"/>
  <c r="G806" i="12"/>
  <c r="F806" i="12"/>
  <c r="G802" i="12"/>
  <c r="E802" i="12" a="1"/>
  <c r="E802" i="12" s="1"/>
  <c r="D802" i="12" s="1"/>
  <c r="F794" i="12"/>
  <c r="G794" i="12"/>
  <c r="F786" i="12"/>
  <c r="G782" i="12"/>
  <c r="G778" i="12"/>
  <c r="F774" i="12"/>
  <c r="E770" i="12" a="1"/>
  <c r="E770" i="12" s="1"/>
  <c r="F766" i="12"/>
  <c r="G762" i="12"/>
  <c r="F762" i="12"/>
  <c r="E762" i="12" a="1"/>
  <c r="E762" i="12" s="1"/>
  <c r="G758" i="12"/>
  <c r="F758" i="12"/>
  <c r="F738" i="12"/>
  <c r="G738" i="12"/>
  <c r="E738" i="12" a="1"/>
  <c r="E738" i="12" s="1"/>
  <c r="D738" i="12" s="1"/>
  <c r="E734" i="12" a="1"/>
  <c r="E734" i="12" s="1"/>
  <c r="D734" i="12" s="1"/>
  <c r="F734" i="12"/>
  <c r="F726" i="12"/>
  <c r="F722" i="12"/>
  <c r="G718" i="12"/>
  <c r="F714" i="12"/>
  <c r="F710" i="12"/>
  <c r="F698" i="12"/>
  <c r="G694" i="12"/>
  <c r="F690" i="12"/>
  <c r="F686" i="12"/>
  <c r="F682" i="12"/>
  <c r="F678" i="12"/>
  <c r="G670" i="12"/>
  <c r="E666" i="12" a="1"/>
  <c r="E666" i="12" s="1"/>
  <c r="F654" i="12"/>
  <c r="F622" i="12"/>
  <c r="G594" i="12"/>
  <c r="E578" i="12" a="1"/>
  <c r="E578" i="12" s="1"/>
  <c r="G566" i="12"/>
  <c r="F538" i="12"/>
  <c r="E522" i="12" a="1"/>
  <c r="E522" i="12" s="1"/>
  <c r="D522" i="12" s="1"/>
  <c r="G518" i="12"/>
  <c r="G514" i="12"/>
  <c r="E506" i="12" a="1"/>
  <c r="E506" i="12" s="1"/>
  <c r="D506" i="12" s="1"/>
  <c r="F486" i="12"/>
  <c r="E470" i="12" a="1"/>
  <c r="E470" i="12" s="1"/>
  <c r="G462" i="12"/>
  <c r="F438" i="12"/>
  <c r="G414" i="12"/>
  <c r="E394" i="12" a="1"/>
  <c r="E394" i="12" s="1"/>
  <c r="E390" i="12" a="1"/>
  <c r="E390" i="12" s="1"/>
  <c r="D390" i="12" s="1"/>
  <c r="F386" i="12"/>
  <c r="E370" i="12" a="1"/>
  <c r="E370" i="12" s="1"/>
  <c r="D370" i="12" s="1"/>
  <c r="G362" i="12"/>
  <c r="G338" i="12"/>
  <c r="G306" i="12"/>
  <c r="E298" i="12" a="1"/>
  <c r="E298" i="12" s="1"/>
  <c r="D298" i="12" s="1"/>
  <c r="F278" i="12"/>
  <c r="G254" i="12"/>
  <c r="G226" i="12"/>
  <c r="G222" i="12"/>
  <c r="G194" i="12"/>
  <c r="G166" i="12"/>
  <c r="E162" i="12" a="1"/>
  <c r="E162" i="12" s="1"/>
  <c r="D162" i="12" s="1"/>
  <c r="G146" i="12"/>
  <c r="F114" i="12"/>
  <c r="E106" i="12" a="1"/>
  <c r="E106" i="12" s="1"/>
  <c r="D106" i="12" s="1"/>
  <c r="F90" i="12"/>
  <c r="F66" i="12"/>
  <c r="F42" i="12"/>
  <c r="F18" i="12"/>
  <c r="G169" i="12"/>
  <c r="G165" i="12"/>
  <c r="F161" i="12"/>
  <c r="F157" i="12"/>
  <c r="G157" i="12"/>
  <c r="G153" i="12"/>
  <c r="E141" i="12" a="1"/>
  <c r="E141" i="12" s="1"/>
  <c r="D141" i="12" s="1"/>
  <c r="G137" i="12"/>
  <c r="G133" i="12"/>
  <c r="G125" i="12"/>
  <c r="E125" i="12" a="1"/>
  <c r="E125" i="12" s="1"/>
  <c r="D125" i="12" s="1"/>
  <c r="G97" i="12"/>
  <c r="F97" i="12"/>
  <c r="G57" i="12"/>
  <c r="E57" i="12" a="1"/>
  <c r="E57" i="12" s="1"/>
  <c r="G49" i="12"/>
  <c r="F49" i="12"/>
  <c r="F33" i="12"/>
  <c r="G33" i="12"/>
  <c r="G17" i="12"/>
  <c r="E17" i="12" a="1"/>
  <c r="E17" i="12" s="1"/>
  <c r="D17" i="12" s="1"/>
  <c r="G5" i="12"/>
  <c r="E5" i="12" a="1"/>
  <c r="E5" i="12" s="1"/>
  <c r="D5" i="12" s="1"/>
  <c r="E105" i="12" a="1"/>
  <c r="E105" i="12" s="1"/>
  <c r="D105" i="12" s="1"/>
  <c r="F61" i="12"/>
  <c r="F105" i="12"/>
  <c r="G786" i="12"/>
  <c r="F778" i="12"/>
  <c r="G129" i="12"/>
  <c r="F900" i="12"/>
  <c r="F876" i="12"/>
  <c r="F828" i="12"/>
  <c r="F796" i="12"/>
  <c r="F792" i="12"/>
  <c r="F768" i="12"/>
  <c r="E756" i="12" a="1"/>
  <c r="E756" i="12" s="1"/>
  <c r="D756" i="12" s="1"/>
  <c r="G748" i="12"/>
  <c r="E748" i="12" a="1"/>
  <c r="E748" i="12" s="1"/>
  <c r="D748" i="12" s="1"/>
  <c r="G744" i="12"/>
  <c r="E700" i="12" a="1"/>
  <c r="E700" i="12" s="1"/>
  <c r="D700" i="12" s="1"/>
  <c r="G696" i="12"/>
  <c r="E688" i="12" a="1"/>
  <c r="E688" i="12" s="1"/>
  <c r="D688" i="12" s="1"/>
  <c r="G676" i="12"/>
  <c r="E668" i="12" a="1"/>
  <c r="E668" i="12" s="1"/>
  <c r="D668" i="12" s="1"/>
  <c r="F660" i="12"/>
  <c r="F592" i="12"/>
  <c r="G588" i="12"/>
  <c r="F560" i="12"/>
  <c r="G556" i="12"/>
  <c r="E544" i="12" a="1"/>
  <c r="E544" i="12" s="1"/>
  <c r="D544" i="12" s="1"/>
  <c r="G524" i="12"/>
  <c r="F492" i="12"/>
  <c r="G472" i="12"/>
  <c r="F468" i="12"/>
  <c r="G444" i="12"/>
  <c r="G412" i="12"/>
  <c r="F396" i="12"/>
  <c r="G364" i="12"/>
  <c r="F356" i="12"/>
  <c r="E344" i="12" a="1"/>
  <c r="E344" i="12" s="1"/>
  <c r="D344" i="12" s="1"/>
  <c r="G340" i="12"/>
  <c r="E324" i="12" a="1"/>
  <c r="E324" i="12" s="1"/>
  <c r="D324" i="12" s="1"/>
  <c r="F300" i="12"/>
  <c r="F296" i="12"/>
  <c r="G280" i="12"/>
  <c r="G236" i="12"/>
  <c r="F228" i="12"/>
  <c r="F192" i="12"/>
  <c r="F188" i="12"/>
  <c r="G152" i="12"/>
  <c r="G140" i="12"/>
  <c r="G136" i="12"/>
  <c r="F116" i="12"/>
  <c r="F112" i="12"/>
  <c r="G100" i="12"/>
  <c r="G56" i="12"/>
  <c r="F48" i="12"/>
  <c r="F44" i="12"/>
  <c r="E36" i="12" a="1"/>
  <c r="E36" i="12" s="1"/>
  <c r="G16" i="12"/>
  <c r="G12" i="12"/>
  <c r="G315" i="12"/>
  <c r="F315" i="12"/>
  <c r="E288" i="12" a="1"/>
  <c r="E288" i="12" s="1"/>
  <c r="D288" i="12" s="1"/>
  <c r="E392" i="12" a="1"/>
  <c r="E392" i="12" s="1"/>
  <c r="D392" i="12" s="1"/>
  <c r="E428" i="12" a="1"/>
  <c r="E428" i="12" s="1"/>
  <c r="D428" i="12" s="1"/>
  <c r="E566" i="12" a="1"/>
  <c r="E566" i="12" s="1"/>
  <c r="D566" i="12" s="1"/>
  <c r="E244" i="12" a="1"/>
  <c r="E244" i="12" s="1"/>
  <c r="D244" i="12" s="1"/>
  <c r="E588" i="12" a="1"/>
  <c r="E588" i="12" s="1"/>
  <c r="D588" i="12" s="1"/>
  <c r="E340" i="12" a="1"/>
  <c r="E340" i="12" s="1"/>
  <c r="D340" i="12" s="1"/>
  <c r="E278" i="12" a="1"/>
  <c r="E278" i="12" s="1"/>
  <c r="D278" i="12" s="1"/>
  <c r="E335" i="12" a="1"/>
  <c r="E335" i="12" s="1"/>
  <c r="D335" i="12" s="1"/>
  <c r="E439" i="12" a="1"/>
  <c r="E439" i="12" s="1"/>
  <c r="D439" i="12" s="1"/>
  <c r="E559" i="12" a="1"/>
  <c r="E559" i="12" s="1"/>
  <c r="D559" i="12" s="1"/>
  <c r="F556" i="12"/>
  <c r="F696" i="12"/>
  <c r="F127" i="12"/>
  <c r="F32" i="12"/>
  <c r="G666" i="12"/>
  <c r="F658" i="12"/>
  <c r="G650" i="12"/>
  <c r="E650" i="12" a="1"/>
  <c r="E650" i="12" s="1"/>
  <c r="D650" i="12" s="1"/>
  <c r="G638" i="12"/>
  <c r="F634" i="12"/>
  <c r="G630" i="12"/>
  <c r="G614" i="12"/>
  <c r="F606" i="12"/>
  <c r="G602" i="12"/>
  <c r="G582" i="12"/>
  <c r="F582" i="12"/>
  <c r="G578" i="12"/>
  <c r="F562" i="12"/>
  <c r="G562" i="12"/>
  <c r="E562" i="12" a="1"/>
  <c r="E562" i="12" s="1"/>
  <c r="D562" i="12" s="1"/>
  <c r="F554" i="12"/>
  <c r="E554" i="12" a="1"/>
  <c r="E554" i="12" s="1"/>
  <c r="D554" i="12" s="1"/>
  <c r="E550" i="12" a="1"/>
  <c r="E550" i="12" s="1"/>
  <c r="D550" i="12" s="1"/>
  <c r="F546" i="12"/>
  <c r="F542" i="12"/>
  <c r="F534" i="12"/>
  <c r="F530" i="12"/>
  <c r="G526" i="12"/>
  <c r="F510" i="12"/>
  <c r="G510" i="12"/>
  <c r="F502" i="12"/>
  <c r="F494" i="12"/>
  <c r="G490" i="12"/>
  <c r="G486" i="12"/>
  <c r="F478" i="12"/>
  <c r="G470" i="12"/>
  <c r="F466" i="12"/>
  <c r="F462" i="12"/>
  <c r="G450" i="12"/>
  <c r="F446" i="12"/>
  <c r="G446" i="12"/>
  <c r="E438" i="12" a="1"/>
  <c r="E438" i="12" s="1"/>
  <c r="D438" i="12" s="1"/>
  <c r="F426" i="12"/>
  <c r="G426" i="12"/>
  <c r="G422" i="12"/>
  <c r="F410" i="12"/>
  <c r="F406" i="12"/>
  <c r="G402" i="12"/>
  <c r="F394" i="12"/>
  <c r="G390" i="12"/>
  <c r="G382" i="12"/>
  <c r="F378" i="12"/>
  <c r="F374" i="12"/>
  <c r="F366" i="12"/>
  <c r="F358" i="12"/>
  <c r="F354" i="12"/>
  <c r="G350" i="12"/>
  <c r="E346" i="12" a="1"/>
  <c r="E346" i="12" s="1"/>
  <c r="D346" i="12" s="1"/>
  <c r="F342" i="12"/>
  <c r="F334" i="12"/>
  <c r="F330" i="12"/>
  <c r="G326" i="12"/>
  <c r="F322" i="12"/>
  <c r="G310" i="12"/>
  <c r="F310" i="12"/>
  <c r="F306" i="12"/>
  <c r="F294" i="12"/>
  <c r="F286" i="12"/>
  <c r="G286" i="12"/>
  <c r="F282" i="12"/>
  <c r="F270" i="12"/>
  <c r="F262" i="12"/>
  <c r="F258" i="12"/>
  <c r="F250" i="12"/>
  <c r="G246" i="12"/>
  <c r="G242" i="12"/>
  <c r="F234" i="12"/>
  <c r="F230" i="12"/>
  <c r="F218" i="12"/>
  <c r="E218" i="12" a="1"/>
  <c r="E218" i="12" s="1"/>
  <c r="D218" i="12" s="1"/>
  <c r="F210" i="12"/>
  <c r="G210" i="12"/>
  <c r="G202" i="12"/>
  <c r="F190" i="12"/>
  <c r="G186" i="12"/>
  <c r="F178" i="12"/>
  <c r="G178" i="12"/>
  <c r="F174" i="12"/>
  <c r="F170" i="12"/>
  <c r="G158" i="12"/>
  <c r="G154" i="12"/>
  <c r="F142" i="12"/>
  <c r="E142" i="12" a="1"/>
  <c r="E142" i="12" s="1"/>
  <c r="D142" i="12" s="1"/>
  <c r="G138" i="12"/>
  <c r="F138" i="12"/>
  <c r="G126" i="12"/>
  <c r="G122" i="12"/>
  <c r="G118" i="12"/>
  <c r="G114" i="12"/>
  <c r="G102" i="12"/>
  <c r="F102" i="12"/>
  <c r="G94" i="12"/>
  <c r="G86" i="12"/>
  <c r="F82" i="12"/>
  <c r="G74" i="12"/>
  <c r="G70" i="12"/>
  <c r="G66" i="12"/>
  <c r="G54" i="12"/>
  <c r="F50" i="12"/>
  <c r="F46" i="12"/>
  <c r="G38" i="12"/>
  <c r="G30" i="12"/>
  <c r="F30" i="12"/>
  <c r="G22" i="12"/>
  <c r="F10" i="12"/>
  <c r="G10" i="12"/>
  <c r="G6" i="12"/>
  <c r="F2" i="12"/>
  <c r="G4" i="10"/>
  <c r="F823" i="12"/>
  <c r="G607" i="12"/>
  <c r="F591" i="12"/>
  <c r="G555" i="12"/>
  <c r="G515" i="12"/>
  <c r="G331" i="12"/>
  <c r="G275" i="12"/>
  <c r="E864" i="12" a="1"/>
  <c r="E864" i="12" s="1"/>
  <c r="D864" i="12" s="1"/>
  <c r="F688" i="12"/>
  <c r="F836" i="12"/>
  <c r="F572" i="12"/>
  <c r="F664" i="12"/>
  <c r="F776" i="12"/>
  <c r="F884" i="12"/>
  <c r="G532" i="12"/>
  <c r="G800" i="12"/>
  <c r="G580" i="12"/>
  <c r="G803" i="12"/>
  <c r="F783" i="12"/>
  <c r="F771" i="12"/>
  <c r="F767" i="12"/>
  <c r="F755" i="12"/>
  <c r="F711" i="12"/>
  <c r="F679" i="12"/>
  <c r="G671" i="12"/>
  <c r="F663" i="12"/>
  <c r="G655" i="12"/>
  <c r="F627" i="12"/>
  <c r="F619" i="12"/>
  <c r="G672" i="12"/>
  <c r="F891" i="12"/>
  <c r="G883" i="12"/>
  <c r="G871" i="12"/>
  <c r="F732" i="12"/>
  <c r="F740" i="12"/>
  <c r="F848" i="12"/>
  <c r="F596" i="12"/>
  <c r="F668" i="12"/>
  <c r="F896" i="12"/>
  <c r="F860" i="12"/>
  <c r="E812" i="12" a="1"/>
  <c r="E812" i="12" s="1"/>
  <c r="D812" i="12" s="1"/>
  <c r="F540" i="12"/>
  <c r="F604" i="12"/>
  <c r="F332" i="12"/>
  <c r="F372" i="12"/>
  <c r="F480" i="12"/>
  <c r="F564" i="12"/>
  <c r="F656" i="12"/>
  <c r="F607" i="12"/>
  <c r="F603" i="12"/>
  <c r="G591" i="12"/>
  <c r="F575" i="12"/>
  <c r="F571" i="12"/>
  <c r="G563" i="12"/>
  <c r="G559" i="12"/>
  <c r="G551" i="12"/>
  <c r="F535" i="12"/>
  <c r="G527" i="12"/>
  <c r="G523" i="12"/>
  <c r="F515" i="12"/>
  <c r="G511" i="12"/>
  <c r="F507" i="12"/>
  <c r="G499" i="12"/>
  <c r="G491" i="12"/>
  <c r="G483" i="12"/>
  <c r="G479" i="12"/>
  <c r="G475" i="12"/>
  <c r="G471" i="12"/>
  <c r="G463" i="12"/>
  <c r="G455" i="12"/>
  <c r="G451" i="12"/>
  <c r="G443" i="12"/>
  <c r="G439" i="12"/>
  <c r="G431" i="12"/>
  <c r="F423" i="12"/>
  <c r="F419" i="12"/>
  <c r="G415" i="12"/>
  <c r="G411" i="12"/>
  <c r="G403" i="12"/>
  <c r="G399" i="12"/>
  <c r="F395" i="12"/>
  <c r="G375" i="12"/>
  <c r="G371" i="12"/>
  <c r="F367" i="12"/>
  <c r="G363" i="12"/>
  <c r="G359" i="12"/>
  <c r="G351" i="12"/>
  <c r="G347" i="12"/>
  <c r="G343" i="12"/>
  <c r="G323" i="12"/>
  <c r="F319" i="12"/>
  <c r="G311" i="12"/>
  <c r="G307" i="12"/>
  <c r="G303" i="12"/>
  <c r="G291" i="12"/>
  <c r="G287" i="12"/>
  <c r="F279" i="12"/>
  <c r="F275" i="12"/>
  <c r="G271" i="12"/>
  <c r="G267" i="12"/>
  <c r="G263" i="12"/>
  <c r="G259" i="12"/>
  <c r="G255" i="12"/>
  <c r="G251" i="12"/>
  <c r="G235" i="12"/>
  <c r="F211" i="12"/>
  <c r="G207" i="12"/>
  <c r="G203" i="12"/>
  <c r="G199" i="12"/>
  <c r="G191" i="12"/>
  <c r="F187" i="12"/>
  <c r="G167" i="12"/>
  <c r="F155" i="12"/>
  <c r="G151" i="12"/>
  <c r="F147" i="12"/>
  <c r="G135" i="12"/>
  <c r="F131" i="12"/>
  <c r="G123" i="12"/>
  <c r="G111" i="12"/>
  <c r="F107" i="12"/>
  <c r="G103" i="12"/>
  <c r="F99" i="12"/>
  <c r="G95" i="12"/>
  <c r="F91" i="12"/>
  <c r="G79" i="12"/>
  <c r="G75" i="12"/>
  <c r="G71" i="12"/>
  <c r="F67" i="12"/>
  <c r="G59" i="12"/>
  <c r="G55" i="12"/>
  <c r="G43" i="12"/>
  <c r="G23" i="12"/>
  <c r="G11" i="12"/>
  <c r="F514" i="12"/>
  <c r="G897" i="12"/>
  <c r="G873" i="12"/>
  <c r="G861" i="12"/>
  <c r="G857" i="12"/>
  <c r="G849" i="12"/>
  <c r="G833" i="12"/>
  <c r="G825" i="12"/>
  <c r="G805" i="12"/>
  <c r="G793" i="12"/>
  <c r="G773" i="12"/>
  <c r="G765" i="12"/>
  <c r="G761" i="12"/>
  <c r="G757" i="12"/>
  <c r="G737" i="12"/>
  <c r="G729" i="12"/>
  <c r="G725" i="12"/>
  <c r="G721" i="12"/>
  <c r="G709" i="12"/>
  <c r="G701" i="12"/>
  <c r="G689" i="12"/>
  <c r="G677" i="12"/>
  <c r="G665" i="12"/>
  <c r="G645" i="12"/>
  <c r="G629" i="12"/>
  <c r="G613" i="12"/>
  <c r="G593" i="12"/>
  <c r="G581" i="12"/>
  <c r="G557" i="12"/>
  <c r="G549" i="12"/>
  <c r="G521" i="12"/>
  <c r="F513" i="12"/>
  <c r="F449" i="12"/>
  <c r="F441" i="12"/>
  <c r="G369" i="12"/>
  <c r="G365" i="12"/>
  <c r="G313" i="12"/>
  <c r="G309" i="12"/>
  <c r="G277" i="12"/>
  <c r="G273" i="12"/>
  <c r="G245" i="12"/>
  <c r="G237" i="12"/>
  <c r="G213" i="12"/>
  <c r="G201" i="12"/>
  <c r="G181" i="12"/>
  <c r="G149" i="12"/>
  <c r="G117" i="12"/>
  <c r="G85" i="12"/>
  <c r="G53" i="12"/>
  <c r="G21" i="12"/>
  <c r="G895" i="12"/>
  <c r="F895" i="12"/>
  <c r="F887" i="12"/>
  <c r="G887" i="12"/>
  <c r="F879" i="12"/>
  <c r="G879" i="12"/>
  <c r="E867" i="12" a="1"/>
  <c r="E867" i="12" s="1"/>
  <c r="D867" i="12" s="1"/>
  <c r="F867" i="12"/>
  <c r="F859" i="12"/>
  <c r="G859" i="12"/>
  <c r="G851" i="12"/>
  <c r="F851" i="12"/>
  <c r="E851" i="12" a="1"/>
  <c r="E851" i="12" s="1"/>
  <c r="D851" i="12" s="1"/>
  <c r="G847" i="12"/>
  <c r="E847" i="12" a="1"/>
  <c r="E847" i="12" s="1"/>
  <c r="D847" i="12" s="1"/>
  <c r="G843" i="12"/>
  <c r="F843" i="12"/>
  <c r="F839" i="12"/>
  <c r="G839" i="12"/>
  <c r="F835" i="12"/>
  <c r="G835" i="12"/>
  <c r="G819" i="12"/>
  <c r="F819" i="12"/>
  <c r="F815" i="12"/>
  <c r="G815" i="12"/>
  <c r="G811" i="12"/>
  <c r="F811" i="12"/>
  <c r="F807" i="12"/>
  <c r="E807" i="12" a="1"/>
  <c r="E807" i="12" s="1"/>
  <c r="D807" i="12" s="1"/>
  <c r="G807" i="12"/>
  <c r="F799" i="12"/>
  <c r="G799" i="12"/>
  <c r="G795" i="12"/>
  <c r="F795" i="12"/>
  <c r="F791" i="12"/>
  <c r="G791" i="12"/>
  <c r="G787" i="12"/>
  <c r="F787" i="12"/>
  <c r="F779" i="12"/>
  <c r="G779" i="12"/>
  <c r="F775" i="12"/>
  <c r="G775" i="12"/>
  <c r="F763" i="12"/>
  <c r="G763" i="12"/>
  <c r="G759" i="12"/>
  <c r="F759" i="12"/>
  <c r="G751" i="12"/>
  <c r="F751" i="12"/>
  <c r="F747" i="12"/>
  <c r="G747" i="12"/>
  <c r="G743" i="12"/>
  <c r="F743" i="12"/>
  <c r="F739" i="12"/>
  <c r="G739" i="12"/>
  <c r="G735" i="12"/>
  <c r="F735" i="12"/>
  <c r="G731" i="12"/>
  <c r="F731" i="12"/>
  <c r="G727" i="12"/>
  <c r="F727" i="12"/>
  <c r="F723" i="12"/>
  <c r="G723" i="12"/>
  <c r="F719" i="12"/>
  <c r="G719" i="12"/>
  <c r="F715" i="12"/>
  <c r="G715" i="12"/>
  <c r="G707" i="12"/>
  <c r="F707" i="12"/>
  <c r="F699" i="12"/>
  <c r="G699" i="12"/>
  <c r="G695" i="12"/>
  <c r="F695" i="12"/>
  <c r="G691" i="12"/>
  <c r="F691" i="12"/>
  <c r="F687" i="12"/>
  <c r="G687" i="12"/>
  <c r="F683" i="12"/>
  <c r="G683" i="12"/>
  <c r="F675" i="12"/>
  <c r="G675" i="12"/>
  <c r="F659" i="12"/>
  <c r="G659" i="12"/>
  <c r="F651" i="12"/>
  <c r="G651" i="12"/>
  <c r="G647" i="12"/>
  <c r="F647" i="12"/>
  <c r="G643" i="12"/>
  <c r="F643" i="12"/>
  <c r="F639" i="12"/>
  <c r="G639" i="12"/>
  <c r="G635" i="12"/>
  <c r="F635" i="12"/>
  <c r="F631" i="12"/>
  <c r="G631" i="12"/>
  <c r="G863" i="12"/>
  <c r="F803" i="12"/>
  <c r="G867" i="12"/>
  <c r="G783" i="12"/>
  <c r="F827" i="12"/>
  <c r="F551" i="12"/>
  <c r="G603" i="12"/>
  <c r="G575" i="12"/>
  <c r="G571" i="12"/>
  <c r="F892" i="12"/>
  <c r="G892" i="12"/>
  <c r="E880" i="12" a="1"/>
  <c r="E880" i="12" s="1"/>
  <c r="D880" i="12" s="1"/>
  <c r="F880" i="12"/>
  <c r="G872" i="12"/>
  <c r="F872" i="12"/>
  <c r="G868" i="12"/>
  <c r="F868" i="12"/>
  <c r="F820" i="12"/>
  <c r="G820" i="12"/>
  <c r="F816" i="12"/>
  <c r="G816" i="12"/>
  <c r="F760" i="12"/>
  <c r="G760" i="12"/>
  <c r="G728" i="12"/>
  <c r="F728" i="12"/>
  <c r="F704" i="12"/>
  <c r="G704" i="12"/>
  <c r="F623" i="12"/>
  <c r="G623" i="12"/>
  <c r="F615" i="12"/>
  <c r="G615" i="12"/>
  <c r="F611" i="12"/>
  <c r="G611" i="12"/>
  <c r="F599" i="12"/>
  <c r="G599" i="12"/>
  <c r="G595" i="12"/>
  <c r="F595" i="12"/>
  <c r="G587" i="12"/>
  <c r="F587" i="12"/>
  <c r="E583" i="12" a="1"/>
  <c r="E583" i="12" s="1"/>
  <c r="D583" i="12" s="1"/>
  <c r="F583" i="12"/>
  <c r="G583" i="12"/>
  <c r="F579" i="12"/>
  <c r="G579" i="12"/>
  <c r="F567" i="12"/>
  <c r="G567" i="12"/>
  <c r="F555" i="12"/>
  <c r="E555" i="12" a="1"/>
  <c r="E555" i="12" s="1"/>
  <c r="D555" i="12" s="1"/>
  <c r="F547" i="12"/>
  <c r="G547" i="12"/>
  <c r="F543" i="12"/>
  <c r="G543" i="12"/>
  <c r="F539" i="12"/>
  <c r="G539" i="12"/>
  <c r="F531" i="12"/>
  <c r="G531" i="12"/>
  <c r="F519" i="12"/>
  <c r="G519" i="12"/>
  <c r="G503" i="12"/>
  <c r="F503" i="12"/>
  <c r="F495" i="12"/>
  <c r="G495" i="12"/>
  <c r="E487" i="12" a="1"/>
  <c r="E487" i="12" s="1"/>
  <c r="D487" i="12" s="1"/>
  <c r="F487" i="12"/>
  <c r="G467" i="12"/>
  <c r="F467" i="12"/>
  <c r="F459" i="12"/>
  <c r="G459" i="12"/>
  <c r="G447" i="12"/>
  <c r="F447" i="12"/>
  <c r="F427" i="12"/>
  <c r="G427" i="12"/>
  <c r="G407" i="12"/>
  <c r="F407" i="12"/>
  <c r="G391" i="12"/>
  <c r="F391" i="12"/>
  <c r="G383" i="12"/>
  <c r="F383" i="12"/>
  <c r="G379" i="12"/>
  <c r="F379" i="12"/>
  <c r="E379" i="12" a="1"/>
  <c r="E379" i="12" s="1"/>
  <c r="D379" i="12" s="1"/>
  <c r="G355" i="12"/>
  <c r="F355" i="12"/>
  <c r="F339" i="12"/>
  <c r="G339" i="12"/>
  <c r="G327" i="12"/>
  <c r="F327" i="12"/>
  <c r="G299" i="12"/>
  <c r="F299" i="12"/>
  <c r="G295" i="12"/>
  <c r="E295" i="12" a="1"/>
  <c r="E295" i="12" s="1"/>
  <c r="D295" i="12" s="1"/>
  <c r="G283" i="12"/>
  <c r="F283" i="12"/>
  <c r="G247" i="12"/>
  <c r="F247" i="12"/>
  <c r="F239" i="12"/>
  <c r="G239" i="12"/>
  <c r="G227" i="12"/>
  <c r="F227" i="12"/>
  <c r="F223" i="12"/>
  <c r="G223" i="12"/>
  <c r="F219" i="12"/>
  <c r="G219" i="12"/>
  <c r="G215" i="12"/>
  <c r="F215" i="12"/>
  <c r="F195" i="12"/>
  <c r="G195" i="12"/>
  <c r="G179" i="12"/>
  <c r="E179" i="12" a="1"/>
  <c r="E179" i="12" s="1"/>
  <c r="G175" i="12"/>
  <c r="F175" i="12"/>
  <c r="F171" i="12"/>
  <c r="G171" i="12"/>
  <c r="F163" i="12"/>
  <c r="G163" i="12"/>
  <c r="G159" i="12"/>
  <c r="F159" i="12"/>
  <c r="G143" i="12"/>
  <c r="F143" i="12"/>
  <c r="G139" i="12"/>
  <c r="F139" i="12"/>
  <c r="E627" i="12" a="1"/>
  <c r="E627" i="12" s="1"/>
  <c r="D627" i="12" s="1"/>
  <c r="E531" i="12" a="1"/>
  <c r="E531" i="12" s="1"/>
  <c r="D531" i="12" s="1"/>
  <c r="F443" i="12"/>
  <c r="F499" i="12"/>
  <c r="G487" i="12"/>
  <c r="G808" i="12"/>
  <c r="F511" i="12"/>
  <c r="F523" i="12"/>
  <c r="G507" i="12"/>
  <c r="G644" i="12"/>
  <c r="F644" i="12"/>
  <c r="F600" i="12"/>
  <c r="G600" i="12"/>
  <c r="F528" i="12"/>
  <c r="G528" i="12"/>
  <c r="G476" i="12"/>
  <c r="F476" i="12"/>
  <c r="G452" i="12"/>
  <c r="F452" i="12"/>
  <c r="E452" i="12" a="1"/>
  <c r="E452" i="12" s="1"/>
  <c r="G368" i="12"/>
  <c r="F368" i="12"/>
  <c r="G356" i="12"/>
  <c r="E356" i="12" a="1"/>
  <c r="E356" i="12" s="1"/>
  <c r="D356" i="12" s="1"/>
  <c r="F336" i="12"/>
  <c r="G336" i="12"/>
  <c r="F316" i="12"/>
  <c r="E316" i="12" a="1"/>
  <c r="E316" i="12" s="1"/>
  <c r="D316" i="12" s="1"/>
  <c r="G316" i="12"/>
  <c r="G264" i="12"/>
  <c r="F264" i="12"/>
  <c r="G252" i="12"/>
  <c r="F252" i="12"/>
  <c r="F248" i="12"/>
  <c r="G248" i="12"/>
  <c r="G216" i="12"/>
  <c r="F216" i="12"/>
  <c r="F620" i="12"/>
  <c r="F680" i="12"/>
  <c r="G856" i="12"/>
  <c r="G784" i="12"/>
  <c r="G764" i="12"/>
  <c r="G896" i="12"/>
  <c r="G888" i="12"/>
  <c r="G840" i="12"/>
  <c r="G828" i="12"/>
  <c r="G824" i="12"/>
  <c r="G812" i="12"/>
  <c r="G796" i="12"/>
  <c r="G756" i="12"/>
  <c r="G752" i="12"/>
  <c r="G736" i="12"/>
  <c r="G724" i="12"/>
  <c r="G716" i="12"/>
  <c r="G700" i="12"/>
  <c r="G652" i="12"/>
  <c r="G648" i="12"/>
  <c r="G628" i="12"/>
  <c r="G616" i="12"/>
  <c r="G612" i="12"/>
  <c r="G608" i="12"/>
  <c r="G552" i="12"/>
  <c r="G548" i="12"/>
  <c r="G512" i="12"/>
  <c r="G508" i="12"/>
  <c r="G504" i="12"/>
  <c r="G468" i="12"/>
  <c r="G460" i="12"/>
  <c r="G404" i="12"/>
  <c r="G899" i="12"/>
  <c r="F875" i="12"/>
  <c r="G67" i="12"/>
  <c r="F123" i="12"/>
  <c r="G875" i="12"/>
  <c r="F172" i="12"/>
  <c r="F120" i="12"/>
  <c r="G91" i="12"/>
  <c r="G131" i="12"/>
  <c r="G891" i="12"/>
  <c r="G878" i="12"/>
  <c r="G814" i="12"/>
  <c r="G754" i="12"/>
  <c r="G726" i="12"/>
  <c r="G710" i="12"/>
  <c r="G690" i="12"/>
  <c r="G674" i="12"/>
  <c r="G658" i="12"/>
  <c r="G642" i="12"/>
  <c r="G626" i="12"/>
  <c r="F610" i="12"/>
  <c r="G606" i="12"/>
  <c r="G590" i="12"/>
  <c r="F326" i="12"/>
  <c r="F222" i="12"/>
  <c r="F154" i="12"/>
  <c r="G2" i="10"/>
  <c r="B1" i="11"/>
  <c r="E2" i="12" a="1"/>
  <c r="E2" i="12" s="1"/>
  <c r="D552" i="12"/>
  <c r="D549" i="12"/>
  <c r="D695" i="12"/>
  <c r="D267" i="12"/>
  <c r="D840" i="12"/>
  <c r="D151" i="12"/>
  <c r="D200" i="12"/>
  <c r="D64" i="12"/>
  <c r="D752" i="12"/>
  <c r="D212" i="12"/>
  <c r="D733" i="12"/>
  <c r="D638" i="12"/>
  <c r="D215" i="12"/>
  <c r="D852" i="12"/>
  <c r="D676" i="12"/>
  <c r="D573" i="12"/>
  <c r="D292" i="12"/>
  <c r="D730" i="12"/>
  <c r="D139" i="12"/>
  <c r="D468" i="12"/>
  <c r="D720" i="12"/>
  <c r="D521" i="12"/>
  <c r="D113" i="12"/>
  <c r="D727" i="12"/>
  <c r="D529" i="12"/>
  <c r="D59" i="12"/>
  <c r="D729" i="12"/>
  <c r="D745" i="12"/>
  <c r="D762" i="12"/>
  <c r="D160" i="12"/>
  <c r="D183" i="12"/>
  <c r="D118" i="12"/>
  <c r="D256" i="12"/>
  <c r="D133" i="12"/>
  <c r="D512" i="12"/>
  <c r="D323" i="12"/>
  <c r="D287" i="12"/>
  <c r="D366" i="12"/>
  <c r="D502" i="12"/>
  <c r="D465" i="12"/>
  <c r="D300" i="12"/>
  <c r="D272" i="12"/>
  <c r="D263" i="12"/>
  <c r="D87" i="12"/>
  <c r="D349" i="12"/>
  <c r="D868" i="12"/>
  <c r="D320" i="12"/>
  <c r="D462" i="12"/>
  <c r="D755" i="12"/>
  <c r="D191" i="12"/>
  <c r="D539" i="12"/>
  <c r="D421" i="12"/>
  <c r="D835" i="12"/>
  <c r="D373" i="12"/>
  <c r="D189" i="12"/>
  <c r="D716" i="12"/>
  <c r="D208" i="12"/>
  <c r="D856" i="12"/>
  <c r="D158" i="12"/>
  <c r="D815" i="12"/>
  <c r="D672" i="12"/>
  <c r="D32" i="12"/>
  <c r="D599" i="12"/>
  <c r="D396" i="12"/>
  <c r="D863" i="12"/>
  <c r="D307" i="12"/>
  <c r="D483" i="12"/>
  <c r="D787" i="12"/>
  <c r="D619" i="12"/>
  <c r="D824" i="12"/>
  <c r="D182" i="12"/>
  <c r="D377" i="12"/>
  <c r="D132" i="12"/>
  <c r="D427" i="12"/>
  <c r="D643" i="12"/>
  <c r="D65" i="12"/>
  <c r="D732" i="12"/>
  <c r="D100" i="12"/>
  <c r="D186" i="12"/>
  <c r="D611" i="12"/>
  <c r="D74" i="12"/>
  <c r="D535" i="12"/>
  <c r="D775" i="12"/>
  <c r="D577" i="12"/>
  <c r="D754" i="12"/>
  <c r="D789" i="12"/>
  <c r="D892" i="12"/>
  <c r="D702" i="12"/>
  <c r="D124" i="12"/>
  <c r="D791" i="12"/>
  <c r="D783" i="12"/>
  <c r="D886" i="12"/>
  <c r="D818" i="12"/>
  <c r="D367" i="12"/>
  <c r="D693" i="12"/>
  <c r="D593" i="12"/>
  <c r="D692" i="12"/>
  <c r="D308" i="12"/>
  <c r="D416" i="12"/>
  <c r="D407" i="12"/>
  <c r="D95" i="12"/>
  <c r="D156" i="12"/>
  <c r="D767" i="12"/>
  <c r="D473" i="12"/>
  <c r="D343" i="12"/>
  <c r="D855" i="12"/>
  <c r="D60" i="12"/>
  <c r="D413" i="12"/>
  <c r="D480" i="12"/>
  <c r="D651" i="12"/>
  <c r="D636" i="12"/>
  <c r="D441" i="12"/>
  <c r="D830" i="12"/>
  <c r="D207" i="12"/>
  <c r="D445" i="12"/>
  <c r="D314" i="12"/>
  <c r="D647" i="12"/>
  <c r="D301" i="12"/>
  <c r="D248" i="12"/>
  <c r="D671" i="12"/>
  <c r="D471" i="12"/>
  <c r="D810" i="12"/>
  <c r="D221" i="12"/>
  <c r="D327" i="12"/>
  <c r="D609" i="12"/>
  <c r="D217" i="12"/>
  <c r="D620" i="12"/>
  <c r="D216" i="12"/>
  <c r="D440" i="12"/>
  <c r="D227" i="12"/>
  <c r="D508" i="12"/>
  <c r="D833" i="12"/>
  <c r="D505" i="12"/>
  <c r="D237" i="12"/>
  <c r="D406" i="12"/>
  <c r="D805" i="12"/>
  <c r="D760" i="12"/>
  <c r="D225" i="12"/>
  <c r="D360" i="12"/>
  <c r="D587" i="12"/>
  <c r="D38" i="12"/>
  <c r="D895" i="12"/>
  <c r="D455" i="12"/>
  <c r="D882" i="12"/>
  <c r="D104" i="12"/>
  <c r="D875" i="12"/>
  <c r="D425" i="12"/>
  <c r="D299" i="12"/>
  <c r="D665" i="12"/>
  <c r="D321" i="12"/>
  <c r="D617" i="12"/>
  <c r="D877" i="12"/>
  <c r="D513" i="12"/>
  <c r="D338" i="12"/>
  <c r="D470" i="12"/>
  <c r="D604" i="12"/>
  <c r="D48" i="12"/>
  <c r="D400" i="12"/>
  <c r="D75" i="12"/>
  <c r="D226" i="12"/>
  <c r="D3" i="12"/>
  <c r="D245" i="12"/>
  <c r="D374" i="12"/>
  <c r="D595" i="12"/>
  <c r="D247" i="12"/>
  <c r="D899" i="12"/>
  <c r="D185" i="12"/>
  <c r="D418" i="12"/>
  <c r="D37" i="12"/>
  <c r="D721" i="12"/>
  <c r="D25" i="12"/>
  <c r="D678" i="12"/>
  <c r="D770" i="12"/>
  <c r="D813" i="12"/>
  <c r="D578" i="12"/>
  <c r="D371" i="12"/>
  <c r="D57" i="12"/>
  <c r="D568" i="12"/>
  <c r="D712" i="12"/>
  <c r="D184" i="12"/>
  <c r="D837" i="12"/>
  <c r="D23" i="12"/>
  <c r="D103" i="12"/>
  <c r="D334" i="12"/>
  <c r="D268" i="12"/>
  <c r="D24" i="12"/>
  <c r="D171" i="12"/>
  <c r="D615" i="12"/>
  <c r="D145" i="12"/>
  <c r="D888" i="12"/>
  <c r="D527" i="12"/>
  <c r="D876" i="12"/>
  <c r="D798" i="12"/>
  <c r="D773" i="12"/>
  <c r="D666" i="12"/>
  <c r="D823" i="12"/>
  <c r="D36" i="12"/>
  <c r="D708" i="12"/>
  <c r="D179" i="12"/>
  <c r="D536" i="12"/>
  <c r="D606" i="12"/>
  <c r="D887" i="12"/>
  <c r="D737" i="12"/>
  <c r="D516" i="12"/>
  <c r="D654" i="12"/>
  <c r="D771" i="12"/>
  <c r="D499" i="12"/>
  <c r="D43" i="12"/>
  <c r="D397" i="12"/>
  <c r="D533" i="12"/>
  <c r="D520" i="12"/>
  <c r="D832" i="12"/>
  <c r="D352" i="12"/>
  <c r="D463" i="12"/>
  <c r="D386" i="12"/>
  <c r="D304" i="12"/>
  <c r="D175" i="12"/>
  <c r="D459" i="12"/>
  <c r="D131" i="12"/>
  <c r="D621" i="12"/>
  <c r="D49" i="12"/>
  <c r="D800" i="12"/>
  <c r="D821" i="12"/>
  <c r="D779" i="12"/>
  <c r="D766" i="12"/>
  <c r="D681" i="12"/>
  <c r="D394" i="12"/>
  <c r="D266" i="12"/>
  <c r="D715" i="12"/>
  <c r="D444" i="12"/>
  <c r="D452" i="12"/>
  <c r="D280" i="12"/>
  <c r="D62" i="12"/>
  <c r="D803" i="12"/>
  <c r="D201" i="12"/>
  <c r="D419" i="12"/>
  <c r="D194" i="12"/>
  <c r="D509" i="12"/>
  <c r="D255" i="12"/>
  <c r="D116" i="12"/>
  <c r="D486" i="12"/>
  <c r="D350" i="12"/>
  <c r="D706" i="12"/>
  <c r="D46" i="12"/>
  <c r="D670" i="12"/>
  <c r="D102" i="12"/>
  <c r="D586" i="12"/>
  <c r="D294" i="12"/>
  <c r="D806" i="12"/>
  <c r="D138" i="12"/>
  <c r="D614" i="12"/>
  <c r="D866" i="12"/>
  <c r="D894" i="12"/>
  <c r="D178" i="12"/>
  <c r="D18" i="12"/>
  <c r="D878" i="12"/>
  <c r="D198" i="12"/>
  <c r="D698" i="12"/>
  <c r="D150" i="12"/>
  <c r="D446" i="12"/>
  <c r="D330" i="12"/>
  <c r="D714" i="12"/>
  <c r="D34" i="12"/>
  <c r="D410" i="12"/>
  <c r="D794" i="12"/>
  <c r="D786" i="12"/>
  <c r="Z50" i="10"/>
  <c r="E6" i="10"/>
  <c r="F6" i="10"/>
  <c r="A4" i="11"/>
  <c r="A4" i="8" a="1"/>
  <c r="A4" i="8" s="1"/>
  <c r="A27" i="10" s="1"/>
  <c r="Z67" i="10" s="1"/>
  <c r="A42" i="10"/>
  <c r="B5" i="10"/>
  <c r="B6" i="10"/>
  <c r="C6" i="10" s="1"/>
  <c r="D1" i="11"/>
  <c r="A50" i="10"/>
  <c r="F5" i="10"/>
  <c r="E5" i="10"/>
  <c r="A59" i="10"/>
  <c r="A33" i="8" a="1"/>
  <c r="A33" i="8" s="1"/>
  <c r="Z42" i="10"/>
  <c r="A1" i="11" a="1"/>
  <c r="A1" i="11" l="1"/>
  <c r="G6" i="10"/>
  <c r="G5" i="10"/>
  <c r="D2" i="12"/>
  <c r="T2" i="12" s="1" a="1"/>
  <c r="B17" i="10" s="1" a="1"/>
  <c r="B17" i="10" s="1"/>
  <c r="T2" i="12" l="1"/>
  <c r="L2" i="12" a="1"/>
  <c r="B9" i="10" s="1" a="1"/>
  <c r="B9" i="10" s="1"/>
  <c r="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<sst xmlns="http://schemas.openxmlformats.org/spreadsheetml/2006/main" count="1273" uniqueCount="626">
  <si>
    <t>Q→</t>
    <phoneticPr fontId="5"/>
  </si>
  <si>
    <t>Ｗ→</t>
    <phoneticPr fontId="5"/>
  </si>
  <si>
    <t>E→</t>
    <phoneticPr fontId="5"/>
  </si>
  <si>
    <t>A→</t>
    <phoneticPr fontId="5"/>
  </si>
  <si>
    <t>左→右</t>
    <rPh sb="0" eb="1">
      <t>ヒダリ</t>
    </rPh>
    <rPh sb="2" eb="3">
      <t>ミギ</t>
    </rPh>
    <phoneticPr fontId="5"/>
  </si>
  <si>
    <t>Z→</t>
    <phoneticPr fontId="5"/>
  </si>
  <si>
    <t>S→</t>
    <phoneticPr fontId="5"/>
  </si>
  <si>
    <t>D→</t>
    <phoneticPr fontId="5"/>
  </si>
  <si>
    <t>F→</t>
    <phoneticPr fontId="5"/>
  </si>
  <si>
    <t>R→</t>
    <phoneticPr fontId="5"/>
  </si>
  <si>
    <t>T→</t>
    <phoneticPr fontId="5"/>
  </si>
  <si>
    <t>G→</t>
    <phoneticPr fontId="5"/>
  </si>
  <si>
    <t>B→</t>
    <phoneticPr fontId="5"/>
  </si>
  <si>
    <t>C→</t>
    <phoneticPr fontId="5"/>
  </si>
  <si>
    <t>V→</t>
    <phoneticPr fontId="5"/>
  </si>
  <si>
    <t>X→</t>
    <phoneticPr fontId="5"/>
  </si>
  <si>
    <t>右→左</t>
    <rPh sb="0" eb="1">
      <t>ミギ</t>
    </rPh>
    <rPh sb="2" eb="3">
      <t>ヒダリ</t>
    </rPh>
    <phoneticPr fontId="5"/>
  </si>
  <si>
    <t>Y→</t>
    <phoneticPr fontId="5"/>
  </si>
  <si>
    <t>U→</t>
    <phoneticPr fontId="5"/>
  </si>
  <si>
    <t>I→</t>
    <phoneticPr fontId="5"/>
  </si>
  <si>
    <t>O→</t>
    <phoneticPr fontId="5"/>
  </si>
  <si>
    <t>P→</t>
    <phoneticPr fontId="5"/>
  </si>
  <si>
    <t>H→</t>
    <phoneticPr fontId="5"/>
  </si>
  <si>
    <t>N→</t>
    <phoneticPr fontId="5"/>
  </si>
  <si>
    <t>J→</t>
    <phoneticPr fontId="5"/>
  </si>
  <si>
    <t>M→</t>
    <phoneticPr fontId="5"/>
  </si>
  <si>
    <t>,→</t>
    <phoneticPr fontId="5"/>
  </si>
  <si>
    <t>K→</t>
    <phoneticPr fontId="5"/>
  </si>
  <si>
    <t>L→</t>
    <phoneticPr fontId="5"/>
  </si>
  <si>
    <t>;→</t>
    <phoneticPr fontId="5"/>
  </si>
  <si>
    <t>.→</t>
    <phoneticPr fontId="5"/>
  </si>
  <si>
    <t>/→</t>
    <phoneticPr fontId="5"/>
  </si>
  <si>
    <t>→Q</t>
    <phoneticPr fontId="5"/>
  </si>
  <si>
    <t>→Ｗ</t>
    <phoneticPr fontId="5"/>
  </si>
  <si>
    <t>→E</t>
    <phoneticPr fontId="5"/>
  </si>
  <si>
    <t>→R</t>
    <phoneticPr fontId="5"/>
  </si>
  <si>
    <t>→T</t>
    <phoneticPr fontId="5"/>
  </si>
  <si>
    <t>→A</t>
    <phoneticPr fontId="5"/>
  </si>
  <si>
    <t>→S</t>
    <phoneticPr fontId="5"/>
  </si>
  <si>
    <t>→D</t>
    <phoneticPr fontId="5"/>
  </si>
  <si>
    <t>→F</t>
    <phoneticPr fontId="5"/>
  </si>
  <si>
    <t>→G</t>
    <phoneticPr fontId="5"/>
  </si>
  <si>
    <t>→Z</t>
    <phoneticPr fontId="5"/>
  </si>
  <si>
    <t>→X</t>
    <phoneticPr fontId="5"/>
  </si>
  <si>
    <t>→C</t>
    <phoneticPr fontId="5"/>
  </si>
  <si>
    <t>→V</t>
    <phoneticPr fontId="5"/>
  </si>
  <si>
    <t>→B</t>
    <phoneticPr fontId="5"/>
  </si>
  <si>
    <t>→Y</t>
    <phoneticPr fontId="5"/>
  </si>
  <si>
    <t>→U</t>
    <phoneticPr fontId="5"/>
  </si>
  <si>
    <t>→I</t>
    <phoneticPr fontId="5"/>
  </si>
  <si>
    <t>→O</t>
    <phoneticPr fontId="5"/>
  </si>
  <si>
    <t>→P</t>
    <phoneticPr fontId="5"/>
  </si>
  <si>
    <t>→H</t>
    <phoneticPr fontId="5"/>
  </si>
  <si>
    <t>→J</t>
    <phoneticPr fontId="5"/>
  </si>
  <si>
    <t>→K</t>
    <phoneticPr fontId="5"/>
  </si>
  <si>
    <t>→L</t>
    <phoneticPr fontId="5"/>
  </si>
  <si>
    <t>→;</t>
    <phoneticPr fontId="5"/>
  </si>
  <si>
    <t>→N</t>
    <phoneticPr fontId="5"/>
  </si>
  <si>
    <t>→M</t>
    <phoneticPr fontId="5"/>
  </si>
  <si>
    <t>→,</t>
    <phoneticPr fontId="5"/>
  </si>
  <si>
    <t>→.</t>
    <phoneticPr fontId="5"/>
  </si>
  <si>
    <t>→/</t>
    <phoneticPr fontId="5"/>
  </si>
  <si>
    <t>Ｑ</t>
    <phoneticPr fontId="5"/>
  </si>
  <si>
    <t>Ｗ</t>
    <phoneticPr fontId="5"/>
  </si>
  <si>
    <t>Ｅ</t>
    <phoneticPr fontId="5"/>
  </si>
  <si>
    <t>Ｒ</t>
    <phoneticPr fontId="5"/>
  </si>
  <si>
    <t>Ｔ</t>
    <phoneticPr fontId="5"/>
  </si>
  <si>
    <t>Ｙ</t>
    <phoneticPr fontId="5"/>
  </si>
  <si>
    <t>Ｕ</t>
    <phoneticPr fontId="5"/>
  </si>
  <si>
    <t>Ｉ</t>
    <phoneticPr fontId="5"/>
  </si>
  <si>
    <t>Ｏ</t>
    <phoneticPr fontId="5"/>
  </si>
  <si>
    <t>Ｐ</t>
    <phoneticPr fontId="5"/>
  </si>
  <si>
    <t>Ａ</t>
    <phoneticPr fontId="5"/>
  </si>
  <si>
    <t>Ｓ</t>
    <phoneticPr fontId="5"/>
  </si>
  <si>
    <t>Ｄ</t>
    <phoneticPr fontId="5"/>
  </si>
  <si>
    <t>Ｆ</t>
    <phoneticPr fontId="5"/>
  </si>
  <si>
    <t>Ｇ</t>
    <phoneticPr fontId="5"/>
  </si>
  <si>
    <t>Ｈ</t>
    <phoneticPr fontId="5"/>
  </si>
  <si>
    <t>Ｊ</t>
    <phoneticPr fontId="5"/>
  </si>
  <si>
    <t>Ｋ</t>
    <phoneticPr fontId="5"/>
  </si>
  <si>
    <t>Ｌ</t>
    <phoneticPr fontId="5"/>
  </si>
  <si>
    <t>；</t>
    <phoneticPr fontId="5"/>
  </si>
  <si>
    <t>Ｚ</t>
    <phoneticPr fontId="5"/>
  </si>
  <si>
    <t>Ｘ</t>
    <phoneticPr fontId="5"/>
  </si>
  <si>
    <t>Ｃ</t>
    <phoneticPr fontId="5"/>
  </si>
  <si>
    <t>Ｖ</t>
    <phoneticPr fontId="5"/>
  </si>
  <si>
    <t>Ｂ</t>
    <phoneticPr fontId="5"/>
  </si>
  <si>
    <t>Ｎ</t>
    <phoneticPr fontId="5"/>
  </si>
  <si>
    <t>Ｍ</t>
    <phoneticPr fontId="5"/>
  </si>
  <si>
    <t>、</t>
    <phoneticPr fontId="5"/>
  </si>
  <si>
    <t>。</t>
    <phoneticPr fontId="5"/>
  </si>
  <si>
    <t>/</t>
    <phoneticPr fontId="5"/>
  </si>
  <si>
    <t>全平均</t>
    <rPh sb="0" eb="1">
      <t>ゼン</t>
    </rPh>
    <rPh sb="1" eb="3">
      <t>ヘイキン</t>
    </rPh>
    <phoneticPr fontId="5"/>
  </si>
  <si>
    <t>同鍵連打</t>
    <rPh sb="0" eb="1">
      <t>ドウ</t>
    </rPh>
    <rPh sb="1" eb="2">
      <t>カギ</t>
    </rPh>
    <rPh sb="2" eb="4">
      <t>レンダ</t>
    </rPh>
    <phoneticPr fontId="5"/>
  </si>
  <si>
    <t>最速連接トップ３０（上位３％）</t>
    <rPh sb="0" eb="2">
      <t>サイソク</t>
    </rPh>
    <rPh sb="2" eb="4">
      <t>レンセツ</t>
    </rPh>
    <rPh sb="10" eb="12">
      <t>ジョウイ</t>
    </rPh>
    <phoneticPr fontId="5"/>
  </si>
  <si>
    <t>始動の平均</t>
    <rPh sb="0" eb="2">
      <t>シドウ</t>
    </rPh>
    <rPh sb="3" eb="5">
      <t>ヘイキン</t>
    </rPh>
    <phoneticPr fontId="5"/>
  </si>
  <si>
    <t>終了の平均</t>
    <rPh sb="0" eb="2">
      <t>シュウリョウ</t>
    </rPh>
    <rPh sb="3" eb="5">
      <t>ヘイキン</t>
    </rPh>
    <phoneticPr fontId="5"/>
  </si>
  <si>
    <t>良い運指は指が届く運指で、悪い運指は指が届かない運指。</t>
    <rPh sb="0" eb="1">
      <t>ヨ</t>
    </rPh>
    <rPh sb="2" eb="4">
      <t>ウンシ</t>
    </rPh>
    <rPh sb="5" eb="6">
      <t>ユビ</t>
    </rPh>
    <rPh sb="7" eb="8">
      <t>トド</t>
    </rPh>
    <rPh sb="9" eb="11">
      <t>ウンシ</t>
    </rPh>
    <rPh sb="13" eb="14">
      <t>ワル</t>
    </rPh>
    <rPh sb="15" eb="17">
      <t>ウンシ</t>
    </rPh>
    <rPh sb="18" eb="19">
      <t>ユビ</t>
    </rPh>
    <rPh sb="20" eb="21">
      <t>トド</t>
    </rPh>
    <rPh sb="24" eb="26">
      <t>ウンシ</t>
    </rPh>
    <phoneticPr fontId="5"/>
  </si>
  <si>
    <t>良い運指は左右交互で、悪い運指は同手連打、同指跳躍、同鍵。</t>
    <rPh sb="0" eb="1">
      <t>ヨ</t>
    </rPh>
    <rPh sb="2" eb="4">
      <t>ウンシ</t>
    </rPh>
    <rPh sb="5" eb="7">
      <t>サユウ</t>
    </rPh>
    <rPh sb="7" eb="9">
      <t>コウゴ</t>
    </rPh>
    <rPh sb="11" eb="12">
      <t>ワル</t>
    </rPh>
    <rPh sb="13" eb="15">
      <t>ウンシ</t>
    </rPh>
    <rPh sb="16" eb="17">
      <t>ドウ</t>
    </rPh>
    <rPh sb="17" eb="18">
      <t>テ</t>
    </rPh>
    <rPh sb="18" eb="20">
      <t>レンダ</t>
    </rPh>
    <rPh sb="21" eb="22">
      <t>ドウ</t>
    </rPh>
    <rPh sb="22" eb="23">
      <t>ユビ</t>
    </rPh>
    <rPh sb="23" eb="25">
      <t>チョウヤク</t>
    </rPh>
    <rPh sb="26" eb="27">
      <t>ドウ</t>
    </rPh>
    <rPh sb="27" eb="28">
      <t>カギ</t>
    </rPh>
    <phoneticPr fontId="5"/>
  </si>
  <si>
    <t>左右交互の平均</t>
    <rPh sb="0" eb="2">
      <t>サユウ</t>
    </rPh>
    <rPh sb="2" eb="4">
      <t>コウゴ</t>
    </rPh>
    <rPh sb="5" eb="7">
      <t>ヘイキン</t>
    </rPh>
    <phoneticPr fontId="5"/>
  </si>
  <si>
    <t>900連接（始動キー別）</t>
    <rPh sb="3" eb="5">
      <t>レンセツ</t>
    </rPh>
    <rPh sb="6" eb="8">
      <t>シドウ</t>
    </rPh>
    <rPh sb="10" eb="11">
      <t>ベツ</t>
    </rPh>
    <phoneticPr fontId="5"/>
  </si>
  <si>
    <t>900連接（終了キー別）</t>
    <rPh sb="6" eb="8">
      <t>シュウリョウ</t>
    </rPh>
    <phoneticPr fontId="5"/>
  </si>
  <si>
    <t>右2連</t>
    <rPh sb="0" eb="1">
      <t>ミギ</t>
    </rPh>
    <rPh sb="2" eb="3">
      <t>レン</t>
    </rPh>
    <phoneticPr fontId="5"/>
  </si>
  <si>
    <t>左2連</t>
    <rPh sb="0" eb="1">
      <t>ヒダリ</t>
    </rPh>
    <rPh sb="2" eb="3">
      <t>レン</t>
    </rPh>
    <phoneticPr fontId="5"/>
  </si>
  <si>
    <t>ー１０</t>
    <phoneticPr fontId="5"/>
  </si>
  <si>
    <t>ー９</t>
    <phoneticPr fontId="5"/>
  </si>
  <si>
    <t>ー８</t>
    <phoneticPr fontId="5"/>
  </si>
  <si>
    <t>ー７</t>
    <phoneticPr fontId="5"/>
  </si>
  <si>
    <t>ー６</t>
    <phoneticPr fontId="5"/>
  </si>
  <si>
    <t>ー５</t>
    <phoneticPr fontId="5"/>
  </si>
  <si>
    <t>ー４</t>
    <phoneticPr fontId="5"/>
  </si>
  <si>
    <t>ー３</t>
    <phoneticPr fontId="5"/>
  </si>
  <si>
    <t>同鍵連打したほうがましリスト＝アルペジオ打鍵の定義？</t>
    <rPh sb="0" eb="1">
      <t>ドウ</t>
    </rPh>
    <rPh sb="1" eb="2">
      <t>カギ</t>
    </rPh>
    <rPh sb="2" eb="4">
      <t>レンダ</t>
    </rPh>
    <rPh sb="20" eb="22">
      <t>ダケン</t>
    </rPh>
    <rPh sb="23" eb="25">
      <t>テイギ</t>
    </rPh>
    <phoneticPr fontId="5"/>
  </si>
  <si>
    <t>平均</t>
    <rPh sb="0" eb="2">
      <t>ヘイキン</t>
    </rPh>
    <phoneticPr fontId="5"/>
  </si>
  <si>
    <t>同手2連、始動の平均</t>
    <rPh sb="0" eb="1">
      <t>ドウ</t>
    </rPh>
    <rPh sb="1" eb="2">
      <t>テ</t>
    </rPh>
    <rPh sb="3" eb="4">
      <t>レン</t>
    </rPh>
    <rPh sb="5" eb="7">
      <t>シドウ</t>
    </rPh>
    <rPh sb="8" eb="10">
      <t>ヘイキン</t>
    </rPh>
    <phoneticPr fontId="5"/>
  </si>
  <si>
    <t>左右交互、始動の平均</t>
    <rPh sb="0" eb="2">
      <t>サユウ</t>
    </rPh>
    <rPh sb="2" eb="4">
      <t>コウゴ</t>
    </rPh>
    <rPh sb="5" eb="7">
      <t>シドウ</t>
    </rPh>
    <rPh sb="8" eb="10">
      <t>ヘイキン</t>
    </rPh>
    <phoneticPr fontId="5"/>
  </si>
  <si>
    <t>同手2連、終了の平均</t>
    <rPh sb="0" eb="1">
      <t>ドウ</t>
    </rPh>
    <rPh sb="1" eb="2">
      <t>テ</t>
    </rPh>
    <rPh sb="3" eb="4">
      <t>レン</t>
    </rPh>
    <rPh sb="5" eb="7">
      <t>シュウリョウ</t>
    </rPh>
    <rPh sb="8" eb="10">
      <t>ヘイキン</t>
    </rPh>
    <phoneticPr fontId="5"/>
  </si>
  <si>
    <t>左右交互、終了の平均</t>
    <rPh sb="0" eb="2">
      <t>サユウ</t>
    </rPh>
    <rPh sb="2" eb="4">
      <t>コウゴ</t>
    </rPh>
    <rPh sb="5" eb="7">
      <t>シュウリョウ</t>
    </rPh>
    <rPh sb="8" eb="10">
      <t>ヘイキン</t>
    </rPh>
    <phoneticPr fontId="5"/>
  </si>
  <si>
    <t>同手2連の平均</t>
    <rPh sb="0" eb="1">
      <t>ドウ</t>
    </rPh>
    <rPh sb="1" eb="2">
      <t>テ</t>
    </rPh>
    <rPh sb="3" eb="4">
      <t>レン</t>
    </rPh>
    <rPh sb="5" eb="7">
      <t>ヘイキン</t>
    </rPh>
    <phoneticPr fontId="5"/>
  </si>
  <si>
    <t>薙刀式</t>
    <rPh sb="0" eb="2">
      <t>ナギナタ</t>
    </rPh>
    <rPh sb="2" eb="3">
      <t>シキ</t>
    </rPh>
    <phoneticPr fontId="5"/>
  </si>
  <si>
    <t>全部</t>
    <rPh sb="0" eb="2">
      <t>ゼンブ</t>
    </rPh>
    <phoneticPr fontId="5"/>
  </si>
  <si>
    <t>差</t>
    <rPh sb="0" eb="1">
      <t>サ</t>
    </rPh>
    <phoneticPr fontId="5"/>
  </si>
  <si>
    <t>ワースト３０（下位３％）</t>
    <rPh sb="7" eb="9">
      <t>カイ</t>
    </rPh>
    <phoneticPr fontId="5"/>
  </si>
  <si>
    <t>/</t>
  </si>
  <si>
    <t>れ</t>
  </si>
  <si>
    <t>.</t>
  </si>
  <si>
    <t>ら</t>
  </si>
  <si>
    <t>,</t>
  </si>
  <si>
    <t>ん</t>
  </si>
  <si>
    <t>M</t>
  </si>
  <si>
    <t>な</t>
  </si>
  <si>
    <t>N</t>
  </si>
  <si>
    <t>た</t>
  </si>
  <si>
    <t>下段</t>
    <rPh sb="0" eb="2">
      <t xml:space="preserve">ゲダン </t>
    </rPh>
    <phoneticPr fontId="5"/>
  </si>
  <si>
    <t>;</t>
  </si>
  <si>
    <t>ー</t>
  </si>
  <si>
    <t>L</t>
  </si>
  <si>
    <t>う</t>
  </si>
  <si>
    <t>K</t>
  </si>
  <si>
    <t>い</t>
  </si>
  <si>
    <t>J</t>
  </si>
  <si>
    <t>あ</t>
  </si>
  <si>
    <t>H</t>
  </si>
  <si>
    <t>く</t>
  </si>
  <si>
    <t>中段</t>
    <rPh sb="0" eb="1">
      <t xml:space="preserve">チュウ </t>
    </rPh>
    <rPh sb="1" eb="2">
      <t xml:space="preserve">ゲダン </t>
    </rPh>
    <phoneticPr fontId="5"/>
  </si>
  <si>
    <t>P</t>
  </si>
  <si>
    <t>へ</t>
  </si>
  <si>
    <t>O</t>
  </si>
  <si>
    <t>す</t>
  </si>
  <si>
    <t>I</t>
  </si>
  <si>
    <t>る</t>
  </si>
  <si>
    <t>U</t>
  </si>
  <si>
    <t>BS</t>
  </si>
  <si>
    <t>Y</t>
  </si>
  <si>
    <t>→</t>
  </si>
  <si>
    <t>上段</t>
    <rPh sb="0" eb="2">
      <t xml:space="preserve">ジョウダン </t>
    </rPh>
    <phoneticPr fontId="5"/>
  </si>
  <si>
    <t>右手</t>
    <rPh sb="0" eb="1">
      <t xml:space="preserve">ミギ </t>
    </rPh>
    <rPh sb="1" eb="2">
      <t xml:space="preserve">ヒダリテ </t>
    </rPh>
    <phoneticPr fontId="5"/>
  </si>
  <si>
    <t>B</t>
  </si>
  <si>
    <t>そ</t>
  </si>
  <si>
    <t>V</t>
  </si>
  <si>
    <t>こ</t>
  </si>
  <si>
    <t>C</t>
  </si>
  <si>
    <t>は</t>
  </si>
  <si>
    <t>X</t>
  </si>
  <si>
    <t>ひ</t>
  </si>
  <si>
    <t>Z</t>
  </si>
  <si>
    <t>ほ</t>
  </si>
  <si>
    <t>G</t>
  </si>
  <si>
    <t>っ</t>
  </si>
  <si>
    <t>F</t>
  </si>
  <si>
    <t>か</t>
  </si>
  <si>
    <t>D</t>
  </si>
  <si>
    <t>と</t>
  </si>
  <si>
    <t>S</t>
  </si>
  <si>
    <t>け</t>
  </si>
  <si>
    <t>A</t>
  </si>
  <si>
    <t>ろ</t>
  </si>
  <si>
    <t>T</t>
  </si>
  <si>
    <t>←</t>
  </si>
  <si>
    <t>R</t>
  </si>
  <si>
    <t>し</t>
  </si>
  <si>
    <t>E</t>
  </si>
  <si>
    <t>て</t>
  </si>
  <si>
    <t>W</t>
  </si>
  <si>
    <t>き</t>
  </si>
  <si>
    <t>Q</t>
  </si>
  <si>
    <t>ヴ</t>
  </si>
  <si>
    <t>左手</t>
    <rPh sb="0" eb="1">
      <t>←</t>
    </rPh>
    <rPh sb="1" eb="2">
      <t xml:space="preserve">ミギテ </t>
    </rPh>
    <phoneticPr fontId="5"/>
  </si>
  <si>
    <t>下段</t>
  </si>
  <si>
    <t>中段</t>
    <rPh sb="0" eb="2">
      <t xml:space="preserve">チュウダン </t>
    </rPh>
    <phoneticPr fontId="5"/>
  </si>
  <si>
    <t>右手</t>
    <rPh sb="0" eb="1">
      <t>→</t>
    </rPh>
    <phoneticPr fontId="5"/>
  </si>
  <si>
    <t>左手</t>
    <rPh sb="0" eb="1">
      <t>←</t>
    </rPh>
    <rPh sb="1" eb="2">
      <t xml:space="preserve">テ </t>
    </rPh>
    <phoneticPr fontId="5"/>
  </si>
  <si>
    <t>単純トリル法による連接速度 (単位：秒 ／20回あたり)</t>
    <rPh sb="5" eb="6">
      <t xml:space="preserve">ホウ </t>
    </rPh>
    <rPh sb="9" eb="13">
      <t xml:space="preserve">レンセツソクド </t>
    </rPh>
    <rPh sb="15" eb="17">
      <t xml:space="preserve">タンイ </t>
    </rPh>
    <rPh sb="18" eb="19">
      <t xml:space="preserve">ビョウ </t>
    </rPh>
    <rPh sb="23" eb="24">
      <t xml:space="preserve">カイアタリ </t>
    </rPh>
    <phoneticPr fontId="5"/>
  </si>
  <si>
    <t>残り</t>
    <rPh sb="0" eb="1">
      <t xml:space="preserve">ノコリ </t>
    </rPh>
    <phoneticPr fontId="5"/>
  </si>
  <si>
    <t>連接速度</t>
    <rPh sb="0" eb="2">
      <t>レンセツ</t>
    </rPh>
    <rPh sb="2" eb="4">
      <t>ソクド</t>
    </rPh>
    <phoneticPr fontId="5"/>
  </si>
  <si>
    <t>列</t>
    <rPh sb="0" eb="1">
      <t>レツ</t>
    </rPh>
    <phoneticPr fontId="5"/>
  </si>
  <si>
    <t>行</t>
    <rPh sb="0" eb="1">
      <t>ギョウ</t>
    </rPh>
    <phoneticPr fontId="5"/>
  </si>
  <si>
    <t>順位</t>
    <rPh sb="0" eb="2">
      <t>ジュンイ</t>
    </rPh>
    <phoneticPr fontId="5"/>
  </si>
  <si>
    <t xml:space="preserve"> No.</t>
    <phoneticPr fontId="5"/>
  </si>
  <si>
    <t>最遅</t>
    <rPh sb="0" eb="1">
      <t>モット</t>
    </rPh>
    <rPh sb="1" eb="2">
      <t>オソ</t>
    </rPh>
    <phoneticPr fontId="5"/>
  </si>
  <si>
    <t>最速</t>
    <rPh sb="0" eb="2">
      <t>サイソク</t>
    </rPh>
    <phoneticPr fontId="5"/>
  </si>
  <si>
    <t>Q</t>
    <phoneticPr fontId="5"/>
  </si>
  <si>
    <t>A</t>
    <phoneticPr fontId="5"/>
  </si>
  <si>
    <t>Z</t>
    <phoneticPr fontId="5"/>
  </si>
  <si>
    <t>W</t>
    <phoneticPr fontId="5"/>
  </si>
  <si>
    <t>S</t>
    <phoneticPr fontId="5"/>
  </si>
  <si>
    <t>X</t>
    <phoneticPr fontId="5"/>
  </si>
  <si>
    <t>E</t>
    <phoneticPr fontId="5"/>
  </si>
  <si>
    <t>D</t>
    <phoneticPr fontId="5"/>
  </si>
  <si>
    <t>C</t>
    <phoneticPr fontId="5"/>
  </si>
  <si>
    <t>R</t>
    <phoneticPr fontId="5"/>
  </si>
  <si>
    <t>F</t>
    <phoneticPr fontId="5"/>
  </si>
  <si>
    <t>V</t>
    <phoneticPr fontId="5"/>
  </si>
  <si>
    <t>T</t>
    <phoneticPr fontId="5"/>
  </si>
  <si>
    <t>G</t>
    <phoneticPr fontId="5"/>
  </si>
  <si>
    <t>B</t>
    <phoneticPr fontId="5"/>
  </si>
  <si>
    <t>Y</t>
    <phoneticPr fontId="5"/>
  </si>
  <si>
    <t>H</t>
    <phoneticPr fontId="5"/>
  </si>
  <si>
    <t>N</t>
    <phoneticPr fontId="5"/>
  </si>
  <si>
    <t>U</t>
    <phoneticPr fontId="5"/>
  </si>
  <si>
    <t>J</t>
    <phoneticPr fontId="5"/>
  </si>
  <si>
    <t>M</t>
    <phoneticPr fontId="5"/>
  </si>
  <si>
    <t>I</t>
    <phoneticPr fontId="5"/>
  </si>
  <si>
    <t>K</t>
    <phoneticPr fontId="5"/>
  </si>
  <si>
    <t>,</t>
    <phoneticPr fontId="5"/>
  </si>
  <si>
    <t>.</t>
    <phoneticPr fontId="5"/>
  </si>
  <si>
    <t>O</t>
    <phoneticPr fontId="5"/>
  </si>
  <si>
    <t>L</t>
    <phoneticPr fontId="5"/>
  </si>
  <si>
    <t>P</t>
    <phoneticPr fontId="5"/>
  </si>
  <si>
    <t>;</t>
    <phoneticPr fontId="5"/>
  </si>
  <si>
    <t>900連接（始動キー別）第2キー</t>
    <rPh sb="3" eb="5">
      <t>レンセツ</t>
    </rPh>
    <rPh sb="6" eb="8">
      <t>シドウ</t>
    </rPh>
    <rPh sb="10" eb="11">
      <t>ベツ</t>
    </rPh>
    <rPh sb="12" eb="13">
      <t xml:space="preserve">ダイ２キー </t>
    </rPh>
    <phoneticPr fontId="5"/>
  </si>
  <si>
    <t>900連接（終了キー別）第1キー</t>
    <rPh sb="6" eb="8">
      <t>シュウリョウ</t>
    </rPh>
    <rPh sb="12" eb="13">
      <t xml:space="preserve">ダイ１キー </t>
    </rPh>
    <phoneticPr fontId="5"/>
  </si>
  <si>
    <t>領域</t>
    <rPh sb="0" eb="2">
      <t xml:space="preserve">リョウイキ </t>
    </rPh>
    <phoneticPr fontId="5"/>
  </si>
  <si>
    <t>qwerty</t>
    <phoneticPr fontId="5"/>
  </si>
  <si>
    <t>薙刀式</t>
    <rPh sb="0" eb="3">
      <t xml:space="preserve">ナギナタシキ </t>
    </rPh>
    <phoneticPr fontId="5"/>
  </si>
  <si>
    <t>2キー</t>
    <phoneticPr fontId="5"/>
  </si>
  <si>
    <t>ょ</t>
    <phoneticPr fontId="5"/>
  </si>
  <si>
    <t>ぇ</t>
    <phoneticPr fontId="5"/>
  </si>
  <si>
    <t>ゅ</t>
    <phoneticPr fontId="5"/>
  </si>
  <si>
    <t>ゃ</t>
    <phoneticPr fontId="5"/>
  </si>
  <si>
    <t>ぁ</t>
    <phoneticPr fontId="5"/>
  </si>
  <si>
    <t>ぃ</t>
    <phoneticPr fontId="5"/>
  </si>
  <si>
    <t>ぅ</t>
    <phoneticPr fontId="5"/>
  </si>
  <si>
    <t>ぉ</t>
    <phoneticPr fontId="5"/>
  </si>
  <si>
    <t>ゎ</t>
    <phoneticPr fontId="5"/>
  </si>
  <si>
    <t>きょ</t>
    <phoneticPr fontId="5"/>
  </si>
  <si>
    <t>きゅ</t>
    <phoneticPr fontId="5"/>
  </si>
  <si>
    <t>きゃ</t>
    <phoneticPr fontId="5"/>
  </si>
  <si>
    <t>ぎ</t>
    <phoneticPr fontId="5"/>
  </si>
  <si>
    <t>りょ</t>
    <phoneticPr fontId="5"/>
  </si>
  <si>
    <t>りゅ</t>
    <phoneticPr fontId="5"/>
  </si>
  <si>
    <t>りゃ</t>
    <phoneticPr fontId="5"/>
  </si>
  <si>
    <t>で</t>
    <phoneticPr fontId="5"/>
  </si>
  <si>
    <t>しょ</t>
    <phoneticPr fontId="5"/>
  </si>
  <si>
    <t>しゅ</t>
    <phoneticPr fontId="5"/>
  </si>
  <si>
    <t>しゃ</t>
    <phoneticPr fontId="5"/>
  </si>
  <si>
    <t>じ</t>
    <phoneticPr fontId="5"/>
  </si>
  <si>
    <t>ぶ</t>
    <phoneticPr fontId="5"/>
  </si>
  <si>
    <t>げ</t>
    <phoneticPr fontId="5"/>
  </si>
  <si>
    <t>にょ</t>
    <phoneticPr fontId="5"/>
  </si>
  <si>
    <t>にゅ</t>
    <phoneticPr fontId="5"/>
  </si>
  <si>
    <t>にゃ</t>
    <phoneticPr fontId="5"/>
  </si>
  <si>
    <t>ど</t>
    <phoneticPr fontId="5"/>
  </si>
  <si>
    <t>ぐ</t>
    <phoneticPr fontId="5"/>
  </si>
  <si>
    <t>ず</t>
    <phoneticPr fontId="5"/>
  </si>
  <si>
    <t>べ</t>
    <phoneticPr fontId="5"/>
  </si>
  <si>
    <t>が</t>
    <phoneticPr fontId="5"/>
  </si>
  <si>
    <t>ぜ</t>
    <phoneticPr fontId="5"/>
  </si>
  <si>
    <t>づ</t>
    <phoneticPr fontId="5"/>
  </si>
  <si>
    <t>だ</t>
    <phoneticPr fontId="5"/>
  </si>
  <si>
    <t>ぢ</t>
    <phoneticPr fontId="5"/>
  </si>
  <si>
    <t>ぼ</t>
    <phoneticPr fontId="5"/>
  </si>
  <si>
    <t>ひょ</t>
    <phoneticPr fontId="5"/>
  </si>
  <si>
    <t>ひゅ</t>
    <phoneticPr fontId="5"/>
  </si>
  <si>
    <t>ひゃ</t>
    <phoneticPr fontId="5"/>
  </si>
  <si>
    <t>び</t>
    <phoneticPr fontId="5"/>
  </si>
  <si>
    <t>ば</t>
    <phoneticPr fontId="5"/>
  </si>
  <si>
    <t>ご</t>
    <phoneticPr fontId="5"/>
  </si>
  <si>
    <t>みょ</t>
    <phoneticPr fontId="5"/>
  </si>
  <si>
    <t>みゅ</t>
    <phoneticPr fontId="5"/>
  </si>
  <si>
    <t>みゃ</t>
    <phoneticPr fontId="5"/>
  </si>
  <si>
    <t>ぞ</t>
    <phoneticPr fontId="5"/>
  </si>
  <si>
    <t>改行</t>
    <rPh sb="0" eb="2">
      <t xml:space="preserve">カイギョウ </t>
    </rPh>
    <phoneticPr fontId="5"/>
  </si>
  <si>
    <t>ざ</t>
    <phoneticPr fontId="5"/>
  </si>
  <si>
    <t>ちょ</t>
    <phoneticPr fontId="5"/>
  </si>
  <si>
    <t>ちゅ</t>
    <phoneticPr fontId="5"/>
  </si>
  <si>
    <t>ぺ</t>
    <phoneticPr fontId="5"/>
  </si>
  <si>
    <t>ちゃ</t>
    <phoneticPr fontId="5"/>
  </si>
  <si>
    <t>IME ON</t>
  </si>
  <si>
    <t>IME ON</t>
    <phoneticPr fontId="5"/>
  </si>
  <si>
    <t>IME OFF</t>
    <phoneticPr fontId="5"/>
  </si>
  <si>
    <t>ぽ</t>
    <phoneticPr fontId="5"/>
  </si>
  <si>
    <t>ぴ</t>
    <phoneticPr fontId="5"/>
  </si>
  <si>
    <t>ぱ</t>
    <phoneticPr fontId="5"/>
  </si>
  <si>
    <t>ぷ</t>
    <phoneticPr fontId="5"/>
  </si>
  <si>
    <t>くぇ</t>
    <phoneticPr fontId="5"/>
  </si>
  <si>
    <t>くぁ</t>
    <phoneticPr fontId="5"/>
  </si>
  <si>
    <t>く</t>
    <phoneticPr fontId="5"/>
  </si>
  <si>
    <t>くぃ</t>
    <phoneticPr fontId="5"/>
  </si>
  <si>
    <t>くぉ</t>
    <phoneticPr fontId="5"/>
  </si>
  <si>
    <t>うぇ</t>
    <phoneticPr fontId="5"/>
  </si>
  <si>
    <t>わ</t>
    <phoneticPr fontId="5"/>
  </si>
  <si>
    <t>うぃ</t>
    <phoneticPr fontId="5"/>
  </si>
  <si>
    <t>を</t>
    <phoneticPr fontId="5"/>
  </si>
  <si>
    <t>う</t>
    <phoneticPr fontId="5"/>
  </si>
  <si>
    <t>れ</t>
    <phoneticPr fontId="5"/>
  </si>
  <si>
    <t>ら</t>
    <phoneticPr fontId="5"/>
  </si>
  <si>
    <t>る</t>
    <phoneticPr fontId="5"/>
  </si>
  <si>
    <t>り</t>
    <phoneticPr fontId="5"/>
  </si>
  <si>
    <t>ろ</t>
    <phoneticPr fontId="5"/>
  </si>
  <si>
    <t>て</t>
    <phoneticPr fontId="5"/>
  </si>
  <si>
    <t>た</t>
    <phoneticPr fontId="5"/>
  </si>
  <si>
    <t>ち</t>
    <phoneticPr fontId="5"/>
  </si>
  <si>
    <t>と</t>
    <phoneticPr fontId="5"/>
  </si>
  <si>
    <t>つ</t>
    <phoneticPr fontId="5"/>
  </si>
  <si>
    <t>えｑ</t>
    <phoneticPr fontId="5"/>
  </si>
  <si>
    <t>えｗ</t>
    <phoneticPr fontId="5"/>
  </si>
  <si>
    <t>ええ</t>
    <phoneticPr fontId="5"/>
  </si>
  <si>
    <t>えｒ</t>
    <phoneticPr fontId="5"/>
  </si>
  <si>
    <t>えｔ</t>
    <phoneticPr fontId="5"/>
  </si>
  <si>
    <t>えあ</t>
    <phoneticPr fontId="5"/>
  </si>
  <si>
    <t>えｓ</t>
    <phoneticPr fontId="5"/>
  </si>
  <si>
    <t>えｄ</t>
    <phoneticPr fontId="5"/>
  </si>
  <si>
    <t>えｆ</t>
    <phoneticPr fontId="5"/>
  </si>
  <si>
    <t>えｇ</t>
    <phoneticPr fontId="5"/>
  </si>
  <si>
    <t>えｚ</t>
    <phoneticPr fontId="5"/>
  </si>
  <si>
    <t>えｘ</t>
    <phoneticPr fontId="5"/>
  </si>
  <si>
    <t>えｃ</t>
    <phoneticPr fontId="5"/>
  </si>
  <si>
    <t>えｖ</t>
    <phoneticPr fontId="5"/>
  </si>
  <si>
    <t>えｂ</t>
    <phoneticPr fontId="5"/>
  </si>
  <si>
    <t>えｙ</t>
    <phoneticPr fontId="5"/>
  </si>
  <si>
    <t>えう</t>
    <phoneticPr fontId="5"/>
  </si>
  <si>
    <t>えい</t>
    <phoneticPr fontId="5"/>
  </si>
  <si>
    <t>えお</t>
    <phoneticPr fontId="5"/>
  </si>
  <si>
    <t>えｐ</t>
    <phoneticPr fontId="5"/>
  </si>
  <si>
    <t>えｈ</t>
    <phoneticPr fontId="5"/>
  </si>
  <si>
    <t>えｊ</t>
    <phoneticPr fontId="5"/>
  </si>
  <si>
    <t>えｋ</t>
    <phoneticPr fontId="5"/>
  </si>
  <si>
    <t>えｌ</t>
    <phoneticPr fontId="5"/>
  </si>
  <si>
    <t>えｎ</t>
    <phoneticPr fontId="5"/>
  </si>
  <si>
    <t>えｍ</t>
    <phoneticPr fontId="5"/>
  </si>
  <si>
    <t>え、</t>
    <phoneticPr fontId="5"/>
  </si>
  <si>
    <t>え。</t>
    <phoneticPr fontId="5"/>
  </si>
  <si>
    <t>ｒｙ</t>
    <phoneticPr fontId="5"/>
  </si>
  <si>
    <t>ｗｙ</t>
    <phoneticPr fontId="5"/>
  </si>
  <si>
    <t>っｔ</t>
    <phoneticPr fontId="5"/>
  </si>
  <si>
    <t>っｗ</t>
    <phoneticPr fontId="5"/>
  </si>
  <si>
    <t>っｑ</t>
    <phoneticPr fontId="5"/>
  </si>
  <si>
    <t>っｒ</t>
    <phoneticPr fontId="5"/>
  </si>
  <si>
    <t>ｔｓ</t>
    <phoneticPr fontId="5"/>
  </si>
  <si>
    <t>ｔｙ</t>
    <phoneticPr fontId="5"/>
  </si>
  <si>
    <t>ｔｈ</t>
    <phoneticPr fontId="5"/>
  </si>
  <si>
    <t>あｑ</t>
    <phoneticPr fontId="5"/>
  </si>
  <si>
    <t>あｗ</t>
    <phoneticPr fontId="5"/>
  </si>
  <si>
    <t>あえ</t>
    <phoneticPr fontId="5"/>
  </si>
  <si>
    <t>あｒ</t>
    <phoneticPr fontId="5"/>
  </si>
  <si>
    <t>あｔ</t>
    <phoneticPr fontId="5"/>
  </si>
  <si>
    <t>ああ</t>
    <phoneticPr fontId="5"/>
  </si>
  <si>
    <t>あｓ</t>
    <phoneticPr fontId="5"/>
  </si>
  <si>
    <t>あｄ</t>
    <phoneticPr fontId="5"/>
  </si>
  <si>
    <t>あｆ</t>
    <phoneticPr fontId="5"/>
  </si>
  <si>
    <t>あｇ</t>
    <phoneticPr fontId="5"/>
  </si>
  <si>
    <t>あｚ</t>
    <phoneticPr fontId="5"/>
  </si>
  <si>
    <t>あｘ</t>
    <phoneticPr fontId="5"/>
  </si>
  <si>
    <t>あｖ</t>
    <phoneticPr fontId="5"/>
  </si>
  <si>
    <t>あｂ</t>
    <phoneticPr fontId="5"/>
  </si>
  <si>
    <t>あｙ</t>
    <phoneticPr fontId="5"/>
  </si>
  <si>
    <t>あう</t>
    <phoneticPr fontId="5"/>
  </si>
  <si>
    <t>あい</t>
    <phoneticPr fontId="5"/>
  </si>
  <si>
    <t>あお</t>
    <phoneticPr fontId="5"/>
  </si>
  <si>
    <t>あｐ</t>
    <phoneticPr fontId="5"/>
  </si>
  <si>
    <t>あｈ</t>
    <phoneticPr fontId="5"/>
  </si>
  <si>
    <t>あｊ</t>
    <phoneticPr fontId="5"/>
  </si>
  <si>
    <t>あｋ</t>
    <phoneticPr fontId="5"/>
  </si>
  <si>
    <t>あｌ</t>
    <phoneticPr fontId="5"/>
  </si>
  <si>
    <t>あｎ</t>
    <phoneticPr fontId="5"/>
  </si>
  <si>
    <t>あｍ</t>
    <phoneticPr fontId="5"/>
  </si>
  <si>
    <t>あ、</t>
    <phoneticPr fontId="5"/>
  </si>
  <si>
    <t>あ。</t>
    <phoneticPr fontId="5"/>
  </si>
  <si>
    <t>せ</t>
    <phoneticPr fontId="5"/>
  </si>
  <si>
    <t>さ</t>
    <phoneticPr fontId="5"/>
  </si>
  <si>
    <t>っｓ</t>
    <phoneticPr fontId="5"/>
  </si>
  <si>
    <t>ｓｙ</t>
    <phoneticPr fontId="5"/>
  </si>
  <si>
    <t>す</t>
    <phoneticPr fontId="5"/>
  </si>
  <si>
    <t>し</t>
    <phoneticPr fontId="5"/>
  </si>
  <si>
    <t>そ</t>
    <phoneticPr fontId="5"/>
  </si>
  <si>
    <t>ｓｈ</t>
    <phoneticPr fontId="5"/>
  </si>
  <si>
    <t>っｄ</t>
    <phoneticPr fontId="5"/>
  </si>
  <si>
    <t>ｄｈ</t>
    <phoneticPr fontId="5"/>
  </si>
  <si>
    <t>ふぇ</t>
    <phoneticPr fontId="5"/>
  </si>
  <si>
    <t>ふぁ</t>
    <phoneticPr fontId="5"/>
  </si>
  <si>
    <t>っｆ</t>
    <phoneticPr fontId="5"/>
  </si>
  <si>
    <t>ｆｙ</t>
    <phoneticPr fontId="5"/>
  </si>
  <si>
    <t>ふ</t>
    <phoneticPr fontId="5"/>
  </si>
  <si>
    <t>ふぃ</t>
    <phoneticPr fontId="5"/>
  </si>
  <si>
    <t>ふぉ</t>
    <phoneticPr fontId="5"/>
  </si>
  <si>
    <t>っｇ</t>
    <phoneticPr fontId="5"/>
  </si>
  <si>
    <t>ｇｙ</t>
    <phoneticPr fontId="5"/>
  </si>
  <si>
    <t>っｚ</t>
    <phoneticPr fontId="5"/>
  </si>
  <si>
    <t>ｚｙ</t>
    <phoneticPr fontId="5"/>
  </si>
  <si>
    <t>ｘｗ</t>
    <phoneticPr fontId="5"/>
  </si>
  <si>
    <t>ｘｔ</t>
    <phoneticPr fontId="5"/>
  </si>
  <si>
    <t>っｘ</t>
    <phoneticPr fontId="5"/>
  </si>
  <si>
    <t>ｘｙ</t>
    <phoneticPr fontId="5"/>
  </si>
  <si>
    <t>か</t>
    <phoneticPr fontId="5"/>
  </si>
  <si>
    <t>っｃ</t>
    <phoneticPr fontId="5"/>
  </si>
  <si>
    <t>ｃｙ</t>
    <phoneticPr fontId="5"/>
  </si>
  <si>
    <t>こ</t>
    <phoneticPr fontId="5"/>
  </si>
  <si>
    <t>ｃｈ</t>
    <phoneticPr fontId="5"/>
  </si>
  <si>
    <t>ゔぇ</t>
    <phoneticPr fontId="5"/>
  </si>
  <si>
    <t>ゔぁ</t>
    <phoneticPr fontId="5"/>
  </si>
  <si>
    <t>っｖ</t>
    <phoneticPr fontId="5"/>
  </si>
  <si>
    <t>ｖｙ</t>
    <phoneticPr fontId="5"/>
  </si>
  <si>
    <t>ゔ</t>
    <phoneticPr fontId="5"/>
  </si>
  <si>
    <t>ゔぃ</t>
    <phoneticPr fontId="5"/>
  </si>
  <si>
    <t>ゔぉ</t>
    <phoneticPr fontId="5"/>
  </si>
  <si>
    <t>っｂ</t>
    <phoneticPr fontId="5"/>
  </si>
  <si>
    <t>ｂｙ</t>
    <phoneticPr fontId="5"/>
  </si>
  <si>
    <t>いぇ</t>
    <phoneticPr fontId="5"/>
  </si>
  <si>
    <t>や</t>
    <phoneticPr fontId="5"/>
  </si>
  <si>
    <t>っｙ</t>
    <phoneticPr fontId="5"/>
  </si>
  <si>
    <t>ゆ</t>
    <phoneticPr fontId="5"/>
  </si>
  <si>
    <t>い</t>
    <phoneticPr fontId="5"/>
  </si>
  <si>
    <t>よ</t>
    <phoneticPr fontId="5"/>
  </si>
  <si>
    <t>うｑ</t>
    <phoneticPr fontId="5"/>
  </si>
  <si>
    <t>うｗ</t>
    <phoneticPr fontId="5"/>
  </si>
  <si>
    <t>うえ</t>
    <phoneticPr fontId="5"/>
  </si>
  <si>
    <t>うｒ</t>
    <phoneticPr fontId="5"/>
  </si>
  <si>
    <t>うｔ</t>
    <phoneticPr fontId="5"/>
  </si>
  <si>
    <t>うあ</t>
    <phoneticPr fontId="5"/>
  </si>
  <si>
    <t>うｓ</t>
    <phoneticPr fontId="5"/>
  </si>
  <si>
    <t>うｄ</t>
    <phoneticPr fontId="5"/>
  </si>
  <si>
    <t>うｆ</t>
    <phoneticPr fontId="5"/>
  </si>
  <si>
    <t>うｇ</t>
    <phoneticPr fontId="5"/>
  </si>
  <si>
    <t>うｚ</t>
    <phoneticPr fontId="5"/>
  </si>
  <si>
    <t>うｘ</t>
    <phoneticPr fontId="5"/>
  </si>
  <si>
    <t>うｃ</t>
    <phoneticPr fontId="5"/>
  </si>
  <si>
    <t>うｖ</t>
    <phoneticPr fontId="5"/>
  </si>
  <si>
    <t>うｂ</t>
    <phoneticPr fontId="5"/>
  </si>
  <si>
    <t>うｙ</t>
    <phoneticPr fontId="5"/>
  </si>
  <si>
    <t>うう</t>
    <phoneticPr fontId="5"/>
  </si>
  <si>
    <t>うい</t>
    <phoneticPr fontId="5"/>
  </si>
  <si>
    <t>うお</t>
    <phoneticPr fontId="5"/>
  </si>
  <si>
    <t>うｐ</t>
    <phoneticPr fontId="5"/>
  </si>
  <si>
    <t>うｈ</t>
    <phoneticPr fontId="5"/>
  </si>
  <si>
    <t>うｊ</t>
    <phoneticPr fontId="5"/>
  </si>
  <si>
    <t>うｋ</t>
    <phoneticPr fontId="5"/>
  </si>
  <si>
    <t>うｌ</t>
    <phoneticPr fontId="5"/>
  </si>
  <si>
    <t>うｎ</t>
    <phoneticPr fontId="5"/>
  </si>
  <si>
    <t>うｍ</t>
    <phoneticPr fontId="5"/>
  </si>
  <si>
    <t>う、</t>
    <phoneticPr fontId="5"/>
  </si>
  <si>
    <t>う。</t>
    <phoneticPr fontId="5"/>
  </si>
  <si>
    <t>いｑ</t>
    <phoneticPr fontId="5"/>
  </si>
  <si>
    <t>いｗ</t>
    <phoneticPr fontId="5"/>
  </si>
  <si>
    <t>いえ</t>
    <phoneticPr fontId="5"/>
  </si>
  <si>
    <t>いｒ</t>
    <phoneticPr fontId="5"/>
  </si>
  <si>
    <t>いｔ</t>
    <phoneticPr fontId="5"/>
  </si>
  <si>
    <t>いあ</t>
    <phoneticPr fontId="5"/>
  </si>
  <si>
    <t>いｓ</t>
    <phoneticPr fontId="5"/>
  </si>
  <si>
    <t>いｄ</t>
    <phoneticPr fontId="5"/>
  </si>
  <si>
    <t>いｆ</t>
    <phoneticPr fontId="5"/>
  </si>
  <si>
    <t>いｇ</t>
    <phoneticPr fontId="5"/>
  </si>
  <si>
    <t>いｚ</t>
    <phoneticPr fontId="5"/>
  </si>
  <si>
    <t>いｘ</t>
    <phoneticPr fontId="5"/>
  </si>
  <si>
    <t>いｃ</t>
    <phoneticPr fontId="5"/>
  </si>
  <si>
    <t>いｖ</t>
    <phoneticPr fontId="5"/>
  </si>
  <si>
    <t>いｂ</t>
    <phoneticPr fontId="5"/>
  </si>
  <si>
    <t>いｙ</t>
    <phoneticPr fontId="5"/>
  </si>
  <si>
    <t>いう</t>
    <phoneticPr fontId="5"/>
  </si>
  <si>
    <t>いい</t>
    <phoneticPr fontId="5"/>
  </si>
  <si>
    <t>いｐ</t>
    <phoneticPr fontId="5"/>
  </si>
  <si>
    <t>いお</t>
    <phoneticPr fontId="5"/>
  </si>
  <si>
    <t>いｈ</t>
    <phoneticPr fontId="5"/>
  </si>
  <si>
    <t>いｊ</t>
    <phoneticPr fontId="5"/>
  </si>
  <si>
    <t>いｋ</t>
    <phoneticPr fontId="5"/>
  </si>
  <si>
    <t>いｌ</t>
    <phoneticPr fontId="5"/>
  </si>
  <si>
    <t>いｎ</t>
    <phoneticPr fontId="5"/>
  </si>
  <si>
    <t>いｍ</t>
    <phoneticPr fontId="5"/>
  </si>
  <si>
    <t>い、</t>
    <phoneticPr fontId="5"/>
  </si>
  <si>
    <t>い。</t>
    <phoneticPr fontId="5"/>
  </si>
  <si>
    <t>おｑ</t>
    <phoneticPr fontId="5"/>
  </si>
  <si>
    <t>おｗ</t>
    <phoneticPr fontId="5"/>
  </si>
  <si>
    <t>おえ</t>
    <phoneticPr fontId="5"/>
  </si>
  <si>
    <t>おｒ</t>
    <phoneticPr fontId="5"/>
  </si>
  <si>
    <t>おｔ</t>
    <phoneticPr fontId="5"/>
  </si>
  <si>
    <t>おあ</t>
    <phoneticPr fontId="5"/>
  </si>
  <si>
    <t>おｓ</t>
    <phoneticPr fontId="5"/>
  </si>
  <si>
    <t>おｄ</t>
    <phoneticPr fontId="5"/>
  </si>
  <si>
    <t>おｆ</t>
    <phoneticPr fontId="5"/>
  </si>
  <si>
    <t>おｇ</t>
    <phoneticPr fontId="5"/>
  </si>
  <si>
    <t>おｚ</t>
    <phoneticPr fontId="5"/>
  </si>
  <si>
    <t>おｘ</t>
    <phoneticPr fontId="5"/>
  </si>
  <si>
    <t>おｃ</t>
    <phoneticPr fontId="5"/>
  </si>
  <si>
    <t>おｖ</t>
    <phoneticPr fontId="5"/>
  </si>
  <si>
    <t>おｂ</t>
    <phoneticPr fontId="5"/>
  </si>
  <si>
    <t>おｙ</t>
    <phoneticPr fontId="5"/>
  </si>
  <si>
    <t>おう</t>
    <phoneticPr fontId="5"/>
  </si>
  <si>
    <t>おい</t>
    <phoneticPr fontId="5"/>
  </si>
  <si>
    <t>おお</t>
    <phoneticPr fontId="5"/>
  </si>
  <si>
    <t>おｐ</t>
    <phoneticPr fontId="5"/>
  </si>
  <si>
    <t>おｈ</t>
    <phoneticPr fontId="5"/>
  </si>
  <si>
    <t>おｊ</t>
    <phoneticPr fontId="5"/>
  </si>
  <si>
    <t>おｋ</t>
    <phoneticPr fontId="5"/>
  </si>
  <si>
    <t>おｌ</t>
    <phoneticPr fontId="5"/>
  </si>
  <si>
    <t>おｎ</t>
    <phoneticPr fontId="5"/>
  </si>
  <si>
    <t>おｍ</t>
    <phoneticPr fontId="5"/>
  </si>
  <si>
    <t>お、</t>
    <phoneticPr fontId="5"/>
  </si>
  <si>
    <t>お。</t>
    <phoneticPr fontId="5"/>
  </si>
  <si>
    <t>ｐｙ</t>
    <phoneticPr fontId="5"/>
  </si>
  <si>
    <t>っｐ</t>
    <phoneticPr fontId="5"/>
  </si>
  <si>
    <t>へ</t>
    <phoneticPr fontId="5"/>
  </si>
  <si>
    <t>は</t>
    <phoneticPr fontId="5"/>
  </si>
  <si>
    <t>ｈｙ</t>
    <phoneticPr fontId="5"/>
  </si>
  <si>
    <t>ひ</t>
    <phoneticPr fontId="5"/>
  </si>
  <si>
    <t>ほ</t>
    <phoneticPr fontId="5"/>
  </si>
  <si>
    <t>っｈ</t>
    <phoneticPr fontId="5"/>
  </si>
  <si>
    <t>じぇ</t>
    <phoneticPr fontId="5"/>
  </si>
  <si>
    <t>じゃ</t>
    <phoneticPr fontId="5"/>
  </si>
  <si>
    <t>ｊｙ</t>
    <phoneticPr fontId="5"/>
  </si>
  <si>
    <t>じゅ</t>
    <phoneticPr fontId="5"/>
  </si>
  <si>
    <t>じょ</t>
    <phoneticPr fontId="5"/>
  </si>
  <si>
    <t>っｊ</t>
    <phoneticPr fontId="5"/>
  </si>
  <si>
    <t>け</t>
    <phoneticPr fontId="5"/>
  </si>
  <si>
    <t>ｋｙ</t>
    <phoneticPr fontId="5"/>
  </si>
  <si>
    <t>き</t>
    <phoneticPr fontId="5"/>
  </si>
  <si>
    <t>っｋ</t>
    <phoneticPr fontId="5"/>
  </si>
  <si>
    <t>ｌｔ</t>
    <phoneticPr fontId="5"/>
  </si>
  <si>
    <t>ｌｙ</t>
    <phoneticPr fontId="5"/>
  </si>
  <si>
    <t>っｌ</t>
    <phoneticPr fontId="5"/>
  </si>
  <si>
    <t>んｑ</t>
    <phoneticPr fontId="5"/>
  </si>
  <si>
    <t>んｗ</t>
    <phoneticPr fontId="5"/>
  </si>
  <si>
    <t>ね</t>
    <phoneticPr fontId="5"/>
  </si>
  <si>
    <t>んｒ</t>
    <phoneticPr fontId="5"/>
  </si>
  <si>
    <t>んｔ</t>
    <phoneticPr fontId="5"/>
  </si>
  <si>
    <t>な</t>
    <phoneticPr fontId="5"/>
  </si>
  <si>
    <t>んｓ</t>
    <phoneticPr fontId="5"/>
  </si>
  <si>
    <t>んｄ</t>
    <phoneticPr fontId="5"/>
  </si>
  <si>
    <t>んｆ</t>
    <phoneticPr fontId="5"/>
  </si>
  <si>
    <t>んｇ</t>
    <phoneticPr fontId="5"/>
  </si>
  <si>
    <t>んｚ</t>
    <phoneticPr fontId="5"/>
  </si>
  <si>
    <t>んｘ</t>
    <phoneticPr fontId="5"/>
  </si>
  <si>
    <t>んｃ</t>
    <phoneticPr fontId="5"/>
  </si>
  <si>
    <t>んｖ</t>
    <phoneticPr fontId="5"/>
  </si>
  <si>
    <t>んｂ</t>
    <phoneticPr fontId="5"/>
  </si>
  <si>
    <t>ｎｙ</t>
    <phoneticPr fontId="5"/>
  </si>
  <si>
    <t>ぬ</t>
    <phoneticPr fontId="5"/>
  </si>
  <si>
    <t>に</t>
    <phoneticPr fontId="5"/>
  </si>
  <si>
    <t>の</t>
    <phoneticPr fontId="5"/>
  </si>
  <si>
    <t>んｐ</t>
    <phoneticPr fontId="5"/>
  </si>
  <si>
    <t>んｈ</t>
    <phoneticPr fontId="5"/>
  </si>
  <si>
    <t>んｊ</t>
    <phoneticPr fontId="5"/>
  </si>
  <si>
    <t>んｋ</t>
    <phoneticPr fontId="5"/>
  </si>
  <si>
    <t>んｌ</t>
    <phoneticPr fontId="5"/>
  </si>
  <si>
    <t>ん</t>
    <phoneticPr fontId="5"/>
  </si>
  <si>
    <t>んｍ</t>
    <phoneticPr fontId="5"/>
  </si>
  <si>
    <t>ん、</t>
    <phoneticPr fontId="5"/>
  </si>
  <si>
    <t>ん。</t>
    <phoneticPr fontId="5"/>
  </si>
  <si>
    <t>め</t>
    <phoneticPr fontId="5"/>
  </si>
  <si>
    <t>ま</t>
    <phoneticPr fontId="5"/>
  </si>
  <si>
    <t>ｍｙ</t>
    <phoneticPr fontId="5"/>
  </si>
  <si>
    <t>む</t>
    <phoneticPr fontId="5"/>
  </si>
  <si>
    <t>み</t>
    <phoneticPr fontId="5"/>
  </si>
  <si>
    <t>も</t>
    <phoneticPr fontId="5"/>
  </si>
  <si>
    <t>、え</t>
    <phoneticPr fontId="5"/>
  </si>
  <si>
    <t>、ｑ</t>
    <phoneticPr fontId="5"/>
  </si>
  <si>
    <t>、ｗ</t>
    <phoneticPr fontId="5"/>
  </si>
  <si>
    <t>、ｒ</t>
    <phoneticPr fontId="5"/>
  </si>
  <si>
    <t>、ｔ</t>
    <phoneticPr fontId="5"/>
  </si>
  <si>
    <t>、あ</t>
    <phoneticPr fontId="5"/>
  </si>
  <si>
    <t>、ｓ</t>
    <phoneticPr fontId="5"/>
  </si>
  <si>
    <t>、ｄ</t>
    <phoneticPr fontId="5"/>
  </si>
  <si>
    <t>、ｆ</t>
    <phoneticPr fontId="5"/>
  </si>
  <si>
    <t>、ｇ</t>
    <phoneticPr fontId="5"/>
  </si>
  <si>
    <t>、ｚ</t>
    <phoneticPr fontId="5"/>
  </si>
  <si>
    <t>、ｘ</t>
    <phoneticPr fontId="5"/>
  </si>
  <si>
    <t>、ｃ</t>
    <phoneticPr fontId="5"/>
  </si>
  <si>
    <t>、ｖ</t>
    <phoneticPr fontId="5"/>
  </si>
  <si>
    <t>、ｂ</t>
    <phoneticPr fontId="5"/>
  </si>
  <si>
    <t>、ｙ</t>
    <phoneticPr fontId="5"/>
  </si>
  <si>
    <t>、う</t>
    <phoneticPr fontId="5"/>
  </si>
  <si>
    <t>、い</t>
    <phoneticPr fontId="5"/>
  </si>
  <si>
    <t>、お</t>
    <phoneticPr fontId="5"/>
  </si>
  <si>
    <t>、ｐ</t>
    <phoneticPr fontId="5"/>
  </si>
  <si>
    <t>、ｈ</t>
    <phoneticPr fontId="5"/>
  </si>
  <si>
    <t>、ｊ</t>
    <phoneticPr fontId="5"/>
  </si>
  <si>
    <t>、ｋ</t>
    <phoneticPr fontId="5"/>
  </si>
  <si>
    <t>、ｌ</t>
    <phoneticPr fontId="5"/>
  </si>
  <si>
    <t>、ｎ</t>
    <phoneticPr fontId="5"/>
  </si>
  <si>
    <t>、ｍ</t>
    <phoneticPr fontId="5"/>
  </si>
  <si>
    <t>。ｑ</t>
    <phoneticPr fontId="5"/>
  </si>
  <si>
    <t>。ｗ</t>
    <phoneticPr fontId="5"/>
  </si>
  <si>
    <t>。え</t>
    <phoneticPr fontId="5"/>
  </si>
  <si>
    <t>。ｒ</t>
    <phoneticPr fontId="5"/>
  </si>
  <si>
    <t>。ｔ</t>
    <phoneticPr fontId="5"/>
  </si>
  <si>
    <t>。あ</t>
    <phoneticPr fontId="5"/>
  </si>
  <si>
    <t>。ｓ</t>
    <phoneticPr fontId="5"/>
  </si>
  <si>
    <t>。ｄ</t>
    <phoneticPr fontId="5"/>
  </si>
  <si>
    <t>。ｆ</t>
    <phoneticPr fontId="5"/>
  </si>
  <si>
    <t>。ｇ</t>
    <phoneticPr fontId="5"/>
  </si>
  <si>
    <t>。ｚ</t>
    <phoneticPr fontId="5"/>
  </si>
  <si>
    <t>。ｘ</t>
    <phoneticPr fontId="5"/>
  </si>
  <si>
    <t>。ｃ</t>
    <phoneticPr fontId="5"/>
  </si>
  <si>
    <t>。ｖ</t>
    <phoneticPr fontId="5"/>
  </si>
  <si>
    <t>。ｂ</t>
    <phoneticPr fontId="5"/>
  </si>
  <si>
    <t>。ｙ</t>
    <phoneticPr fontId="5"/>
  </si>
  <si>
    <t>。う</t>
    <phoneticPr fontId="5"/>
  </si>
  <si>
    <t>。い</t>
    <phoneticPr fontId="5"/>
  </si>
  <si>
    <t>。お</t>
    <phoneticPr fontId="5"/>
  </si>
  <si>
    <t>。ｐ</t>
    <phoneticPr fontId="5"/>
  </si>
  <si>
    <t>。ｈ</t>
    <phoneticPr fontId="5"/>
  </si>
  <si>
    <t>。ｊ</t>
    <phoneticPr fontId="5"/>
  </si>
  <si>
    <t>。ｋ</t>
    <phoneticPr fontId="5"/>
  </si>
  <si>
    <t>。ｌ</t>
    <phoneticPr fontId="5"/>
  </si>
  <si>
    <t>。ｎ</t>
    <phoneticPr fontId="5"/>
  </si>
  <si>
    <t>。ｍ</t>
    <phoneticPr fontId="5"/>
  </si>
  <si>
    <t>編集</t>
    <rPh sb="0" eb="2">
      <t xml:space="preserve">ヘンシュウ </t>
    </rPh>
    <phoneticPr fontId="5"/>
  </si>
  <si>
    <t>編集</t>
    <rPh sb="0" eb="1">
      <t xml:space="preserve">ヘンシュウ </t>
    </rPh>
    <phoneticPr fontId="5"/>
  </si>
  <si>
    <t>゜ょ</t>
  </si>
  <si>
    <t>゜ょ</t>
    <phoneticPr fontId="5"/>
  </si>
  <si>
    <t>゜ゅ</t>
  </si>
  <si>
    <t>゜ゅ</t>
    <phoneticPr fontId="5"/>
  </si>
  <si>
    <t>゜ゃ</t>
    <phoneticPr fontId="5"/>
  </si>
  <si>
    <t>゛ょ</t>
  </si>
  <si>
    <t>゛ょ</t>
    <phoneticPr fontId="5"/>
  </si>
  <si>
    <t>゛ゅ</t>
  </si>
  <si>
    <t>゛ゅ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</si>
</sst>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#,##0.00;[Red]\-#,##0.00;"/>
    <numFmt numFmtId="178" formatCode="\(&quot;秒&quot;0.00&quot;カ&quot;&quot;ナ&quot;\)"/>
    <numFmt numFmtId="179" formatCode="General;;"/>
    <numFmt numFmtId="180" formatCode="#,##0.00_ ;[Red]\-#,##0.00\ ;"/>
    <numFmt numFmtId="181" formatCode="#,##0.00&quot;〜&quot;;[Red]\-#,##0.00&quot;〜&quot;;"/>
  </numFmts>
  <fonts count="15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2"/>
      <color theme="0" tint="-0.499984740745262"/>
      <name val="游ゴシック"/>
      <family val="3"/>
      <charset val="128"/>
      <scheme val="minor"/>
    </font>
    <font>
      <sz val="12"/>
      <color theme="0" tint="-0.499984740745262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10" borderId="0" xfId="0" applyFill="1">
      <alignment vertical="center"/>
    </xf>
    <xf numFmtId="0" fontId="0" fillId="9" borderId="0" xfId="0" applyFill="1">
      <alignment vertical="center"/>
    </xf>
    <xf numFmtId="0" fontId="0" fillId="0" borderId="7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>
      <alignment vertical="center"/>
    </xf>
    <xf numFmtId="177" fontId="4" fillId="0" borderId="9" xfId="1" applyNumberFormat="1" applyBorder="1" applyProtection="1">
      <alignment vertical="center"/>
      <protection locked="0"/>
    </xf>
    <xf numFmtId="177" fontId="4" fillId="0" borderId="10" xfId="1" applyNumberFormat="1" applyBorder="1" applyProtection="1">
      <alignment vertical="center"/>
      <protection locked="0"/>
    </xf>
    <xf numFmtId="177" fontId="4" fillId="0" borderId="11" xfId="1" applyNumberFormat="1" applyBorder="1" applyProtection="1">
      <alignment vertical="center"/>
      <protection locked="0"/>
    </xf>
    <xf numFmtId="177" fontId="4" fillId="0" borderId="12" xfId="1" applyNumberFormat="1" applyBorder="1" applyProtection="1">
      <alignment vertical="center"/>
      <protection locked="0"/>
    </xf>
    <xf numFmtId="0" fontId="10" fillId="0" borderId="13" xfId="1" applyFont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177" fontId="4" fillId="0" borderId="15" xfId="1" applyNumberFormat="1" applyBorder="1" applyProtection="1">
      <alignment vertical="center"/>
      <protection locked="0"/>
    </xf>
    <xf numFmtId="177" fontId="4" fillId="0" borderId="16" xfId="1" applyNumberFormat="1" applyBorder="1" applyProtection="1">
      <alignment vertical="center"/>
      <protection locked="0"/>
    </xf>
    <xf numFmtId="177" fontId="4" fillId="0" borderId="17" xfId="1" applyNumberFormat="1" applyBorder="1" applyProtection="1">
      <alignment vertical="center"/>
      <protection locked="0"/>
    </xf>
    <xf numFmtId="177" fontId="4" fillId="0" borderId="18" xfId="1" applyNumberFormat="1" applyBorder="1" applyProtection="1">
      <alignment vertical="center"/>
      <protection locked="0"/>
    </xf>
    <xf numFmtId="0" fontId="4" fillId="0" borderId="15" xfId="1" applyBorder="1" applyAlignment="1">
      <alignment horizontal="center" vertical="center"/>
    </xf>
    <xf numFmtId="177" fontId="4" fillId="0" borderId="22" xfId="1" applyNumberFormat="1" applyBorder="1" applyProtection="1">
      <alignment vertical="center"/>
      <protection locked="0"/>
    </xf>
    <xf numFmtId="177" fontId="4" fillId="0" borderId="21" xfId="1" applyNumberFormat="1" applyBorder="1" applyProtection="1">
      <alignment vertical="center"/>
      <protection locked="0"/>
    </xf>
    <xf numFmtId="177" fontId="4" fillId="0" borderId="23" xfId="1" applyNumberFormat="1" applyBorder="1" applyProtection="1">
      <alignment vertical="center"/>
      <protection locked="0"/>
    </xf>
    <xf numFmtId="177" fontId="4" fillId="0" borderId="24" xfId="1" applyNumberFormat="1" applyBorder="1" applyProtection="1">
      <alignment vertical="center"/>
      <protection locked="0"/>
    </xf>
    <xf numFmtId="0" fontId="10" fillId="0" borderId="25" xfId="1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177" fontId="4" fillId="0" borderId="28" xfId="1" applyNumberFormat="1" applyBorder="1" applyProtection="1">
      <alignment vertical="center"/>
      <protection locked="0"/>
    </xf>
    <xf numFmtId="177" fontId="4" fillId="0" borderId="29" xfId="1" applyNumberFormat="1" applyBorder="1" applyProtection="1">
      <alignment vertical="center"/>
      <protection locked="0"/>
    </xf>
    <xf numFmtId="177" fontId="4" fillId="0" borderId="30" xfId="1" applyNumberFormat="1" applyBorder="1" applyProtection="1">
      <alignment vertical="center"/>
      <protection locked="0"/>
    </xf>
    <xf numFmtId="177" fontId="4" fillId="0" borderId="31" xfId="1" applyNumberFormat="1" applyBorder="1" applyProtection="1">
      <alignment vertical="center"/>
      <protection locked="0"/>
    </xf>
    <xf numFmtId="0" fontId="4" fillId="0" borderId="28" xfId="1" applyBorder="1" applyAlignment="1">
      <alignment horizontal="center" vertical="center"/>
    </xf>
    <xf numFmtId="0" fontId="4" fillId="0" borderId="8" xfId="1" applyBorder="1">
      <alignment vertical="center"/>
    </xf>
    <xf numFmtId="0" fontId="4" fillId="0" borderId="6" xfId="1" applyBorder="1">
      <alignment vertical="center"/>
    </xf>
    <xf numFmtId="0" fontId="4" fillId="0" borderId="32" xfId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7" xfId="1" applyBorder="1">
      <alignment vertical="center"/>
    </xf>
    <xf numFmtId="0" fontId="4" fillId="0" borderId="13" xfId="1" applyBorder="1">
      <alignment vertical="center"/>
    </xf>
    <xf numFmtId="0" fontId="9" fillId="0" borderId="0" xfId="1" applyFont="1">
      <alignment vertical="center"/>
    </xf>
    <xf numFmtId="0" fontId="4" fillId="0" borderId="0" xfId="1" applyAlignment="1">
      <alignment horizontal="right" vertical="center"/>
    </xf>
    <xf numFmtId="0" fontId="11" fillId="0" borderId="0" xfId="1" applyFont="1" applyAlignment="1">
      <alignment horizontal="center" vertical="center"/>
    </xf>
    <xf numFmtId="0" fontId="3" fillId="0" borderId="0" xfId="2">
      <alignment vertical="center"/>
    </xf>
    <xf numFmtId="0" fontId="12" fillId="0" borderId="40" xfId="2" applyFont="1" applyBorder="1">
      <alignment vertical="center"/>
    </xf>
    <xf numFmtId="0" fontId="12" fillId="0" borderId="41" xfId="2" applyFont="1" applyBorder="1">
      <alignment vertical="center"/>
    </xf>
    <xf numFmtId="0" fontId="12" fillId="0" borderId="24" xfId="2" applyFont="1" applyBorder="1">
      <alignment vertical="center"/>
    </xf>
    <xf numFmtId="0" fontId="12" fillId="0" borderId="7" xfId="2" applyFont="1" applyBorder="1">
      <alignment vertical="center"/>
    </xf>
    <xf numFmtId="0" fontId="12" fillId="0" borderId="0" xfId="2" applyFont="1">
      <alignment vertical="center"/>
    </xf>
    <xf numFmtId="0" fontId="12" fillId="0" borderId="43" xfId="2" applyFont="1" applyBorder="1">
      <alignment vertical="center"/>
    </xf>
    <xf numFmtId="0" fontId="3" fillId="0" borderId="44" xfId="2" applyBorder="1" applyAlignment="1">
      <alignment horizontal="center" vertical="center"/>
    </xf>
    <xf numFmtId="0" fontId="3" fillId="0" borderId="46" xfId="2" applyBorder="1" applyAlignment="1">
      <alignment horizontal="center" vertical="center"/>
    </xf>
    <xf numFmtId="0" fontId="12" fillId="0" borderId="35" xfId="2" applyFont="1" applyBorder="1" applyAlignment="1">
      <alignment horizontal="center" vertical="center"/>
    </xf>
    <xf numFmtId="0" fontId="12" fillId="0" borderId="3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2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3" fillId="0" borderId="21" xfId="2" applyBorder="1" applyAlignment="1">
      <alignment horizontal="center" vertical="center"/>
    </xf>
    <xf numFmtId="0" fontId="3" fillId="0" borderId="13" xfId="2" applyBorder="1" applyAlignment="1">
      <alignment horizontal="center" vertical="center"/>
    </xf>
    <xf numFmtId="0" fontId="3" fillId="0" borderId="47" xfId="2" applyBorder="1">
      <alignment vertical="center"/>
    </xf>
    <xf numFmtId="0" fontId="3" fillId="0" borderId="42" xfId="2" applyBorder="1">
      <alignment vertical="center"/>
    </xf>
    <xf numFmtId="0" fontId="3" fillId="0" borderId="39" xfId="2" applyBorder="1">
      <alignment vertical="center"/>
    </xf>
    <xf numFmtId="0" fontId="3" fillId="0" borderId="45" xfId="2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48" xfId="0" applyFont="1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9" fillId="0" borderId="51" xfId="0" applyFont="1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51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0" xfId="0" applyFont="1">
      <alignment vertical="center"/>
    </xf>
    <xf numFmtId="176" fontId="14" fillId="0" borderId="0" xfId="0" applyNumberFormat="1" applyFont="1">
      <alignment vertical="center"/>
    </xf>
    <xf numFmtId="0" fontId="2" fillId="0" borderId="0" xfId="1" applyFont="1">
      <alignment vertical="center"/>
    </xf>
    <xf numFmtId="177" fontId="4" fillId="0" borderId="0" xfId="1" applyNumberFormat="1">
      <alignment vertical="center"/>
    </xf>
    <xf numFmtId="0" fontId="3" fillId="0" borderId="0" xfId="2" applyAlignment="1">
      <alignment horizontal="center" vertical="center"/>
    </xf>
    <xf numFmtId="0" fontId="3" fillId="0" borderId="42" xfId="2" applyBorder="1" applyAlignment="1">
      <alignment horizontal="center" vertical="center"/>
    </xf>
    <xf numFmtId="0" fontId="3" fillId="0" borderId="39" xfId="2" applyBorder="1" applyAlignment="1">
      <alignment horizontal="center" vertical="center"/>
    </xf>
    <xf numFmtId="0" fontId="3" fillId="0" borderId="47" xfId="2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3" fillId="0" borderId="53" xfId="2" applyBorder="1" applyAlignment="1">
      <alignment horizontal="center" vertical="center"/>
    </xf>
    <xf numFmtId="0" fontId="3" fillId="0" borderId="40" xfId="2" applyBorder="1" applyAlignment="1">
      <alignment horizontal="center" vertical="center"/>
    </xf>
    <xf numFmtId="0" fontId="3" fillId="0" borderId="35" xfId="2" applyBorder="1" applyAlignment="1">
      <alignment horizontal="center" vertical="center"/>
    </xf>
    <xf numFmtId="0" fontId="3" fillId="0" borderId="54" xfId="2" applyBorder="1" applyAlignment="1">
      <alignment horizontal="center" vertical="center"/>
    </xf>
    <xf numFmtId="179" fontId="0" fillId="0" borderId="0" xfId="0" applyNumberFormat="1">
      <alignment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3" fillId="0" borderId="55" xfId="2" applyBorder="1">
      <alignment vertical="center"/>
    </xf>
    <xf numFmtId="0" fontId="3" fillId="0" borderId="29" xfId="2" applyBorder="1" applyAlignment="1">
      <alignment horizontal="center" vertical="center"/>
    </xf>
    <xf numFmtId="0" fontId="3" fillId="0" borderId="55" xfId="2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3" fillId="0" borderId="56" xfId="2" applyBorder="1">
      <alignment vertical="center"/>
    </xf>
    <xf numFmtId="0" fontId="3" fillId="0" borderId="38" xfId="2" applyBorder="1">
      <alignment vertical="center"/>
    </xf>
    <xf numFmtId="0" fontId="3" fillId="0" borderId="57" xfId="2" applyBorder="1">
      <alignment vertical="center"/>
    </xf>
    <xf numFmtId="180" fontId="14" fillId="0" borderId="1" xfId="0" applyNumberFormat="1" applyFont="1" applyBorder="1">
      <alignment vertical="center"/>
    </xf>
    <xf numFmtId="180" fontId="14" fillId="0" borderId="0" xfId="0" applyNumberFormat="1" applyFont="1">
      <alignment vertical="center"/>
    </xf>
    <xf numFmtId="180" fontId="14" fillId="0" borderId="2" xfId="0" applyNumberFormat="1" applyFont="1" applyBorder="1">
      <alignment vertical="center"/>
    </xf>
    <xf numFmtId="180" fontId="14" fillId="0" borderId="3" xfId="0" applyNumberFormat="1" applyFont="1" applyBorder="1">
      <alignment vertical="center"/>
    </xf>
    <xf numFmtId="180" fontId="14" fillId="0" borderId="4" xfId="0" applyNumberFormat="1" applyFont="1" applyBorder="1">
      <alignment vertical="center"/>
    </xf>
    <xf numFmtId="0" fontId="14" fillId="0" borderId="7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8" xfId="0" applyFont="1" applyBorder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14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0" fillId="2" borderId="0" xfId="0" applyFill="1">
      <alignment vertical="center"/>
    </xf>
    <xf numFmtId="0" fontId="6" fillId="7" borderId="0" xfId="0" applyFont="1" applyFill="1">
      <alignment vertical="center"/>
    </xf>
    <xf numFmtId="180" fontId="3" fillId="0" borderId="23" xfId="2" applyNumberFormat="1" applyBorder="1">
      <alignment vertical="center"/>
    </xf>
    <xf numFmtId="180" fontId="3" fillId="0" borderId="17" xfId="2" applyNumberFormat="1" applyBorder="1">
      <alignment vertical="center"/>
    </xf>
    <xf numFmtId="180" fontId="3" fillId="0" borderId="11" xfId="2" applyNumberFormat="1" applyBorder="1">
      <alignment vertical="center"/>
    </xf>
    <xf numFmtId="180" fontId="3" fillId="0" borderId="30" xfId="2" applyNumberFormat="1" applyBorder="1">
      <alignment vertical="center"/>
    </xf>
    <xf numFmtId="179" fontId="3" fillId="0" borderId="29" xfId="2" applyNumberFormat="1" applyBorder="1" applyAlignment="1">
      <alignment horizontal="center" vertical="center"/>
    </xf>
    <xf numFmtId="179" fontId="3" fillId="0" borderId="28" xfId="2" applyNumberFormat="1" applyBorder="1" applyAlignment="1">
      <alignment horizontal="center" vertical="center"/>
    </xf>
    <xf numFmtId="179" fontId="3" fillId="0" borderId="16" xfId="2" applyNumberFormat="1" applyBorder="1" applyAlignment="1">
      <alignment horizontal="center" vertical="center"/>
    </xf>
    <xf numFmtId="179" fontId="3" fillId="0" borderId="15" xfId="2" applyNumberFormat="1" applyBorder="1" applyAlignment="1">
      <alignment horizontal="center" vertical="center"/>
    </xf>
    <xf numFmtId="179" fontId="3" fillId="0" borderId="10" xfId="2" applyNumberFormat="1" applyBorder="1" applyAlignment="1">
      <alignment horizontal="center" vertical="center"/>
    </xf>
    <xf numFmtId="179" fontId="3" fillId="0" borderId="9" xfId="2" applyNumberFormat="1" applyBorder="1" applyAlignment="1">
      <alignment horizontal="center" vertical="center"/>
    </xf>
    <xf numFmtId="179" fontId="3" fillId="0" borderId="21" xfId="2" applyNumberFormat="1" applyBorder="1" applyAlignment="1">
      <alignment horizontal="center" vertical="center"/>
    </xf>
    <xf numFmtId="179" fontId="3" fillId="0" borderId="22" xfId="2" applyNumberFormat="1" applyBorder="1" applyAlignment="1">
      <alignment horizontal="center" vertical="center"/>
    </xf>
    <xf numFmtId="0" fontId="3" fillId="8" borderId="21" xfId="2" applyFill="1" applyBorder="1" applyAlignment="1" applyProtection="1">
      <alignment horizontal="center" vertical="center"/>
      <protection locked="0"/>
    </xf>
    <xf numFmtId="0" fontId="1" fillId="8" borderId="22" xfId="2" applyFont="1" applyFill="1" applyBorder="1" applyAlignment="1" applyProtection="1">
      <alignment horizontal="center" vertical="center"/>
      <protection locked="0"/>
    </xf>
    <xf numFmtId="0" fontId="3" fillId="8" borderId="16" xfId="2" applyFill="1" applyBorder="1" applyAlignment="1" applyProtection="1">
      <alignment horizontal="center" vertical="center"/>
      <protection locked="0"/>
    </xf>
    <xf numFmtId="0" fontId="3" fillId="8" borderId="15" xfId="2" applyFill="1" applyBorder="1" applyAlignment="1" applyProtection="1">
      <alignment horizontal="center" vertical="center"/>
      <protection locked="0"/>
    </xf>
    <xf numFmtId="0" fontId="1" fillId="8" borderId="15" xfId="2" applyFont="1" applyFill="1" applyBorder="1" applyAlignment="1" applyProtection="1">
      <alignment horizontal="center" vertical="center"/>
      <protection locked="0"/>
    </xf>
    <xf numFmtId="0" fontId="1" fillId="8" borderId="16" xfId="2" applyFont="1" applyFill="1" applyBorder="1" applyAlignment="1" applyProtection="1">
      <alignment horizontal="center" vertical="center"/>
      <protection locked="0"/>
    </xf>
    <xf numFmtId="0" fontId="3" fillId="8" borderId="10" xfId="2" applyFill="1" applyBorder="1" applyAlignment="1" applyProtection="1">
      <alignment horizontal="center" vertical="center"/>
      <protection locked="0"/>
    </xf>
    <xf numFmtId="0" fontId="3" fillId="8" borderId="9" xfId="2" applyFill="1" applyBorder="1" applyAlignment="1" applyProtection="1">
      <alignment horizontal="center" vertical="center"/>
      <protection locked="0"/>
    </xf>
    <xf numFmtId="0" fontId="4" fillId="0" borderId="30" xfId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4" fillId="0" borderId="19" xfId="1" applyBorder="1" applyAlignment="1">
      <alignment horizontal="center" vertical="center" wrapText="1"/>
    </xf>
    <xf numFmtId="0" fontId="4" fillId="0" borderId="21" xfId="1" applyBorder="1" applyAlignment="1">
      <alignment horizontal="center" vertical="center" wrapText="1"/>
    </xf>
    <xf numFmtId="0" fontId="4" fillId="0" borderId="20" xfId="1" applyBorder="1" applyAlignment="1">
      <alignment horizontal="center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18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4" fillId="0" borderId="30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23" xfId="1" applyBorder="1" applyAlignment="1">
      <alignment horizontal="center" vertical="center" wrapText="1"/>
    </xf>
    <xf numFmtId="178" fontId="0" fillId="0" borderId="0" xfId="0" applyNumberFormat="1" applyAlignment="1">
      <alignment horizontal="left" vertical="center"/>
    </xf>
  </cellXfs>
  <cellStyles count="3">
    <cellStyle name="標準" xfId="0" builtinId="0"/>
    <cellStyle name="標準 2" xfId="1" xr:uid="{90EAAAF4-7BF2-174F-A3D2-2181A9A2DC0C}"/>
    <cellStyle name="標準 3" xfId="2" xr:uid="{05B2F03C-4CA0-0142-BF74-780145F8546B}"/>
  </cellStyles>
  <dxfs count="93"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Module1.再計算" textlink="">
      <xdr:nvSpPr>
        <xdr:cNvPr id="3" name="角丸四角形 2">
          <a:extLst>
            <a:ext uri="{FF2B5EF4-FFF2-40B4-BE49-F238E27FC236}">
              <a16:creationId xmlns:a16="http://schemas.microsoft.com/office/drawing/2014/main" id="{4AA18832-2B75-6970-987E-ADF8796003A4}"/>
            </a:ext>
          </a:extLst>
        </xdr:cNvPr>
        <xdr:cNvSpPr/>
      </xdr:nvSpPr>
      <xdr:spPr>
        <a:xfrm>
          <a:off x="0" y="482600"/>
          <a:ext cx="711200" cy="342900"/>
        </a:xfrm>
        <a:prstGeom prst="round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再計算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01-7F76-804E-89DC-1C76DC9AD038}">
  <sheetPr codeName="Sheet1">
    <pageSetUpPr fitToPage="1"/>
  </sheetPr>
  <dimension ref="A1:AH37"/>
  <sheetViews>
    <sheetView showGridLines="0" tabSelected="1" zoomScaleNormal="100" workbookViewId="0">
      <pane xSplit="4" ySplit="7" topLeftCell="E8" activePane="bottomRight" state="frozen"/>
      <selection pane="topRight" activeCell="D1" sqref="D1"/>
      <selection pane="bottomLeft" activeCell="A7" sqref="A7"/>
      <selection pane="bottomRight" activeCell="L16" sqref="L16"/>
    </sheetView>
  </sheetViews>
  <sheetFormatPr defaultColWidth="13.5" defaultRowHeight="19.5" x14ac:dyDescent="0.4"/>
  <cols>
    <col min="1" max="2" width="4.625" style="11" customWidth="1"/>
    <col min="3" max="3" width="4.625" style="11" bestFit="1" customWidth="1"/>
    <col min="4" max="4" width="4.625" style="11" customWidth="1"/>
    <col min="5" max="34" width="7" style="11" customWidth="1"/>
    <col min="35" max="16384" width="13.5" style="11"/>
  </cols>
  <sheetData>
    <row r="1" spans="1:34" ht="35.25" x14ac:dyDescent="0.4">
      <c r="A1" s="45" t="str" cm="1">
        <f t="array" aca="1" ref="A1" ca="1">INDIRECT(ADDRESS(CELL("row"),CELL("col",RowName)))</f>
        <v>F</v>
      </c>
      <c r="B1" s="45" t="str" cm="1">
        <f t="array" aca="1" ref="B1" ca="1">INDIRECT(ADDRESS(CELL("row",ColName),CELL("col")))</f>
        <v>D</v>
      </c>
      <c r="C1" s="44" t="s">
        <v>193</v>
      </c>
      <c r="D1" s="11">
        <f>COUNTBLANK(InputArea)</f>
        <v>900</v>
      </c>
    </row>
    <row r="2" spans="1:34" ht="27" customHeight="1" x14ac:dyDescent="0.4">
      <c r="E2" s="43" t="s">
        <v>192</v>
      </c>
      <c r="T2" s="81"/>
      <c r="X2" s="82"/>
    </row>
    <row r="3" spans="1:34" ht="20.100000000000001" customHeight="1" x14ac:dyDescent="0.4"/>
    <row r="4" spans="1:34" x14ac:dyDescent="0.4">
      <c r="A4" s="42">
        <f>COUNTA(E8:S22)</f>
        <v>0</v>
      </c>
      <c r="B4" s="42">
        <f>COUNTA(T8:AH22)</f>
        <v>0</v>
      </c>
      <c r="D4" s="41"/>
      <c r="E4" s="140" t="s">
        <v>191</v>
      </c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3"/>
      <c r="T4" s="140" t="s">
        <v>190</v>
      </c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2"/>
    </row>
    <row r="5" spans="1:34" x14ac:dyDescent="0.4">
      <c r="A5" s="42">
        <f>COUNTA(E23:S37)</f>
        <v>0</v>
      </c>
      <c r="B5" s="42">
        <f>COUNTA(T23:AH37)</f>
        <v>0</v>
      </c>
      <c r="D5" s="41"/>
      <c r="E5" s="152" t="s">
        <v>155</v>
      </c>
      <c r="F5" s="150"/>
      <c r="G5" s="150"/>
      <c r="H5" s="150"/>
      <c r="I5" s="153"/>
      <c r="J5" s="149" t="s">
        <v>189</v>
      </c>
      <c r="K5" s="150"/>
      <c r="L5" s="150"/>
      <c r="M5" s="150"/>
      <c r="N5" s="153"/>
      <c r="O5" s="149" t="s">
        <v>188</v>
      </c>
      <c r="P5" s="150"/>
      <c r="Q5" s="150"/>
      <c r="R5" s="150"/>
      <c r="S5" s="151"/>
      <c r="T5" s="152" t="s">
        <v>155</v>
      </c>
      <c r="U5" s="150"/>
      <c r="V5" s="150"/>
      <c r="W5" s="150"/>
      <c r="X5" s="153"/>
      <c r="Y5" s="149" t="s">
        <v>189</v>
      </c>
      <c r="Z5" s="150"/>
      <c r="AA5" s="150"/>
      <c r="AB5" s="150"/>
      <c r="AC5" s="153"/>
      <c r="AD5" s="149" t="s">
        <v>188</v>
      </c>
      <c r="AE5" s="150"/>
      <c r="AF5" s="150"/>
      <c r="AG5" s="150"/>
      <c r="AH5" s="151"/>
    </row>
    <row r="6" spans="1:34" x14ac:dyDescent="0.4">
      <c r="D6" s="41"/>
      <c r="E6" s="39" t="s">
        <v>186</v>
      </c>
      <c r="F6" s="38" t="s">
        <v>184</v>
      </c>
      <c r="G6" s="38" t="s">
        <v>182</v>
      </c>
      <c r="H6" s="38" t="s">
        <v>180</v>
      </c>
      <c r="I6" s="38" t="s">
        <v>178</v>
      </c>
      <c r="J6" s="38" t="s">
        <v>176</v>
      </c>
      <c r="K6" s="38" t="s">
        <v>174</v>
      </c>
      <c r="L6" s="38" t="s">
        <v>172</v>
      </c>
      <c r="M6" s="38" t="s">
        <v>170</v>
      </c>
      <c r="N6" s="38" t="s">
        <v>168</v>
      </c>
      <c r="O6" s="38" t="s">
        <v>166</v>
      </c>
      <c r="P6" s="38" t="s">
        <v>164</v>
      </c>
      <c r="Q6" s="38" t="s">
        <v>162</v>
      </c>
      <c r="R6" s="38" t="s">
        <v>160</v>
      </c>
      <c r="S6" s="40" t="s">
        <v>158</v>
      </c>
      <c r="T6" s="39" t="s">
        <v>154</v>
      </c>
      <c r="U6" s="38" t="s">
        <v>152</v>
      </c>
      <c r="V6" s="38" t="s">
        <v>150</v>
      </c>
      <c r="W6" s="38" t="s">
        <v>148</v>
      </c>
      <c r="X6" s="38" t="s">
        <v>146</v>
      </c>
      <c r="Y6" s="38" t="s">
        <v>143</v>
      </c>
      <c r="Z6" s="38" t="s">
        <v>141</v>
      </c>
      <c r="AA6" s="38" t="s">
        <v>139</v>
      </c>
      <c r="AB6" s="38" t="s">
        <v>137</v>
      </c>
      <c r="AC6" s="38" t="s">
        <v>135</v>
      </c>
      <c r="AD6" s="38" t="s">
        <v>132</v>
      </c>
      <c r="AE6" s="38" t="s">
        <v>130</v>
      </c>
      <c r="AF6" s="38" t="s">
        <v>128</v>
      </c>
      <c r="AG6" s="38" t="s">
        <v>126</v>
      </c>
      <c r="AH6" s="37" t="s">
        <v>124</v>
      </c>
    </row>
    <row r="7" spans="1:34" x14ac:dyDescent="0.4">
      <c r="A7" s="36"/>
      <c r="B7" s="36"/>
      <c r="C7" s="36"/>
      <c r="D7" s="35"/>
      <c r="E7" s="16" t="s">
        <v>185</v>
      </c>
      <c r="F7" s="16" t="s">
        <v>183</v>
      </c>
      <c r="G7" s="16" t="s">
        <v>181</v>
      </c>
      <c r="H7" s="16" t="s">
        <v>179</v>
      </c>
      <c r="I7" s="16" t="s">
        <v>177</v>
      </c>
      <c r="J7" s="16" t="s">
        <v>175</v>
      </c>
      <c r="K7" s="16" t="s">
        <v>173</v>
      </c>
      <c r="L7" s="16" t="s">
        <v>171</v>
      </c>
      <c r="M7" s="16" t="s">
        <v>169</v>
      </c>
      <c r="N7" s="16" t="s">
        <v>167</v>
      </c>
      <c r="O7" s="16" t="s">
        <v>165</v>
      </c>
      <c r="P7" s="16" t="s">
        <v>163</v>
      </c>
      <c r="Q7" s="16" t="s">
        <v>161</v>
      </c>
      <c r="R7" s="16" t="s">
        <v>159</v>
      </c>
      <c r="S7" s="29" t="s">
        <v>157</v>
      </c>
      <c r="T7" s="16" t="s">
        <v>153</v>
      </c>
      <c r="U7" s="16" t="s">
        <v>151</v>
      </c>
      <c r="V7" s="16" t="s">
        <v>149</v>
      </c>
      <c r="W7" s="16" t="s">
        <v>147</v>
      </c>
      <c r="X7" s="16" t="s">
        <v>145</v>
      </c>
      <c r="Y7" s="16" t="s">
        <v>142</v>
      </c>
      <c r="Z7" s="16" t="s">
        <v>140</v>
      </c>
      <c r="AA7" s="16" t="s">
        <v>138</v>
      </c>
      <c r="AB7" s="16" t="s">
        <v>136</v>
      </c>
      <c r="AC7" s="16" t="s">
        <v>134</v>
      </c>
      <c r="AD7" s="16" t="s">
        <v>131</v>
      </c>
      <c r="AE7" s="16" t="s">
        <v>129</v>
      </c>
      <c r="AF7" s="16" t="s">
        <v>127</v>
      </c>
      <c r="AG7" s="16" t="s">
        <v>125</v>
      </c>
      <c r="AH7" s="16" t="s">
        <v>123</v>
      </c>
    </row>
    <row r="8" spans="1:34" x14ac:dyDescent="0.4">
      <c r="A8" s="154" t="s">
        <v>187</v>
      </c>
      <c r="B8" s="144" t="s">
        <v>155</v>
      </c>
      <c r="C8" s="34" t="s">
        <v>186</v>
      </c>
      <c r="D8" s="16" t="s">
        <v>185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3"/>
      <c r="T8" s="32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0"/>
    </row>
    <row r="9" spans="1:34" x14ac:dyDescent="0.4">
      <c r="A9" s="155"/>
      <c r="B9" s="145"/>
      <c r="C9" s="22" t="s">
        <v>184</v>
      </c>
      <c r="D9" s="16" t="s">
        <v>183</v>
      </c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1"/>
      <c r="T9" s="20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8"/>
    </row>
    <row r="10" spans="1:34" x14ac:dyDescent="0.4">
      <c r="A10" s="155"/>
      <c r="B10" s="145"/>
      <c r="C10" s="22" t="s">
        <v>182</v>
      </c>
      <c r="D10" s="16" t="s">
        <v>181</v>
      </c>
      <c r="E10" s="20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1"/>
      <c r="T10" s="20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8"/>
    </row>
    <row r="11" spans="1:34" x14ac:dyDescent="0.4">
      <c r="A11" s="155"/>
      <c r="B11" s="145"/>
      <c r="C11" s="22" t="s">
        <v>180</v>
      </c>
      <c r="D11" s="16" t="s">
        <v>179</v>
      </c>
      <c r="E11" s="20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1"/>
      <c r="T11" s="20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8"/>
    </row>
    <row r="12" spans="1:34" x14ac:dyDescent="0.4">
      <c r="A12" s="155"/>
      <c r="B12" s="146"/>
      <c r="C12" s="22" t="s">
        <v>178</v>
      </c>
      <c r="D12" s="16" t="s">
        <v>177</v>
      </c>
      <c r="E12" s="20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1"/>
      <c r="T12" s="20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8"/>
    </row>
    <row r="13" spans="1:34" x14ac:dyDescent="0.4">
      <c r="A13" s="155"/>
      <c r="B13" s="147" t="s">
        <v>144</v>
      </c>
      <c r="C13" s="22" t="s">
        <v>176</v>
      </c>
      <c r="D13" s="16" t="s">
        <v>175</v>
      </c>
      <c r="E13" s="20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1"/>
      <c r="T13" s="20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8"/>
    </row>
    <row r="14" spans="1:34" x14ac:dyDescent="0.4">
      <c r="A14" s="155"/>
      <c r="B14" s="145"/>
      <c r="C14" s="22" t="s">
        <v>174</v>
      </c>
      <c r="D14" s="16" t="s">
        <v>173</v>
      </c>
      <c r="E14" s="20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1"/>
      <c r="T14" s="20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8"/>
    </row>
    <row r="15" spans="1:34" x14ac:dyDescent="0.4">
      <c r="A15" s="155"/>
      <c r="B15" s="145"/>
      <c r="C15" s="22" t="s">
        <v>172</v>
      </c>
      <c r="D15" s="16" t="s">
        <v>171</v>
      </c>
      <c r="E15" s="20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1"/>
      <c r="T15" s="20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8"/>
    </row>
    <row r="16" spans="1:34" x14ac:dyDescent="0.4">
      <c r="A16" s="155"/>
      <c r="B16" s="145"/>
      <c r="C16" s="22" t="s">
        <v>170</v>
      </c>
      <c r="D16" s="16" t="s">
        <v>169</v>
      </c>
      <c r="E16" s="20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21"/>
      <c r="T16" s="20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8"/>
    </row>
    <row r="17" spans="1:34" x14ac:dyDescent="0.4">
      <c r="A17" s="155"/>
      <c r="B17" s="146"/>
      <c r="C17" s="22" t="s">
        <v>168</v>
      </c>
      <c r="D17" s="16" t="s">
        <v>167</v>
      </c>
      <c r="E17" s="2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21"/>
      <c r="T17" s="20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8"/>
    </row>
    <row r="18" spans="1:34" x14ac:dyDescent="0.4">
      <c r="A18" s="155"/>
      <c r="B18" s="147" t="s">
        <v>133</v>
      </c>
      <c r="C18" s="22" t="s">
        <v>166</v>
      </c>
      <c r="D18" s="16" t="s">
        <v>165</v>
      </c>
      <c r="E18" s="20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21"/>
      <c r="T18" s="20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8"/>
    </row>
    <row r="19" spans="1:34" x14ac:dyDescent="0.4">
      <c r="A19" s="155"/>
      <c r="B19" s="145"/>
      <c r="C19" s="22" t="s">
        <v>164</v>
      </c>
      <c r="D19" s="16" t="s">
        <v>163</v>
      </c>
      <c r="E19" s="20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21"/>
      <c r="T19" s="20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8"/>
    </row>
    <row r="20" spans="1:34" x14ac:dyDescent="0.4">
      <c r="A20" s="155"/>
      <c r="B20" s="145"/>
      <c r="C20" s="22" t="s">
        <v>162</v>
      </c>
      <c r="D20" s="16" t="s">
        <v>161</v>
      </c>
      <c r="E20" s="20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21"/>
      <c r="T20" s="20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8"/>
    </row>
    <row r="21" spans="1:34" x14ac:dyDescent="0.4">
      <c r="A21" s="155"/>
      <c r="B21" s="145"/>
      <c r="C21" s="22" t="s">
        <v>160</v>
      </c>
      <c r="D21" s="16" t="s">
        <v>159</v>
      </c>
      <c r="E21" s="20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21"/>
      <c r="T21" s="20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8"/>
    </row>
    <row r="22" spans="1:34" x14ac:dyDescent="0.4">
      <c r="A22" s="156"/>
      <c r="B22" s="148"/>
      <c r="C22" s="17" t="s">
        <v>158</v>
      </c>
      <c r="D22" s="29" t="s">
        <v>157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5"/>
      <c r="T22" s="14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2"/>
    </row>
    <row r="23" spans="1:34" x14ac:dyDescent="0.4">
      <c r="A23" s="157" t="s">
        <v>156</v>
      </c>
      <c r="B23" s="144" t="s">
        <v>155</v>
      </c>
      <c r="C23" s="28" t="s">
        <v>154</v>
      </c>
      <c r="D23" s="27" t="s">
        <v>153</v>
      </c>
      <c r="E23" s="25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6"/>
      <c r="T23" s="25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3"/>
    </row>
    <row r="24" spans="1:34" x14ac:dyDescent="0.4">
      <c r="A24" s="155"/>
      <c r="B24" s="145"/>
      <c r="C24" s="22" t="s">
        <v>152</v>
      </c>
      <c r="D24" s="16" t="s">
        <v>151</v>
      </c>
      <c r="E24" s="20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1"/>
      <c r="T24" s="20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8"/>
    </row>
    <row r="25" spans="1:34" x14ac:dyDescent="0.4">
      <c r="A25" s="155"/>
      <c r="B25" s="145"/>
      <c r="C25" s="22" t="s">
        <v>150</v>
      </c>
      <c r="D25" s="16" t="s">
        <v>149</v>
      </c>
      <c r="E25" s="20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1"/>
      <c r="T25" s="20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8"/>
    </row>
    <row r="26" spans="1:34" x14ac:dyDescent="0.4">
      <c r="A26" s="155"/>
      <c r="B26" s="145"/>
      <c r="C26" s="22" t="s">
        <v>148</v>
      </c>
      <c r="D26" s="16" t="s">
        <v>147</v>
      </c>
      <c r="E26" s="20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21"/>
      <c r="T26" s="20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8"/>
    </row>
    <row r="27" spans="1:34" x14ac:dyDescent="0.4">
      <c r="A27" s="155"/>
      <c r="B27" s="146"/>
      <c r="C27" s="22" t="s">
        <v>146</v>
      </c>
      <c r="D27" s="16" t="s">
        <v>145</v>
      </c>
      <c r="E27" s="20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21"/>
      <c r="T27" s="20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8"/>
    </row>
    <row r="28" spans="1:34" x14ac:dyDescent="0.4">
      <c r="A28" s="155"/>
      <c r="B28" s="147" t="s">
        <v>144</v>
      </c>
      <c r="C28" s="22" t="s">
        <v>143</v>
      </c>
      <c r="D28" s="16" t="s">
        <v>142</v>
      </c>
      <c r="E28" s="20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21"/>
      <c r="T28" s="20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8"/>
    </row>
    <row r="29" spans="1:34" x14ac:dyDescent="0.4">
      <c r="A29" s="155"/>
      <c r="B29" s="145"/>
      <c r="C29" s="22" t="s">
        <v>141</v>
      </c>
      <c r="D29" s="16" t="s">
        <v>140</v>
      </c>
      <c r="E29" s="20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21"/>
      <c r="T29" s="20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8"/>
    </row>
    <row r="30" spans="1:34" x14ac:dyDescent="0.4">
      <c r="A30" s="155"/>
      <c r="B30" s="145"/>
      <c r="C30" s="22" t="s">
        <v>139</v>
      </c>
      <c r="D30" s="16" t="s">
        <v>138</v>
      </c>
      <c r="E30" s="20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21"/>
      <c r="T30" s="20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8"/>
    </row>
    <row r="31" spans="1:34" x14ac:dyDescent="0.4">
      <c r="A31" s="155"/>
      <c r="B31" s="145"/>
      <c r="C31" s="22" t="s">
        <v>137</v>
      </c>
      <c r="D31" s="16" t="s">
        <v>136</v>
      </c>
      <c r="E31" s="20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21"/>
      <c r="T31" s="20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8"/>
    </row>
    <row r="32" spans="1:34" x14ac:dyDescent="0.4">
      <c r="A32" s="155"/>
      <c r="B32" s="146"/>
      <c r="C32" s="22" t="s">
        <v>135</v>
      </c>
      <c r="D32" s="16" t="s">
        <v>134</v>
      </c>
      <c r="E32" s="20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21"/>
      <c r="T32" s="20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8"/>
    </row>
    <row r="33" spans="1:34" x14ac:dyDescent="0.4">
      <c r="A33" s="155"/>
      <c r="B33" s="147" t="s">
        <v>133</v>
      </c>
      <c r="C33" s="22" t="s">
        <v>132</v>
      </c>
      <c r="D33" s="16" t="s">
        <v>131</v>
      </c>
      <c r="E33" s="20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21"/>
      <c r="T33" s="20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8"/>
    </row>
    <row r="34" spans="1:34" x14ac:dyDescent="0.4">
      <c r="A34" s="155"/>
      <c r="B34" s="145"/>
      <c r="C34" s="22" t="s">
        <v>130</v>
      </c>
      <c r="D34" s="16" t="s">
        <v>129</v>
      </c>
      <c r="E34" s="20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21"/>
      <c r="T34" s="20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8"/>
    </row>
    <row r="35" spans="1:34" x14ac:dyDescent="0.4">
      <c r="A35" s="155"/>
      <c r="B35" s="145"/>
      <c r="C35" s="22" t="s">
        <v>128</v>
      </c>
      <c r="D35" s="16" t="s">
        <v>127</v>
      </c>
      <c r="E35" s="20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21"/>
      <c r="T35" s="20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8"/>
    </row>
    <row r="36" spans="1:34" x14ac:dyDescent="0.4">
      <c r="A36" s="155"/>
      <c r="B36" s="145"/>
      <c r="C36" s="22" t="s">
        <v>126</v>
      </c>
      <c r="D36" s="16" t="s">
        <v>125</v>
      </c>
      <c r="E36" s="20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21"/>
      <c r="T36" s="20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8"/>
    </row>
    <row r="37" spans="1:34" x14ac:dyDescent="0.4">
      <c r="A37" s="156"/>
      <c r="B37" s="148"/>
      <c r="C37" s="17" t="s">
        <v>124</v>
      </c>
      <c r="D37" s="16" t="s">
        <v>123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5"/>
      <c r="T37" s="14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2"/>
    </row>
  </sheetData>
  <sheetProtection sheet="1" objects="1" scenarios="1" selectLockedCells="1"/>
  <mergeCells count="16">
    <mergeCell ref="B28:B32"/>
    <mergeCell ref="B33:B37"/>
    <mergeCell ref="A8:A22"/>
    <mergeCell ref="A23:A37"/>
    <mergeCell ref="B23:B27"/>
    <mergeCell ref="T4:AH4"/>
    <mergeCell ref="E4:S4"/>
    <mergeCell ref="B8:B12"/>
    <mergeCell ref="B13:B17"/>
    <mergeCell ref="B18:B22"/>
    <mergeCell ref="AD5:AH5"/>
    <mergeCell ref="E5:I5"/>
    <mergeCell ref="J5:N5"/>
    <mergeCell ref="O5:S5"/>
    <mergeCell ref="T5:X5"/>
    <mergeCell ref="Y5:AC5"/>
  </mergeCells>
  <phoneticPr fontId="5"/>
  <conditionalFormatting sqref="E8:AH37">
    <cfRule type="expression" priority="1" stopIfTrue="1">
      <formula>OR(ISNUMBER(E8)=FALSE,E8&lt;=0)</formula>
    </cfRule>
    <cfRule type="cellIs" dxfId="92" priority="2" stopIfTrue="1" operator="lessThan">
      <formula>4</formula>
    </cfRule>
    <cfRule type="cellIs" dxfId="91" priority="3" stopIfTrue="1" operator="lessThan">
      <formula>5</formula>
    </cfRule>
    <cfRule type="cellIs" dxfId="90" priority="4" stopIfTrue="1" operator="lessThan">
      <formula>6</formula>
    </cfRule>
    <cfRule type="cellIs" dxfId="89" priority="5" stopIfTrue="1" operator="greaterThanOrEqual">
      <formula>10</formula>
    </cfRule>
    <cfRule type="cellIs" dxfId="88" priority="6" stopIfTrue="1" operator="greaterThanOrEqual">
      <formula>9</formula>
    </cfRule>
    <cfRule type="cellIs" dxfId="87" priority="7" stopIfTrue="1" operator="greaterThanOrEqual">
      <formula>8</formula>
    </cfRule>
    <cfRule type="cellIs" dxfId="86" priority="8" stopIfTrue="1" operator="greaterThanOrEqual">
      <formula>7</formula>
    </cfRule>
  </conditionalFormatting>
  <dataValidations count="1">
    <dataValidation type="decimal" imeMode="off" operator="greaterThan" allowBlank="1" showInputMessage="1" showErrorMessage="1" errorTitle="数値入力" error="プラスの数値を入力してください" sqref="E8:AH37" xr:uid="{DFE7E20A-D428-1C4D-B2BB-ADD0971D7FF4}">
      <formula1>0</formula1>
    </dataValidation>
  </dataValidations>
  <pageMargins left="0.3543307086614173" right="0.3543307086614173" top="0.94488188976377951" bottom="0.3543307086614173" header="0.31496062992125984" footer="0.31496062992125984"/>
  <pageSetup paperSize="9" scale="56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B8F5-B849-2642-9241-5530D60DDE98}">
  <sheetPr codeName="Sheet2"/>
  <dimension ref="A1:Z901"/>
  <sheetViews>
    <sheetView showGridLines="0" topLeftCell="E1" zoomScaleNormal="100" workbookViewId="0">
      <selection activeCell="M2" sqref="M2"/>
    </sheetView>
  </sheetViews>
  <sheetFormatPr defaultColWidth="10.125" defaultRowHeight="19.5" x14ac:dyDescent="0.4"/>
  <cols>
    <col min="1" max="1" width="5.625" style="46" bestFit="1" customWidth="1"/>
    <col min="2" max="3" width="4.375" style="46" bestFit="1" customWidth="1"/>
    <col min="4" max="4" width="6" style="46" bestFit="1" customWidth="1"/>
    <col min="5" max="5" width="10" style="46" bestFit="1" customWidth="1"/>
    <col min="6" max="6" width="5.625" style="46" bestFit="1" customWidth="1"/>
    <col min="7" max="7" width="8" style="46" bestFit="1" customWidth="1"/>
    <col min="8" max="8" width="10" style="46" bestFit="1" customWidth="1"/>
    <col min="9" max="9" width="8.125" style="46" bestFit="1" customWidth="1"/>
    <col min="10" max="10" width="6" style="46" bestFit="1" customWidth="1"/>
    <col min="11" max="11" width="3.75" style="46" customWidth="1"/>
    <col min="12" max="12" width="5.75" style="46" bestFit="1" customWidth="1"/>
    <col min="13" max="13" width="9.75" style="46" bestFit="1" customWidth="1"/>
    <col min="14" max="14" width="5.5" style="46" bestFit="1" customWidth="1"/>
    <col min="15" max="15" width="7.75" style="46" bestFit="1" customWidth="1"/>
    <col min="16" max="16" width="10.125" style="46" bestFit="1" customWidth="1"/>
    <col min="17" max="17" width="8" style="46" bestFit="1" customWidth="1"/>
    <col min="18" max="18" width="5.75" style="46" bestFit="1" customWidth="1"/>
    <col min="19" max="19" width="3.75" style="46" customWidth="1"/>
    <col min="20" max="20" width="5.75" style="46" bestFit="1" customWidth="1"/>
    <col min="21" max="21" width="9.75" style="46" bestFit="1" customWidth="1"/>
    <col min="22" max="22" width="5.5" style="46" bestFit="1" customWidth="1"/>
    <col min="23" max="23" width="7.75" style="46" bestFit="1" customWidth="1"/>
    <col min="24" max="24" width="10.125" style="46" bestFit="1" customWidth="1"/>
    <col min="25" max="25" width="8" style="46" bestFit="1" customWidth="1"/>
    <col min="26" max="26" width="5.75" style="46" bestFit="1" customWidth="1"/>
    <col min="27" max="16384" width="10.125" style="46"/>
  </cols>
  <sheetData>
    <row r="1" spans="1:26" x14ac:dyDescent="0.4">
      <c r="A1" s="57" t="s">
        <v>198</v>
      </c>
      <c r="B1" s="56" t="s">
        <v>196</v>
      </c>
      <c r="C1" s="55" t="s">
        <v>195</v>
      </c>
      <c r="D1" s="62" t="s">
        <v>197</v>
      </c>
      <c r="E1" s="54" t="s">
        <v>194</v>
      </c>
      <c r="F1" s="66"/>
      <c r="G1" s="94" t="s">
        <v>234</v>
      </c>
      <c r="H1" s="94" t="s">
        <v>235</v>
      </c>
      <c r="I1" s="93" t="s">
        <v>233</v>
      </c>
      <c r="J1" s="87" t="s">
        <v>232</v>
      </c>
      <c r="K1" s="83"/>
      <c r="L1" s="62" t="str">
        <f>D1</f>
        <v>順位</v>
      </c>
      <c r="M1" s="54" t="str">
        <f>E1</f>
        <v>連接速度</v>
      </c>
      <c r="N1" s="66"/>
      <c r="O1" s="66" t="str">
        <f t="shared" ref="O1:R1" si="0">G1</f>
        <v>薙刀式</v>
      </c>
      <c r="P1" s="66" t="str">
        <f t="shared" si="0"/>
        <v>2キー</v>
      </c>
      <c r="Q1" s="53" t="str">
        <f t="shared" si="0"/>
        <v>qwerty</v>
      </c>
      <c r="R1" s="62" t="str">
        <f t="shared" si="0"/>
        <v>領域</v>
      </c>
      <c r="T1" s="98" t="str">
        <f>D1</f>
        <v>順位</v>
      </c>
      <c r="U1" s="54" t="str">
        <f>E1</f>
        <v>連接速度</v>
      </c>
      <c r="V1" s="66"/>
      <c r="W1" s="66" t="str">
        <f t="shared" ref="W1:Z1" si="1">G1</f>
        <v>薙刀式</v>
      </c>
      <c r="X1" s="66" t="str">
        <f t="shared" si="1"/>
        <v>2キー</v>
      </c>
      <c r="Y1" s="53" t="str">
        <f t="shared" si="1"/>
        <v>qwerty</v>
      </c>
      <c r="Z1" s="88" t="str">
        <f t="shared" si="1"/>
        <v>領域</v>
      </c>
    </row>
    <row r="2" spans="1:26" x14ac:dyDescent="0.4">
      <c r="A2" s="52">
        <v>1</v>
      </c>
      <c r="B2" s="51">
        <f t="shared" ref="B2:B65" si="2">_xlfn.CEILING.MATH(A2/COLUMNS(InputArea))</f>
        <v>1</v>
      </c>
      <c r="C2" s="50">
        <f t="shared" ref="C2:C65" si="3">MOD(A2-1,COLUMNS(InputArea))+1</f>
        <v>1</v>
      </c>
      <c r="D2" s="63" t="e">
        <f t="shared" ref="D2:D65" si="4">_xlfn.RANK.EQ(E2,InputArea,1)</f>
        <v>#N/A</v>
      </c>
      <c r="E2" s="120" cm="1">
        <f t="array" ref="E2">INDEX(InputArea,B2,C2)</f>
        <v>0</v>
      </c>
      <c r="F2" s="61" t="str">
        <f t="shared" ref="F2:F65" si="5">_xlfn.CONCAT(INDEX(RowName,B2),INDEX(ColName,,C2))</f>
        <v>QQ</v>
      </c>
      <c r="G2" s="61" t="str">
        <f t="shared" ref="G2:G65" si="6">_xlfn.CONCAT(INDEX(RowKana,B2),INDEX(ColKana,,C2))</f>
        <v>ヴヴ</v>
      </c>
      <c r="H2" s="132"/>
      <c r="I2" s="133" t="s">
        <v>347</v>
      </c>
      <c r="J2" s="86">
        <f>(_xlfn.CEILING.MATH(B2/15)-1)*2+_xlfn.CEILING.MATH(C2/15)-1</f>
        <v>0</v>
      </c>
      <c r="K2" s="83"/>
      <c r="L2" s="95" t="e" cm="1">
        <f t="array" ref="L2:R901">_xlfn._xlws.SORT(D2:J901,2)</f>
        <v>#N/A</v>
      </c>
      <c r="M2" s="123">
        <v>0</v>
      </c>
      <c r="N2" s="96" t="str">
        <v>QQ</v>
      </c>
      <c r="O2" s="124" t="str">
        <v>ヴヴ</v>
      </c>
      <c r="P2" s="124">
        <v>0</v>
      </c>
      <c r="Q2" s="125" t="str">
        <v>っｑ</v>
      </c>
      <c r="R2" s="97">
        <v>0</v>
      </c>
      <c r="T2" s="99" t="e" cm="1">
        <f t="array" ref="T2:Z901">_xlfn._xlws.SORT(D2:J901,2,-1)</f>
        <v>#N/A</v>
      </c>
      <c r="U2" s="120">
        <v>0</v>
      </c>
      <c r="V2" s="61" t="str">
        <v>QQ</v>
      </c>
      <c r="W2" s="130" t="str">
        <v>ヴヴ</v>
      </c>
      <c r="X2" s="130">
        <v>0</v>
      </c>
      <c r="Y2" s="131" t="str">
        <v>っｑ</v>
      </c>
      <c r="Z2" s="89">
        <v>0</v>
      </c>
    </row>
    <row r="3" spans="1:26" x14ac:dyDescent="0.4">
      <c r="A3" s="52">
        <v>2</v>
      </c>
      <c r="B3" s="51">
        <f t="shared" si="2"/>
        <v>1</v>
      </c>
      <c r="C3" s="50">
        <f t="shared" si="3"/>
        <v>2</v>
      </c>
      <c r="D3" s="64" t="e">
        <f t="shared" si="4"/>
        <v>#N/A</v>
      </c>
      <c r="E3" s="121" cm="1">
        <f t="array" ref="E3">INDEX(InputArea,B3,C3)</f>
        <v>0</v>
      </c>
      <c r="F3" s="59" t="str">
        <f t="shared" si="5"/>
        <v>QW</v>
      </c>
      <c r="G3" s="59" t="str">
        <f t="shared" si="6"/>
        <v>ヴき</v>
      </c>
      <c r="H3" s="134"/>
      <c r="I3" s="135"/>
      <c r="J3" s="84">
        <f t="shared" ref="J3:J66" si="7">(_xlfn.CEILING.MATH(B3/15)-1)*2+_xlfn.CEILING.MATH(C3/15)-1</f>
        <v>0</v>
      </c>
      <c r="K3" s="83"/>
      <c r="L3" s="64" t="e">
        <v>#N/A</v>
      </c>
      <c r="M3" s="121">
        <v>0</v>
      </c>
      <c r="N3" s="59" t="str">
        <v>QW</v>
      </c>
      <c r="O3" s="126" t="str">
        <v>ヴき</v>
      </c>
      <c r="P3" s="126">
        <v>0</v>
      </c>
      <c r="Q3" s="127">
        <v>0</v>
      </c>
      <c r="R3" s="84">
        <v>0</v>
      </c>
      <c r="T3" s="100" t="e">
        <v>#N/A</v>
      </c>
      <c r="U3" s="121">
        <v>0</v>
      </c>
      <c r="V3" s="59" t="str">
        <v>QW</v>
      </c>
      <c r="W3" s="126" t="str">
        <v>ヴき</v>
      </c>
      <c r="X3" s="126">
        <v>0</v>
      </c>
      <c r="Y3" s="127">
        <v>0</v>
      </c>
      <c r="Z3" s="90">
        <v>0</v>
      </c>
    </row>
    <row r="4" spans="1:26" x14ac:dyDescent="0.4">
      <c r="A4" s="52">
        <v>3</v>
      </c>
      <c r="B4" s="51">
        <f t="shared" si="2"/>
        <v>1</v>
      </c>
      <c r="C4" s="50">
        <f t="shared" si="3"/>
        <v>3</v>
      </c>
      <c r="D4" s="64" t="e">
        <f t="shared" si="4"/>
        <v>#N/A</v>
      </c>
      <c r="E4" s="121" cm="1">
        <f t="array" ref="E4">INDEX(InputArea,B4,C4)</f>
        <v>0</v>
      </c>
      <c r="F4" s="59" t="str">
        <f t="shared" si="5"/>
        <v>QE</v>
      </c>
      <c r="G4" s="59" t="str">
        <f t="shared" si="6"/>
        <v>ヴて</v>
      </c>
      <c r="H4" s="134"/>
      <c r="I4" s="136" t="s">
        <v>295</v>
      </c>
      <c r="J4" s="84">
        <f t="shared" si="7"/>
        <v>0</v>
      </c>
      <c r="K4" s="83"/>
      <c r="L4" s="64" t="e">
        <v>#N/A</v>
      </c>
      <c r="M4" s="121">
        <v>0</v>
      </c>
      <c r="N4" s="59" t="str">
        <v>QE</v>
      </c>
      <c r="O4" s="126" t="str">
        <v>ヴて</v>
      </c>
      <c r="P4" s="126">
        <v>0</v>
      </c>
      <c r="Q4" s="127" t="str">
        <v>くぇ</v>
      </c>
      <c r="R4" s="84">
        <v>0</v>
      </c>
      <c r="T4" s="100" t="e">
        <v>#N/A</v>
      </c>
      <c r="U4" s="121">
        <v>0</v>
      </c>
      <c r="V4" s="59" t="str">
        <v>QE</v>
      </c>
      <c r="W4" s="126" t="str">
        <v>ヴて</v>
      </c>
      <c r="X4" s="126">
        <v>0</v>
      </c>
      <c r="Y4" s="127" t="str">
        <v>くぇ</v>
      </c>
      <c r="Z4" s="90">
        <v>0</v>
      </c>
    </row>
    <row r="5" spans="1:26" x14ac:dyDescent="0.4">
      <c r="A5" s="52">
        <v>4</v>
      </c>
      <c r="B5" s="51">
        <f t="shared" si="2"/>
        <v>1</v>
      </c>
      <c r="C5" s="50">
        <f t="shared" si="3"/>
        <v>4</v>
      </c>
      <c r="D5" s="64" t="e">
        <f t="shared" si="4"/>
        <v>#N/A</v>
      </c>
      <c r="E5" s="121" cm="1">
        <f t="array" ref="E5">INDEX(InputArea,B5,C5)</f>
        <v>0</v>
      </c>
      <c r="F5" s="59" t="str">
        <f t="shared" si="5"/>
        <v>QR</v>
      </c>
      <c r="G5" s="59" t="str">
        <f t="shared" si="6"/>
        <v>ヴし</v>
      </c>
      <c r="H5" s="134"/>
      <c r="I5" s="135"/>
      <c r="J5" s="84">
        <f t="shared" si="7"/>
        <v>0</v>
      </c>
      <c r="K5" s="83"/>
      <c r="L5" s="64" t="e">
        <v>#N/A</v>
      </c>
      <c r="M5" s="121">
        <v>0</v>
      </c>
      <c r="N5" s="59" t="str">
        <v>QR</v>
      </c>
      <c r="O5" s="126" t="str">
        <v>ヴし</v>
      </c>
      <c r="P5" s="126">
        <v>0</v>
      </c>
      <c r="Q5" s="127">
        <v>0</v>
      </c>
      <c r="R5" s="84">
        <v>0</v>
      </c>
      <c r="T5" s="100" t="e">
        <v>#N/A</v>
      </c>
      <c r="U5" s="121">
        <v>0</v>
      </c>
      <c r="V5" s="59" t="str">
        <v>QR</v>
      </c>
      <c r="W5" s="126" t="str">
        <v>ヴし</v>
      </c>
      <c r="X5" s="126">
        <v>0</v>
      </c>
      <c r="Y5" s="127">
        <v>0</v>
      </c>
      <c r="Z5" s="90">
        <v>0</v>
      </c>
    </row>
    <row r="6" spans="1:26" x14ac:dyDescent="0.4">
      <c r="A6" s="52">
        <v>5</v>
      </c>
      <c r="B6" s="51">
        <f t="shared" si="2"/>
        <v>1</v>
      </c>
      <c r="C6" s="50">
        <f t="shared" si="3"/>
        <v>5</v>
      </c>
      <c r="D6" s="64" t="e">
        <f t="shared" si="4"/>
        <v>#N/A</v>
      </c>
      <c r="E6" s="121" cm="1">
        <f t="array" ref="E6">INDEX(InputArea,B6,C6)</f>
        <v>0</v>
      </c>
      <c r="F6" s="59" t="str">
        <f t="shared" si="5"/>
        <v>QT</v>
      </c>
      <c r="G6" s="59" t="str">
        <f t="shared" si="6"/>
        <v>ヴ←</v>
      </c>
      <c r="H6" s="134"/>
      <c r="I6" s="135"/>
      <c r="J6" s="84">
        <f t="shared" si="7"/>
        <v>0</v>
      </c>
      <c r="K6" s="83"/>
      <c r="L6" s="64" t="e">
        <v>#N/A</v>
      </c>
      <c r="M6" s="121">
        <v>0</v>
      </c>
      <c r="N6" s="59" t="str">
        <v>QT</v>
      </c>
      <c r="O6" s="126" t="str">
        <v>ヴ←</v>
      </c>
      <c r="P6" s="126">
        <v>0</v>
      </c>
      <c r="Q6" s="127">
        <v>0</v>
      </c>
      <c r="R6" s="84">
        <v>0</v>
      </c>
      <c r="T6" s="100" t="e">
        <v>#N/A</v>
      </c>
      <c r="U6" s="121">
        <v>0</v>
      </c>
      <c r="V6" s="59" t="str">
        <v>QT</v>
      </c>
      <c r="W6" s="126" t="str">
        <v>ヴ←</v>
      </c>
      <c r="X6" s="126">
        <v>0</v>
      </c>
      <c r="Y6" s="127">
        <v>0</v>
      </c>
      <c r="Z6" s="90">
        <v>0</v>
      </c>
    </row>
    <row r="7" spans="1:26" x14ac:dyDescent="0.4">
      <c r="A7" s="52">
        <v>6</v>
      </c>
      <c r="B7" s="51">
        <f t="shared" si="2"/>
        <v>1</v>
      </c>
      <c r="C7" s="50">
        <f t="shared" si="3"/>
        <v>6</v>
      </c>
      <c r="D7" s="64" t="e">
        <f t="shared" si="4"/>
        <v>#N/A</v>
      </c>
      <c r="E7" s="121" cm="1">
        <f t="array" ref="E7">INDEX(InputArea,B7,C7)</f>
        <v>0</v>
      </c>
      <c r="F7" s="59" t="str">
        <f t="shared" si="5"/>
        <v>QA</v>
      </c>
      <c r="G7" s="59" t="str">
        <f t="shared" si="6"/>
        <v>ヴろ</v>
      </c>
      <c r="H7" s="134"/>
      <c r="I7" s="136" t="s">
        <v>296</v>
      </c>
      <c r="J7" s="84">
        <f t="shared" si="7"/>
        <v>0</v>
      </c>
      <c r="K7" s="83"/>
      <c r="L7" s="64" t="e">
        <v>#N/A</v>
      </c>
      <c r="M7" s="121">
        <v>0</v>
      </c>
      <c r="N7" s="59" t="str">
        <v>QA</v>
      </c>
      <c r="O7" s="126" t="str">
        <v>ヴろ</v>
      </c>
      <c r="P7" s="126">
        <v>0</v>
      </c>
      <c r="Q7" s="127" t="str">
        <v>くぁ</v>
      </c>
      <c r="R7" s="84">
        <v>0</v>
      </c>
      <c r="T7" s="100" t="e">
        <v>#N/A</v>
      </c>
      <c r="U7" s="121">
        <v>0</v>
      </c>
      <c r="V7" s="59" t="str">
        <v>QA</v>
      </c>
      <c r="W7" s="126" t="str">
        <v>ヴろ</v>
      </c>
      <c r="X7" s="126">
        <v>0</v>
      </c>
      <c r="Y7" s="127" t="str">
        <v>くぁ</v>
      </c>
      <c r="Z7" s="90">
        <v>0</v>
      </c>
    </row>
    <row r="8" spans="1:26" x14ac:dyDescent="0.4">
      <c r="A8" s="52">
        <v>7</v>
      </c>
      <c r="B8" s="51">
        <f t="shared" si="2"/>
        <v>1</v>
      </c>
      <c r="C8" s="50">
        <f t="shared" si="3"/>
        <v>7</v>
      </c>
      <c r="D8" s="64" t="e">
        <f t="shared" si="4"/>
        <v>#N/A</v>
      </c>
      <c r="E8" s="121" cm="1">
        <f t="array" ref="E8">INDEX(InputArea,B8,C8)</f>
        <v>0</v>
      </c>
      <c r="F8" s="59" t="str">
        <f t="shared" si="5"/>
        <v>QS</v>
      </c>
      <c r="G8" s="59" t="str">
        <f t="shared" si="6"/>
        <v>ヴけ</v>
      </c>
      <c r="H8" s="134"/>
      <c r="I8" s="135"/>
      <c r="J8" s="84">
        <f t="shared" si="7"/>
        <v>0</v>
      </c>
      <c r="K8" s="83"/>
      <c r="L8" s="64" t="e">
        <v>#N/A</v>
      </c>
      <c r="M8" s="121">
        <v>0</v>
      </c>
      <c r="N8" s="59" t="str">
        <v>QS</v>
      </c>
      <c r="O8" s="126" t="str">
        <v>ヴけ</v>
      </c>
      <c r="P8" s="126">
        <v>0</v>
      </c>
      <c r="Q8" s="127">
        <v>0</v>
      </c>
      <c r="R8" s="84">
        <v>0</v>
      </c>
      <c r="T8" s="100" t="e">
        <v>#N/A</v>
      </c>
      <c r="U8" s="121">
        <v>0</v>
      </c>
      <c r="V8" s="59" t="str">
        <v>QS</v>
      </c>
      <c r="W8" s="126" t="str">
        <v>ヴけ</v>
      </c>
      <c r="X8" s="126">
        <v>0</v>
      </c>
      <c r="Y8" s="127">
        <v>0</v>
      </c>
      <c r="Z8" s="90">
        <v>0</v>
      </c>
    </row>
    <row r="9" spans="1:26" x14ac:dyDescent="0.4">
      <c r="A9" s="52">
        <v>8</v>
      </c>
      <c r="B9" s="51">
        <f t="shared" si="2"/>
        <v>1</v>
      </c>
      <c r="C9" s="50">
        <f t="shared" si="3"/>
        <v>8</v>
      </c>
      <c r="D9" s="64" t="e">
        <f t="shared" si="4"/>
        <v>#N/A</v>
      </c>
      <c r="E9" s="121" cm="1">
        <f t="array" ref="E9">INDEX(InputArea,B9,C9)</f>
        <v>0</v>
      </c>
      <c r="F9" s="59" t="str">
        <f t="shared" si="5"/>
        <v>QD</v>
      </c>
      <c r="G9" s="59" t="str">
        <f t="shared" si="6"/>
        <v>ヴと</v>
      </c>
      <c r="H9" s="134"/>
      <c r="I9" s="135"/>
      <c r="J9" s="84">
        <f t="shared" si="7"/>
        <v>0</v>
      </c>
      <c r="K9" s="83"/>
      <c r="L9" s="64" t="e">
        <v>#N/A</v>
      </c>
      <c r="M9" s="121">
        <v>0</v>
      </c>
      <c r="N9" s="59" t="str">
        <v>QD</v>
      </c>
      <c r="O9" s="126" t="str">
        <v>ヴと</v>
      </c>
      <c r="P9" s="126">
        <v>0</v>
      </c>
      <c r="Q9" s="127">
        <v>0</v>
      </c>
      <c r="R9" s="84">
        <v>0</v>
      </c>
      <c r="T9" s="100" t="e">
        <v>#N/A</v>
      </c>
      <c r="U9" s="121">
        <v>0</v>
      </c>
      <c r="V9" s="59" t="str">
        <v>QD</v>
      </c>
      <c r="W9" s="126" t="str">
        <v>ヴと</v>
      </c>
      <c r="X9" s="126">
        <v>0</v>
      </c>
      <c r="Y9" s="127">
        <v>0</v>
      </c>
      <c r="Z9" s="90">
        <v>0</v>
      </c>
    </row>
    <row r="10" spans="1:26" x14ac:dyDescent="0.4">
      <c r="A10" s="52">
        <v>9</v>
      </c>
      <c r="B10" s="51">
        <f t="shared" si="2"/>
        <v>1</v>
      </c>
      <c r="C10" s="50">
        <f t="shared" si="3"/>
        <v>9</v>
      </c>
      <c r="D10" s="64" t="e">
        <f t="shared" si="4"/>
        <v>#N/A</v>
      </c>
      <c r="E10" s="121" cm="1">
        <f t="array" ref="E10">INDEX(InputArea,B10,C10)</f>
        <v>0</v>
      </c>
      <c r="F10" s="59" t="str">
        <f t="shared" si="5"/>
        <v>QF</v>
      </c>
      <c r="G10" s="59" t="str">
        <f t="shared" si="6"/>
        <v>ヴか</v>
      </c>
      <c r="H10" s="134"/>
      <c r="I10" s="135"/>
      <c r="J10" s="84">
        <f t="shared" si="7"/>
        <v>0</v>
      </c>
      <c r="K10" s="83"/>
      <c r="L10" s="64" t="e">
        <v>#N/A</v>
      </c>
      <c r="M10" s="121">
        <v>0</v>
      </c>
      <c r="N10" s="59" t="str">
        <v>QF</v>
      </c>
      <c r="O10" s="126" t="str">
        <v>ヴか</v>
      </c>
      <c r="P10" s="126">
        <v>0</v>
      </c>
      <c r="Q10" s="127">
        <v>0</v>
      </c>
      <c r="R10" s="84">
        <v>0</v>
      </c>
      <c r="T10" s="100" t="e">
        <v>#N/A</v>
      </c>
      <c r="U10" s="121">
        <v>0</v>
      </c>
      <c r="V10" s="59" t="str">
        <v>QF</v>
      </c>
      <c r="W10" s="126" t="str">
        <v>ヴか</v>
      </c>
      <c r="X10" s="126">
        <v>0</v>
      </c>
      <c r="Y10" s="127">
        <v>0</v>
      </c>
      <c r="Z10" s="90">
        <v>0</v>
      </c>
    </row>
    <row r="11" spans="1:26" x14ac:dyDescent="0.4">
      <c r="A11" s="52">
        <v>10</v>
      </c>
      <c r="B11" s="51">
        <f t="shared" si="2"/>
        <v>1</v>
      </c>
      <c r="C11" s="50">
        <f t="shared" si="3"/>
        <v>10</v>
      </c>
      <c r="D11" s="64" t="e">
        <f t="shared" si="4"/>
        <v>#N/A</v>
      </c>
      <c r="E11" s="121" cm="1">
        <f t="array" ref="E11">INDEX(InputArea,B11,C11)</f>
        <v>0</v>
      </c>
      <c r="F11" s="59" t="str">
        <f t="shared" si="5"/>
        <v>QG</v>
      </c>
      <c r="G11" s="59" t="str">
        <f t="shared" si="6"/>
        <v>ヴっ</v>
      </c>
      <c r="H11" s="134"/>
      <c r="I11" s="135"/>
      <c r="J11" s="84">
        <f t="shared" si="7"/>
        <v>0</v>
      </c>
      <c r="K11" s="83"/>
      <c r="L11" s="64" t="e">
        <v>#N/A</v>
      </c>
      <c r="M11" s="121">
        <v>0</v>
      </c>
      <c r="N11" s="59" t="str">
        <v>QG</v>
      </c>
      <c r="O11" s="126" t="str">
        <v>ヴっ</v>
      </c>
      <c r="P11" s="126">
        <v>0</v>
      </c>
      <c r="Q11" s="127">
        <v>0</v>
      </c>
      <c r="R11" s="84">
        <v>0</v>
      </c>
      <c r="T11" s="100" t="e">
        <v>#N/A</v>
      </c>
      <c r="U11" s="121">
        <v>0</v>
      </c>
      <c r="V11" s="59" t="str">
        <v>QG</v>
      </c>
      <c r="W11" s="126" t="str">
        <v>ヴっ</v>
      </c>
      <c r="X11" s="126">
        <v>0</v>
      </c>
      <c r="Y11" s="127">
        <v>0</v>
      </c>
      <c r="Z11" s="90">
        <v>0</v>
      </c>
    </row>
    <row r="12" spans="1:26" x14ac:dyDescent="0.4">
      <c r="A12" s="52">
        <v>11</v>
      </c>
      <c r="B12" s="51">
        <f t="shared" si="2"/>
        <v>1</v>
      </c>
      <c r="C12" s="50">
        <f t="shared" si="3"/>
        <v>11</v>
      </c>
      <c r="D12" s="64" t="e">
        <f t="shared" si="4"/>
        <v>#N/A</v>
      </c>
      <c r="E12" s="121" cm="1">
        <f t="array" ref="E12">INDEX(InputArea,B12,C12)</f>
        <v>0</v>
      </c>
      <c r="F12" s="59" t="str">
        <f t="shared" si="5"/>
        <v>QZ</v>
      </c>
      <c r="G12" s="59" t="str">
        <f t="shared" si="6"/>
        <v>ヴほ</v>
      </c>
      <c r="H12" s="134"/>
      <c r="I12" s="135"/>
      <c r="J12" s="84">
        <f t="shared" si="7"/>
        <v>0</v>
      </c>
      <c r="K12" s="83"/>
      <c r="L12" s="64" t="e">
        <v>#N/A</v>
      </c>
      <c r="M12" s="121">
        <v>0</v>
      </c>
      <c r="N12" s="59" t="str">
        <v>QZ</v>
      </c>
      <c r="O12" s="126" t="str">
        <v>ヴほ</v>
      </c>
      <c r="P12" s="126">
        <v>0</v>
      </c>
      <c r="Q12" s="127">
        <v>0</v>
      </c>
      <c r="R12" s="84">
        <v>0</v>
      </c>
      <c r="T12" s="100" t="e">
        <v>#N/A</v>
      </c>
      <c r="U12" s="121">
        <v>0</v>
      </c>
      <c r="V12" s="59" t="str">
        <v>QZ</v>
      </c>
      <c r="W12" s="126" t="str">
        <v>ヴほ</v>
      </c>
      <c r="X12" s="126">
        <v>0</v>
      </c>
      <c r="Y12" s="127">
        <v>0</v>
      </c>
      <c r="Z12" s="90">
        <v>0</v>
      </c>
    </row>
    <row r="13" spans="1:26" x14ac:dyDescent="0.4">
      <c r="A13" s="52">
        <v>12</v>
      </c>
      <c r="B13" s="51">
        <f t="shared" si="2"/>
        <v>1</v>
      </c>
      <c r="C13" s="50">
        <f t="shared" si="3"/>
        <v>12</v>
      </c>
      <c r="D13" s="64" t="e">
        <f t="shared" si="4"/>
        <v>#N/A</v>
      </c>
      <c r="E13" s="121" cm="1">
        <f t="array" ref="E13">INDEX(InputArea,B13,C13)</f>
        <v>0</v>
      </c>
      <c r="F13" s="59" t="str">
        <f t="shared" si="5"/>
        <v>QX</v>
      </c>
      <c r="G13" s="59" t="str">
        <f t="shared" si="6"/>
        <v>ヴひ</v>
      </c>
      <c r="H13" s="134"/>
      <c r="I13" s="135"/>
      <c r="J13" s="84">
        <f t="shared" si="7"/>
        <v>0</v>
      </c>
      <c r="K13" s="83"/>
      <c r="L13" s="64" t="e">
        <v>#N/A</v>
      </c>
      <c r="M13" s="121">
        <v>0</v>
      </c>
      <c r="N13" s="59" t="str">
        <v>QX</v>
      </c>
      <c r="O13" s="126" t="str">
        <v>ヴひ</v>
      </c>
      <c r="P13" s="126">
        <v>0</v>
      </c>
      <c r="Q13" s="127">
        <v>0</v>
      </c>
      <c r="R13" s="84">
        <v>0</v>
      </c>
      <c r="T13" s="100" t="e">
        <v>#N/A</v>
      </c>
      <c r="U13" s="121">
        <v>0</v>
      </c>
      <c r="V13" s="59" t="str">
        <v>QX</v>
      </c>
      <c r="W13" s="126" t="str">
        <v>ヴひ</v>
      </c>
      <c r="X13" s="126">
        <v>0</v>
      </c>
      <c r="Y13" s="127">
        <v>0</v>
      </c>
      <c r="Z13" s="90">
        <v>0</v>
      </c>
    </row>
    <row r="14" spans="1:26" x14ac:dyDescent="0.4">
      <c r="A14" s="52">
        <v>13</v>
      </c>
      <c r="B14" s="51">
        <f t="shared" si="2"/>
        <v>1</v>
      </c>
      <c r="C14" s="50">
        <f t="shared" si="3"/>
        <v>13</v>
      </c>
      <c r="D14" s="64" t="e">
        <f t="shared" si="4"/>
        <v>#N/A</v>
      </c>
      <c r="E14" s="121" cm="1">
        <f t="array" ref="E14">INDEX(InputArea,B14,C14)</f>
        <v>0</v>
      </c>
      <c r="F14" s="59" t="str">
        <f t="shared" si="5"/>
        <v>QC</v>
      </c>
      <c r="G14" s="59" t="str">
        <f t="shared" si="6"/>
        <v>ヴは</v>
      </c>
      <c r="H14" s="134"/>
      <c r="I14" s="135"/>
      <c r="J14" s="84">
        <f t="shared" si="7"/>
        <v>0</v>
      </c>
      <c r="K14" s="83"/>
      <c r="L14" s="64" t="e">
        <v>#N/A</v>
      </c>
      <c r="M14" s="121">
        <v>0</v>
      </c>
      <c r="N14" s="59" t="str">
        <v>QC</v>
      </c>
      <c r="O14" s="126" t="str">
        <v>ヴは</v>
      </c>
      <c r="P14" s="126">
        <v>0</v>
      </c>
      <c r="Q14" s="127">
        <v>0</v>
      </c>
      <c r="R14" s="84">
        <v>0</v>
      </c>
      <c r="T14" s="100" t="e">
        <v>#N/A</v>
      </c>
      <c r="U14" s="121">
        <v>0</v>
      </c>
      <c r="V14" s="59" t="str">
        <v>QC</v>
      </c>
      <c r="W14" s="126" t="str">
        <v>ヴは</v>
      </c>
      <c r="X14" s="126">
        <v>0</v>
      </c>
      <c r="Y14" s="127">
        <v>0</v>
      </c>
      <c r="Z14" s="90">
        <v>0</v>
      </c>
    </row>
    <row r="15" spans="1:26" x14ac:dyDescent="0.4">
      <c r="A15" s="52">
        <v>14</v>
      </c>
      <c r="B15" s="51">
        <f t="shared" si="2"/>
        <v>1</v>
      </c>
      <c r="C15" s="50">
        <f t="shared" si="3"/>
        <v>14</v>
      </c>
      <c r="D15" s="64" t="e">
        <f t="shared" si="4"/>
        <v>#N/A</v>
      </c>
      <c r="E15" s="121" cm="1">
        <f t="array" ref="E15">INDEX(InputArea,B15,C15)</f>
        <v>0</v>
      </c>
      <c r="F15" s="59" t="str">
        <f t="shared" si="5"/>
        <v>QV</v>
      </c>
      <c r="G15" s="59" t="str">
        <f t="shared" si="6"/>
        <v>ヴこ</v>
      </c>
      <c r="H15" s="134"/>
      <c r="I15" s="135"/>
      <c r="J15" s="84">
        <f t="shared" si="7"/>
        <v>0</v>
      </c>
      <c r="K15" s="83"/>
      <c r="L15" s="64" t="e">
        <v>#N/A</v>
      </c>
      <c r="M15" s="121">
        <v>0</v>
      </c>
      <c r="N15" s="59" t="str">
        <v>QV</v>
      </c>
      <c r="O15" s="126" t="str">
        <v>ヴこ</v>
      </c>
      <c r="P15" s="126">
        <v>0</v>
      </c>
      <c r="Q15" s="127">
        <v>0</v>
      </c>
      <c r="R15" s="84">
        <v>0</v>
      </c>
      <c r="T15" s="100" t="e">
        <v>#N/A</v>
      </c>
      <c r="U15" s="121">
        <v>0</v>
      </c>
      <c r="V15" s="59" t="str">
        <v>QV</v>
      </c>
      <c r="W15" s="126" t="str">
        <v>ヴこ</v>
      </c>
      <c r="X15" s="126">
        <v>0</v>
      </c>
      <c r="Y15" s="127">
        <v>0</v>
      </c>
      <c r="Z15" s="90">
        <v>0</v>
      </c>
    </row>
    <row r="16" spans="1:26" x14ac:dyDescent="0.4">
      <c r="A16" s="52">
        <v>15</v>
      </c>
      <c r="B16" s="51">
        <f t="shared" si="2"/>
        <v>1</v>
      </c>
      <c r="C16" s="50">
        <f t="shared" si="3"/>
        <v>15</v>
      </c>
      <c r="D16" s="64" t="e">
        <f t="shared" si="4"/>
        <v>#N/A</v>
      </c>
      <c r="E16" s="121" cm="1">
        <f t="array" ref="E16">INDEX(InputArea,B16,C16)</f>
        <v>0</v>
      </c>
      <c r="F16" s="59" t="str">
        <f t="shared" si="5"/>
        <v>QB</v>
      </c>
      <c r="G16" s="59" t="str">
        <f t="shared" si="6"/>
        <v>ヴそ</v>
      </c>
      <c r="H16" s="134"/>
      <c r="I16" s="135"/>
      <c r="J16" s="84">
        <f t="shared" si="7"/>
        <v>0</v>
      </c>
      <c r="K16" s="83"/>
      <c r="L16" s="64" t="e">
        <v>#N/A</v>
      </c>
      <c r="M16" s="121">
        <v>0</v>
      </c>
      <c r="N16" s="59" t="str">
        <v>QB</v>
      </c>
      <c r="O16" s="126" t="str">
        <v>ヴそ</v>
      </c>
      <c r="P16" s="126">
        <v>0</v>
      </c>
      <c r="Q16" s="127">
        <v>0</v>
      </c>
      <c r="R16" s="84">
        <v>0</v>
      </c>
      <c r="T16" s="100" t="e">
        <v>#N/A</v>
      </c>
      <c r="U16" s="121">
        <v>0</v>
      </c>
      <c r="V16" s="59" t="str">
        <v>QB</v>
      </c>
      <c r="W16" s="126" t="str">
        <v>ヴそ</v>
      </c>
      <c r="X16" s="126">
        <v>0</v>
      </c>
      <c r="Y16" s="127">
        <v>0</v>
      </c>
      <c r="Z16" s="90">
        <v>0</v>
      </c>
    </row>
    <row r="17" spans="1:26" x14ac:dyDescent="0.4">
      <c r="A17" s="52">
        <v>16</v>
      </c>
      <c r="B17" s="51">
        <f t="shared" si="2"/>
        <v>1</v>
      </c>
      <c r="C17" s="50">
        <f t="shared" si="3"/>
        <v>16</v>
      </c>
      <c r="D17" s="64" t="e">
        <f t="shared" si="4"/>
        <v>#N/A</v>
      </c>
      <c r="E17" s="121" cm="1">
        <f t="array" ref="E17">INDEX(InputArea,B17,C17)</f>
        <v>0</v>
      </c>
      <c r="F17" s="59" t="str">
        <f t="shared" si="5"/>
        <v>QY</v>
      </c>
      <c r="G17" s="59" t="str">
        <f t="shared" si="6"/>
        <v>ヴ→</v>
      </c>
      <c r="H17" s="134"/>
      <c r="I17" s="135"/>
      <c r="J17" s="84">
        <f t="shared" si="7"/>
        <v>1</v>
      </c>
      <c r="K17" s="83"/>
      <c r="L17" s="64" t="e">
        <v>#N/A</v>
      </c>
      <c r="M17" s="121">
        <v>0</v>
      </c>
      <c r="N17" s="59" t="str">
        <v>QY</v>
      </c>
      <c r="O17" s="126" t="str">
        <v>ヴ→</v>
      </c>
      <c r="P17" s="126">
        <v>0</v>
      </c>
      <c r="Q17" s="127">
        <v>0</v>
      </c>
      <c r="R17" s="84">
        <v>1</v>
      </c>
      <c r="T17" s="100" t="e">
        <v>#N/A</v>
      </c>
      <c r="U17" s="121">
        <v>0</v>
      </c>
      <c r="V17" s="59" t="str">
        <v>QY</v>
      </c>
      <c r="W17" s="126" t="str">
        <v>ヴ→</v>
      </c>
      <c r="X17" s="126">
        <v>0</v>
      </c>
      <c r="Y17" s="127">
        <v>0</v>
      </c>
      <c r="Z17" s="90">
        <v>1</v>
      </c>
    </row>
    <row r="18" spans="1:26" x14ac:dyDescent="0.4">
      <c r="A18" s="52">
        <v>17</v>
      </c>
      <c r="B18" s="51">
        <f t="shared" si="2"/>
        <v>1</v>
      </c>
      <c r="C18" s="50">
        <f t="shared" si="3"/>
        <v>17</v>
      </c>
      <c r="D18" s="64" t="e">
        <f t="shared" si="4"/>
        <v>#N/A</v>
      </c>
      <c r="E18" s="121" cm="1">
        <f t="array" ref="E18">INDEX(InputArea,B18,C18)</f>
        <v>0</v>
      </c>
      <c r="F18" s="59" t="str">
        <f t="shared" si="5"/>
        <v>QU</v>
      </c>
      <c r="G18" s="59" t="str">
        <f t="shared" si="6"/>
        <v>ヴBS</v>
      </c>
      <c r="H18" s="134"/>
      <c r="I18" s="136" t="s">
        <v>297</v>
      </c>
      <c r="J18" s="84">
        <f t="shared" si="7"/>
        <v>1</v>
      </c>
      <c r="K18" s="83"/>
      <c r="L18" s="64" t="e">
        <v>#N/A</v>
      </c>
      <c r="M18" s="121">
        <v>0</v>
      </c>
      <c r="N18" s="59" t="str">
        <v>QU</v>
      </c>
      <c r="O18" s="126" t="str">
        <v>ヴBS</v>
      </c>
      <c r="P18" s="126">
        <v>0</v>
      </c>
      <c r="Q18" s="127" t="str">
        <v>く</v>
      </c>
      <c r="R18" s="84">
        <v>1</v>
      </c>
      <c r="T18" s="100" t="e">
        <v>#N/A</v>
      </c>
      <c r="U18" s="121">
        <v>0</v>
      </c>
      <c r="V18" s="59" t="str">
        <v>QU</v>
      </c>
      <c r="W18" s="126" t="str">
        <v>ヴBS</v>
      </c>
      <c r="X18" s="126">
        <v>0</v>
      </c>
      <c r="Y18" s="127" t="str">
        <v>く</v>
      </c>
      <c r="Z18" s="90">
        <v>1</v>
      </c>
    </row>
    <row r="19" spans="1:26" x14ac:dyDescent="0.4">
      <c r="A19" s="52">
        <v>18</v>
      </c>
      <c r="B19" s="51">
        <f t="shared" si="2"/>
        <v>1</v>
      </c>
      <c r="C19" s="50">
        <f t="shared" si="3"/>
        <v>18</v>
      </c>
      <c r="D19" s="64" t="e">
        <f t="shared" si="4"/>
        <v>#N/A</v>
      </c>
      <c r="E19" s="121" cm="1">
        <f t="array" ref="E19">INDEX(InputArea,B19,C19)</f>
        <v>0</v>
      </c>
      <c r="F19" s="59" t="str">
        <f t="shared" si="5"/>
        <v>QI</v>
      </c>
      <c r="G19" s="59" t="str">
        <f t="shared" si="6"/>
        <v>ヴる</v>
      </c>
      <c r="H19" s="137" t="s">
        <v>236</v>
      </c>
      <c r="I19" s="136" t="s">
        <v>298</v>
      </c>
      <c r="J19" s="84">
        <f t="shared" si="7"/>
        <v>1</v>
      </c>
      <c r="K19" s="83"/>
      <c r="L19" s="64" t="e">
        <v>#N/A</v>
      </c>
      <c r="M19" s="121">
        <v>0</v>
      </c>
      <c r="N19" s="59" t="str">
        <v>QI</v>
      </c>
      <c r="O19" s="126" t="str">
        <v>ヴる</v>
      </c>
      <c r="P19" s="126" t="str">
        <v>ょ</v>
      </c>
      <c r="Q19" s="127" t="str">
        <v>くぃ</v>
      </c>
      <c r="R19" s="84">
        <v>1</v>
      </c>
      <c r="T19" s="100" t="e">
        <v>#N/A</v>
      </c>
      <c r="U19" s="121">
        <v>0</v>
      </c>
      <c r="V19" s="59" t="str">
        <v>QI</v>
      </c>
      <c r="W19" s="126" t="str">
        <v>ヴる</v>
      </c>
      <c r="X19" s="126" t="str">
        <v>ょ</v>
      </c>
      <c r="Y19" s="127" t="str">
        <v>くぃ</v>
      </c>
      <c r="Z19" s="90">
        <v>1</v>
      </c>
    </row>
    <row r="20" spans="1:26" x14ac:dyDescent="0.4">
      <c r="A20" s="52">
        <v>19</v>
      </c>
      <c r="B20" s="51">
        <f t="shared" si="2"/>
        <v>1</v>
      </c>
      <c r="C20" s="50">
        <f t="shared" si="3"/>
        <v>19</v>
      </c>
      <c r="D20" s="64" t="e">
        <f t="shared" si="4"/>
        <v>#N/A</v>
      </c>
      <c r="E20" s="121" cm="1">
        <f t="array" ref="E20">INDEX(InputArea,B20,C20)</f>
        <v>0</v>
      </c>
      <c r="F20" s="59" t="str">
        <f t="shared" si="5"/>
        <v>QO</v>
      </c>
      <c r="G20" s="59" t="str">
        <f t="shared" si="6"/>
        <v>ヴす</v>
      </c>
      <c r="H20" s="137" t="s">
        <v>237</v>
      </c>
      <c r="I20" s="136" t="s">
        <v>299</v>
      </c>
      <c r="J20" s="84">
        <f t="shared" si="7"/>
        <v>1</v>
      </c>
      <c r="K20" s="83"/>
      <c r="L20" s="64" t="e">
        <v>#N/A</v>
      </c>
      <c r="M20" s="121">
        <v>0</v>
      </c>
      <c r="N20" s="59" t="str">
        <v>QO</v>
      </c>
      <c r="O20" s="126" t="str">
        <v>ヴす</v>
      </c>
      <c r="P20" s="126" t="str">
        <v>ぇ</v>
      </c>
      <c r="Q20" s="127" t="str">
        <v>くぉ</v>
      </c>
      <c r="R20" s="84">
        <v>1</v>
      </c>
      <c r="T20" s="100" t="e">
        <v>#N/A</v>
      </c>
      <c r="U20" s="121">
        <v>0</v>
      </c>
      <c r="V20" s="59" t="str">
        <v>QO</v>
      </c>
      <c r="W20" s="126" t="str">
        <v>ヴす</v>
      </c>
      <c r="X20" s="126" t="str">
        <v>ぇ</v>
      </c>
      <c r="Y20" s="127" t="str">
        <v>くぉ</v>
      </c>
      <c r="Z20" s="90">
        <v>1</v>
      </c>
    </row>
    <row r="21" spans="1:26" x14ac:dyDescent="0.4">
      <c r="A21" s="52">
        <v>20</v>
      </c>
      <c r="B21" s="51">
        <f t="shared" si="2"/>
        <v>1</v>
      </c>
      <c r="C21" s="50">
        <f t="shared" si="3"/>
        <v>20</v>
      </c>
      <c r="D21" s="64" t="e">
        <f t="shared" si="4"/>
        <v>#N/A</v>
      </c>
      <c r="E21" s="121" cm="1">
        <f t="array" ref="E21">INDEX(InputArea,B21,C21)</f>
        <v>0</v>
      </c>
      <c r="F21" s="59" t="str">
        <f t="shared" si="5"/>
        <v>QP</v>
      </c>
      <c r="G21" s="59" t="str">
        <f t="shared" si="6"/>
        <v>ヴへ</v>
      </c>
      <c r="H21" s="137" t="s">
        <v>238</v>
      </c>
      <c r="I21" s="135"/>
      <c r="J21" s="84">
        <f t="shared" si="7"/>
        <v>1</v>
      </c>
      <c r="K21" s="83"/>
      <c r="L21" s="64" t="e">
        <v>#N/A</v>
      </c>
      <c r="M21" s="121">
        <v>0</v>
      </c>
      <c r="N21" s="59" t="str">
        <v>QP</v>
      </c>
      <c r="O21" s="126" t="str">
        <v>ヴへ</v>
      </c>
      <c r="P21" s="126" t="str">
        <v>ゅ</v>
      </c>
      <c r="Q21" s="127">
        <v>0</v>
      </c>
      <c r="R21" s="84">
        <v>1</v>
      </c>
      <c r="T21" s="100" t="e">
        <v>#N/A</v>
      </c>
      <c r="U21" s="121">
        <v>0</v>
      </c>
      <c r="V21" s="59" t="str">
        <v>QP</v>
      </c>
      <c r="W21" s="126" t="str">
        <v>ヴへ</v>
      </c>
      <c r="X21" s="126" t="str">
        <v>ゅ</v>
      </c>
      <c r="Y21" s="127">
        <v>0</v>
      </c>
      <c r="Z21" s="90">
        <v>1</v>
      </c>
    </row>
    <row r="22" spans="1:26" x14ac:dyDescent="0.4">
      <c r="A22" s="52">
        <v>21</v>
      </c>
      <c r="B22" s="51">
        <f t="shared" si="2"/>
        <v>1</v>
      </c>
      <c r="C22" s="50">
        <f t="shared" si="3"/>
        <v>21</v>
      </c>
      <c r="D22" s="64" t="e">
        <f t="shared" si="4"/>
        <v>#N/A</v>
      </c>
      <c r="E22" s="121" cm="1">
        <f t="array" ref="E22">INDEX(InputArea,B22,C22)</f>
        <v>0</v>
      </c>
      <c r="F22" s="59" t="str">
        <f t="shared" si="5"/>
        <v>QH</v>
      </c>
      <c r="G22" s="59" t="str">
        <f t="shared" si="6"/>
        <v>ヴく</v>
      </c>
      <c r="H22" s="137" t="s">
        <v>239</v>
      </c>
      <c r="I22" s="135"/>
      <c r="J22" s="84">
        <f t="shared" si="7"/>
        <v>1</v>
      </c>
      <c r="K22" s="83"/>
      <c r="L22" s="64" t="e">
        <v>#N/A</v>
      </c>
      <c r="M22" s="121">
        <v>0</v>
      </c>
      <c r="N22" s="59" t="str">
        <v>QH</v>
      </c>
      <c r="O22" s="126" t="str">
        <v>ヴく</v>
      </c>
      <c r="P22" s="126" t="str">
        <v>ゃ</v>
      </c>
      <c r="Q22" s="127">
        <v>0</v>
      </c>
      <c r="R22" s="84">
        <v>1</v>
      </c>
      <c r="T22" s="100" t="e">
        <v>#N/A</v>
      </c>
      <c r="U22" s="121">
        <v>0</v>
      </c>
      <c r="V22" s="59" t="str">
        <v>QH</v>
      </c>
      <c r="W22" s="126" t="str">
        <v>ヴく</v>
      </c>
      <c r="X22" s="126" t="str">
        <v>ゃ</v>
      </c>
      <c r="Y22" s="127">
        <v>0</v>
      </c>
      <c r="Z22" s="90">
        <v>1</v>
      </c>
    </row>
    <row r="23" spans="1:26" x14ac:dyDescent="0.4">
      <c r="A23" s="52">
        <v>22</v>
      </c>
      <c r="B23" s="51">
        <f t="shared" si="2"/>
        <v>1</v>
      </c>
      <c r="C23" s="50">
        <f t="shared" si="3"/>
        <v>22</v>
      </c>
      <c r="D23" s="64" t="e">
        <f t="shared" si="4"/>
        <v>#N/A</v>
      </c>
      <c r="E23" s="121" cm="1">
        <f t="array" ref="E23">INDEX(InputArea,B23,C23)</f>
        <v>0</v>
      </c>
      <c r="F23" s="59" t="str">
        <f t="shared" si="5"/>
        <v>QJ</v>
      </c>
      <c r="G23" s="59" t="str">
        <f t="shared" si="6"/>
        <v>ヴあ</v>
      </c>
      <c r="H23" s="137" t="s">
        <v>240</v>
      </c>
      <c r="I23" s="135"/>
      <c r="J23" s="84">
        <f t="shared" si="7"/>
        <v>1</v>
      </c>
      <c r="K23" s="83"/>
      <c r="L23" s="64" t="e">
        <v>#N/A</v>
      </c>
      <c r="M23" s="121">
        <v>0</v>
      </c>
      <c r="N23" s="59" t="str">
        <v>QJ</v>
      </c>
      <c r="O23" s="126" t="str">
        <v>ヴあ</v>
      </c>
      <c r="P23" s="126" t="str">
        <v>ぁ</v>
      </c>
      <c r="Q23" s="127">
        <v>0</v>
      </c>
      <c r="R23" s="84">
        <v>1</v>
      </c>
      <c r="T23" s="100" t="e">
        <v>#N/A</v>
      </c>
      <c r="U23" s="121">
        <v>0</v>
      </c>
      <c r="V23" s="59" t="str">
        <v>QJ</v>
      </c>
      <c r="W23" s="126" t="str">
        <v>ヴあ</v>
      </c>
      <c r="X23" s="126" t="str">
        <v>ぁ</v>
      </c>
      <c r="Y23" s="127">
        <v>0</v>
      </c>
      <c r="Z23" s="90">
        <v>1</v>
      </c>
    </row>
    <row r="24" spans="1:26" x14ac:dyDescent="0.4">
      <c r="A24" s="52">
        <v>23</v>
      </c>
      <c r="B24" s="51">
        <f t="shared" si="2"/>
        <v>1</v>
      </c>
      <c r="C24" s="50">
        <f t="shared" si="3"/>
        <v>23</v>
      </c>
      <c r="D24" s="64" t="e">
        <f t="shared" si="4"/>
        <v>#N/A</v>
      </c>
      <c r="E24" s="121" cm="1">
        <f t="array" ref="E24">INDEX(InputArea,B24,C24)</f>
        <v>0</v>
      </c>
      <c r="F24" s="59" t="str">
        <f t="shared" si="5"/>
        <v>QK</v>
      </c>
      <c r="G24" s="59" t="str">
        <f t="shared" si="6"/>
        <v>ヴい</v>
      </c>
      <c r="H24" s="137" t="s">
        <v>241</v>
      </c>
      <c r="I24" s="135"/>
      <c r="J24" s="84">
        <f t="shared" si="7"/>
        <v>1</v>
      </c>
      <c r="K24" s="83"/>
      <c r="L24" s="64" t="e">
        <v>#N/A</v>
      </c>
      <c r="M24" s="121">
        <v>0</v>
      </c>
      <c r="N24" s="59" t="str">
        <v>QK</v>
      </c>
      <c r="O24" s="126" t="str">
        <v>ヴい</v>
      </c>
      <c r="P24" s="126" t="str">
        <v>ぃ</v>
      </c>
      <c r="Q24" s="127">
        <v>0</v>
      </c>
      <c r="R24" s="84">
        <v>1</v>
      </c>
      <c r="T24" s="100" t="e">
        <v>#N/A</v>
      </c>
      <c r="U24" s="121">
        <v>0</v>
      </c>
      <c r="V24" s="59" t="str">
        <v>QK</v>
      </c>
      <c r="W24" s="126" t="str">
        <v>ヴい</v>
      </c>
      <c r="X24" s="126" t="str">
        <v>ぃ</v>
      </c>
      <c r="Y24" s="127">
        <v>0</v>
      </c>
      <c r="Z24" s="90">
        <v>1</v>
      </c>
    </row>
    <row r="25" spans="1:26" x14ac:dyDescent="0.4">
      <c r="A25" s="52">
        <v>24</v>
      </c>
      <c r="B25" s="51">
        <f t="shared" si="2"/>
        <v>1</v>
      </c>
      <c r="C25" s="50">
        <f t="shared" si="3"/>
        <v>24</v>
      </c>
      <c r="D25" s="64" t="e">
        <f t="shared" si="4"/>
        <v>#N/A</v>
      </c>
      <c r="E25" s="121" cm="1">
        <f t="array" ref="E25">INDEX(InputArea,B25,C25)</f>
        <v>0</v>
      </c>
      <c r="F25" s="59" t="str">
        <f t="shared" si="5"/>
        <v>QL</v>
      </c>
      <c r="G25" s="59" t="str">
        <f t="shared" si="6"/>
        <v>ヴう</v>
      </c>
      <c r="H25" s="137" t="s">
        <v>242</v>
      </c>
      <c r="I25" s="135"/>
      <c r="J25" s="84">
        <f t="shared" si="7"/>
        <v>1</v>
      </c>
      <c r="K25" s="83"/>
      <c r="L25" s="64" t="e">
        <v>#N/A</v>
      </c>
      <c r="M25" s="121">
        <v>0</v>
      </c>
      <c r="N25" s="59" t="str">
        <v>QL</v>
      </c>
      <c r="O25" s="126" t="str">
        <v>ヴう</v>
      </c>
      <c r="P25" s="126" t="str">
        <v>ぅ</v>
      </c>
      <c r="Q25" s="127">
        <v>0</v>
      </c>
      <c r="R25" s="84">
        <v>1</v>
      </c>
      <c r="T25" s="100" t="e">
        <v>#N/A</v>
      </c>
      <c r="U25" s="121">
        <v>0</v>
      </c>
      <c r="V25" s="59" t="str">
        <v>QL</v>
      </c>
      <c r="W25" s="126" t="str">
        <v>ヴう</v>
      </c>
      <c r="X25" s="126" t="str">
        <v>ぅ</v>
      </c>
      <c r="Y25" s="127">
        <v>0</v>
      </c>
      <c r="Z25" s="90">
        <v>1</v>
      </c>
    </row>
    <row r="26" spans="1:26" x14ac:dyDescent="0.4">
      <c r="A26" s="52">
        <v>25</v>
      </c>
      <c r="B26" s="51">
        <f t="shared" si="2"/>
        <v>1</v>
      </c>
      <c r="C26" s="50">
        <f t="shared" si="3"/>
        <v>25</v>
      </c>
      <c r="D26" s="64" t="e">
        <f t="shared" si="4"/>
        <v>#N/A</v>
      </c>
      <c r="E26" s="121" cm="1">
        <f t="array" ref="E26">INDEX(InputArea,B26,C26)</f>
        <v>0</v>
      </c>
      <c r="F26" s="59" t="str">
        <f t="shared" si="5"/>
        <v>Q;</v>
      </c>
      <c r="G26" s="59" t="str">
        <f t="shared" si="6"/>
        <v>ヴー</v>
      </c>
      <c r="H26" s="134"/>
      <c r="I26" s="135"/>
      <c r="J26" s="84">
        <f t="shared" si="7"/>
        <v>1</v>
      </c>
      <c r="K26" s="83"/>
      <c r="L26" s="64" t="e">
        <v>#N/A</v>
      </c>
      <c r="M26" s="121">
        <v>0</v>
      </c>
      <c r="N26" s="59" t="str">
        <v>Q;</v>
      </c>
      <c r="O26" s="126" t="str">
        <v>ヴー</v>
      </c>
      <c r="P26" s="126">
        <v>0</v>
      </c>
      <c r="Q26" s="127">
        <v>0</v>
      </c>
      <c r="R26" s="84">
        <v>1</v>
      </c>
      <c r="T26" s="100" t="e">
        <v>#N/A</v>
      </c>
      <c r="U26" s="121">
        <v>0</v>
      </c>
      <c r="V26" s="59" t="str">
        <v>Q;</v>
      </c>
      <c r="W26" s="126" t="str">
        <v>ヴー</v>
      </c>
      <c r="X26" s="126">
        <v>0</v>
      </c>
      <c r="Y26" s="127">
        <v>0</v>
      </c>
      <c r="Z26" s="90">
        <v>1</v>
      </c>
    </row>
    <row r="27" spans="1:26" x14ac:dyDescent="0.4">
      <c r="A27" s="52">
        <v>26</v>
      </c>
      <c r="B27" s="51">
        <f t="shared" si="2"/>
        <v>1</v>
      </c>
      <c r="C27" s="50">
        <f t="shared" si="3"/>
        <v>26</v>
      </c>
      <c r="D27" s="64" t="e">
        <f t="shared" si="4"/>
        <v>#N/A</v>
      </c>
      <c r="E27" s="121" cm="1">
        <f t="array" ref="E27">INDEX(InputArea,B27,C27)</f>
        <v>0</v>
      </c>
      <c r="F27" s="59" t="str">
        <f t="shared" si="5"/>
        <v>QN</v>
      </c>
      <c r="G27" s="59" t="str">
        <f t="shared" si="6"/>
        <v>ヴた</v>
      </c>
      <c r="H27" s="137" t="s">
        <v>243</v>
      </c>
      <c r="I27" s="135"/>
      <c r="J27" s="84">
        <f t="shared" si="7"/>
        <v>1</v>
      </c>
      <c r="K27" s="83"/>
      <c r="L27" s="64" t="e">
        <v>#N/A</v>
      </c>
      <c r="M27" s="121">
        <v>0</v>
      </c>
      <c r="N27" s="59" t="str">
        <v>QN</v>
      </c>
      <c r="O27" s="126" t="str">
        <v>ヴた</v>
      </c>
      <c r="P27" s="126" t="str">
        <v>ぉ</v>
      </c>
      <c r="Q27" s="127">
        <v>0</v>
      </c>
      <c r="R27" s="84">
        <v>1</v>
      </c>
      <c r="T27" s="100" t="e">
        <v>#N/A</v>
      </c>
      <c r="U27" s="121">
        <v>0</v>
      </c>
      <c r="V27" s="59" t="str">
        <v>QN</v>
      </c>
      <c r="W27" s="126" t="str">
        <v>ヴた</v>
      </c>
      <c r="X27" s="126" t="str">
        <v>ぉ</v>
      </c>
      <c r="Y27" s="127">
        <v>0</v>
      </c>
      <c r="Z27" s="90">
        <v>1</v>
      </c>
    </row>
    <row r="28" spans="1:26" x14ac:dyDescent="0.4">
      <c r="A28" s="52">
        <v>27</v>
      </c>
      <c r="B28" s="51">
        <f t="shared" si="2"/>
        <v>1</v>
      </c>
      <c r="C28" s="50">
        <f t="shared" si="3"/>
        <v>27</v>
      </c>
      <c r="D28" s="64" t="e">
        <f t="shared" si="4"/>
        <v>#N/A</v>
      </c>
      <c r="E28" s="121" cm="1">
        <f t="array" ref="E28">INDEX(InputArea,B28,C28)</f>
        <v>0</v>
      </c>
      <c r="F28" s="59" t="str">
        <f t="shared" si="5"/>
        <v>QM</v>
      </c>
      <c r="G28" s="59" t="str">
        <f t="shared" si="6"/>
        <v>ヴな</v>
      </c>
      <c r="H28" s="134"/>
      <c r="I28" s="135"/>
      <c r="J28" s="84">
        <f t="shared" si="7"/>
        <v>1</v>
      </c>
      <c r="K28" s="83"/>
      <c r="L28" s="64" t="e">
        <v>#N/A</v>
      </c>
      <c r="M28" s="121">
        <v>0</v>
      </c>
      <c r="N28" s="59" t="str">
        <v>QM</v>
      </c>
      <c r="O28" s="126" t="str">
        <v>ヴな</v>
      </c>
      <c r="P28" s="126">
        <v>0</v>
      </c>
      <c r="Q28" s="127">
        <v>0</v>
      </c>
      <c r="R28" s="84">
        <v>1</v>
      </c>
      <c r="T28" s="100" t="e">
        <v>#N/A</v>
      </c>
      <c r="U28" s="121">
        <v>0</v>
      </c>
      <c r="V28" s="59" t="str">
        <v>QM</v>
      </c>
      <c r="W28" s="126" t="str">
        <v>ヴな</v>
      </c>
      <c r="X28" s="126">
        <v>0</v>
      </c>
      <c r="Y28" s="127">
        <v>0</v>
      </c>
      <c r="Z28" s="90">
        <v>1</v>
      </c>
    </row>
    <row r="29" spans="1:26" x14ac:dyDescent="0.4">
      <c r="A29" s="52">
        <v>28</v>
      </c>
      <c r="B29" s="51">
        <f t="shared" si="2"/>
        <v>1</v>
      </c>
      <c r="C29" s="50">
        <f t="shared" si="3"/>
        <v>28</v>
      </c>
      <c r="D29" s="64" t="e">
        <f t="shared" si="4"/>
        <v>#N/A</v>
      </c>
      <c r="E29" s="121" cm="1">
        <f t="array" ref="E29">INDEX(InputArea,B29,C29)</f>
        <v>0</v>
      </c>
      <c r="F29" s="59" t="str">
        <f t="shared" si="5"/>
        <v>Q,</v>
      </c>
      <c r="G29" s="59" t="str">
        <f t="shared" si="6"/>
        <v>ヴん</v>
      </c>
      <c r="H29" s="134"/>
      <c r="I29" s="135"/>
      <c r="J29" s="84">
        <f t="shared" si="7"/>
        <v>1</v>
      </c>
      <c r="K29" s="83"/>
      <c r="L29" s="64" t="e">
        <v>#N/A</v>
      </c>
      <c r="M29" s="121">
        <v>0</v>
      </c>
      <c r="N29" s="59" t="str">
        <v>Q,</v>
      </c>
      <c r="O29" s="126" t="str">
        <v>ヴん</v>
      </c>
      <c r="P29" s="126">
        <v>0</v>
      </c>
      <c r="Q29" s="127">
        <v>0</v>
      </c>
      <c r="R29" s="84">
        <v>1</v>
      </c>
      <c r="T29" s="100" t="e">
        <v>#N/A</v>
      </c>
      <c r="U29" s="121">
        <v>0</v>
      </c>
      <c r="V29" s="59" t="str">
        <v>Q,</v>
      </c>
      <c r="W29" s="126" t="str">
        <v>ヴん</v>
      </c>
      <c r="X29" s="126">
        <v>0</v>
      </c>
      <c r="Y29" s="127">
        <v>0</v>
      </c>
      <c r="Z29" s="90">
        <v>1</v>
      </c>
    </row>
    <row r="30" spans="1:26" x14ac:dyDescent="0.4">
      <c r="A30" s="52">
        <v>29</v>
      </c>
      <c r="B30" s="51">
        <f t="shared" si="2"/>
        <v>1</v>
      </c>
      <c r="C30" s="50">
        <f t="shared" si="3"/>
        <v>29</v>
      </c>
      <c r="D30" s="64" t="e">
        <f t="shared" si="4"/>
        <v>#N/A</v>
      </c>
      <c r="E30" s="121" cm="1">
        <f t="array" ref="E30">INDEX(InputArea,B30,C30)</f>
        <v>0</v>
      </c>
      <c r="F30" s="59" t="str">
        <f t="shared" si="5"/>
        <v>Q.</v>
      </c>
      <c r="G30" s="59" t="str">
        <f t="shared" si="6"/>
        <v>ヴら</v>
      </c>
      <c r="H30" s="137" t="s">
        <v>244</v>
      </c>
      <c r="I30" s="135"/>
      <c r="J30" s="84">
        <f t="shared" si="7"/>
        <v>1</v>
      </c>
      <c r="K30" s="83"/>
      <c r="L30" s="64" t="e">
        <v>#N/A</v>
      </c>
      <c r="M30" s="121">
        <v>0</v>
      </c>
      <c r="N30" s="59" t="str">
        <v>Q.</v>
      </c>
      <c r="O30" s="126" t="str">
        <v>ヴら</v>
      </c>
      <c r="P30" s="126" t="str">
        <v>ゎ</v>
      </c>
      <c r="Q30" s="127">
        <v>0</v>
      </c>
      <c r="R30" s="84">
        <v>1</v>
      </c>
      <c r="T30" s="100" t="e">
        <v>#N/A</v>
      </c>
      <c r="U30" s="121">
        <v>0</v>
      </c>
      <c r="V30" s="59" t="str">
        <v>Q.</v>
      </c>
      <c r="W30" s="126" t="str">
        <v>ヴら</v>
      </c>
      <c r="X30" s="126" t="str">
        <v>ゎ</v>
      </c>
      <c r="Y30" s="127">
        <v>0</v>
      </c>
      <c r="Z30" s="90">
        <v>1</v>
      </c>
    </row>
    <row r="31" spans="1:26" x14ac:dyDescent="0.4">
      <c r="A31" s="52">
        <v>30</v>
      </c>
      <c r="B31" s="51">
        <f t="shared" si="2"/>
        <v>1</v>
      </c>
      <c r="C31" s="50">
        <f t="shared" si="3"/>
        <v>30</v>
      </c>
      <c r="D31" s="64" t="e">
        <f t="shared" si="4"/>
        <v>#N/A</v>
      </c>
      <c r="E31" s="121" cm="1">
        <f t="array" ref="E31">INDEX(InputArea,B31,C31)</f>
        <v>0</v>
      </c>
      <c r="F31" s="59" t="str">
        <f t="shared" si="5"/>
        <v>Q/</v>
      </c>
      <c r="G31" s="59" t="str">
        <f t="shared" si="6"/>
        <v>ヴれ</v>
      </c>
      <c r="H31" s="134"/>
      <c r="I31" s="135"/>
      <c r="J31" s="84">
        <f t="shared" si="7"/>
        <v>1</v>
      </c>
      <c r="K31" s="83"/>
      <c r="L31" s="64" t="e">
        <v>#N/A</v>
      </c>
      <c r="M31" s="121">
        <v>0</v>
      </c>
      <c r="N31" s="59" t="str">
        <v>Q/</v>
      </c>
      <c r="O31" s="126" t="str">
        <v>ヴれ</v>
      </c>
      <c r="P31" s="126">
        <v>0</v>
      </c>
      <c r="Q31" s="127">
        <v>0</v>
      </c>
      <c r="R31" s="84">
        <v>1</v>
      </c>
      <c r="T31" s="100" t="e">
        <v>#N/A</v>
      </c>
      <c r="U31" s="121">
        <v>0</v>
      </c>
      <c r="V31" s="59" t="str">
        <v>Q/</v>
      </c>
      <c r="W31" s="126" t="str">
        <v>ヴれ</v>
      </c>
      <c r="X31" s="126">
        <v>0</v>
      </c>
      <c r="Y31" s="127">
        <v>0</v>
      </c>
      <c r="Z31" s="90">
        <v>1</v>
      </c>
    </row>
    <row r="32" spans="1:26" x14ac:dyDescent="0.4">
      <c r="A32" s="52">
        <v>31</v>
      </c>
      <c r="B32" s="51">
        <f t="shared" si="2"/>
        <v>2</v>
      </c>
      <c r="C32" s="50">
        <f t="shared" si="3"/>
        <v>1</v>
      </c>
      <c r="D32" s="64" t="e">
        <f t="shared" si="4"/>
        <v>#N/A</v>
      </c>
      <c r="E32" s="121" cm="1">
        <f t="array" ref="E32">INDEX(InputArea,B32,C32)</f>
        <v>0</v>
      </c>
      <c r="F32" s="59" t="str">
        <f t="shared" si="5"/>
        <v>WQ</v>
      </c>
      <c r="G32" s="59" t="str">
        <f t="shared" si="6"/>
        <v>きヴ</v>
      </c>
      <c r="H32" s="134"/>
      <c r="I32" s="135"/>
      <c r="J32" s="84">
        <f t="shared" si="7"/>
        <v>0</v>
      </c>
      <c r="K32" s="83"/>
      <c r="L32" s="64" t="e">
        <v>#N/A</v>
      </c>
      <c r="M32" s="121">
        <v>0</v>
      </c>
      <c r="N32" s="59" t="str">
        <v>WQ</v>
      </c>
      <c r="O32" s="126" t="str">
        <v>きヴ</v>
      </c>
      <c r="P32" s="126">
        <v>0</v>
      </c>
      <c r="Q32" s="127">
        <v>0</v>
      </c>
      <c r="R32" s="84">
        <v>0</v>
      </c>
      <c r="T32" s="100" t="e">
        <v>#N/A</v>
      </c>
      <c r="U32" s="121">
        <v>0</v>
      </c>
      <c r="V32" s="59" t="str">
        <v>WQ</v>
      </c>
      <c r="W32" s="126" t="str">
        <v>きヴ</v>
      </c>
      <c r="X32" s="126">
        <v>0</v>
      </c>
      <c r="Y32" s="127">
        <v>0</v>
      </c>
      <c r="Z32" s="90">
        <v>0</v>
      </c>
    </row>
    <row r="33" spans="1:26" x14ac:dyDescent="0.4">
      <c r="A33" s="52">
        <v>32</v>
      </c>
      <c r="B33" s="51">
        <f t="shared" si="2"/>
        <v>2</v>
      </c>
      <c r="C33" s="50">
        <f t="shared" si="3"/>
        <v>2</v>
      </c>
      <c r="D33" s="64" t="e">
        <f t="shared" si="4"/>
        <v>#N/A</v>
      </c>
      <c r="E33" s="121" cm="1">
        <f t="array" ref="E33">INDEX(InputArea,B33,C33)</f>
        <v>0</v>
      </c>
      <c r="F33" s="59" t="str">
        <f t="shared" si="5"/>
        <v>WW</v>
      </c>
      <c r="G33" s="59" t="str">
        <f t="shared" si="6"/>
        <v>きき</v>
      </c>
      <c r="H33" s="134"/>
      <c r="I33" s="136" t="s">
        <v>346</v>
      </c>
      <c r="J33" s="84">
        <f t="shared" si="7"/>
        <v>0</v>
      </c>
      <c r="K33" s="83"/>
      <c r="L33" s="64" t="e">
        <v>#N/A</v>
      </c>
      <c r="M33" s="121">
        <v>0</v>
      </c>
      <c r="N33" s="59" t="str">
        <v>WW</v>
      </c>
      <c r="O33" s="126" t="str">
        <v>きき</v>
      </c>
      <c r="P33" s="126">
        <v>0</v>
      </c>
      <c r="Q33" s="127" t="str">
        <v>っｗ</v>
      </c>
      <c r="R33" s="84">
        <v>0</v>
      </c>
      <c r="T33" s="100" t="e">
        <v>#N/A</v>
      </c>
      <c r="U33" s="121">
        <v>0</v>
      </c>
      <c r="V33" s="59" t="str">
        <v>WW</v>
      </c>
      <c r="W33" s="126" t="str">
        <v>きき</v>
      </c>
      <c r="X33" s="126">
        <v>0</v>
      </c>
      <c r="Y33" s="127" t="str">
        <v>っｗ</v>
      </c>
      <c r="Z33" s="90">
        <v>0</v>
      </c>
    </row>
    <row r="34" spans="1:26" x14ac:dyDescent="0.4">
      <c r="A34" s="52">
        <v>33</v>
      </c>
      <c r="B34" s="51">
        <f t="shared" si="2"/>
        <v>2</v>
      </c>
      <c r="C34" s="50">
        <f t="shared" si="3"/>
        <v>3</v>
      </c>
      <c r="D34" s="64" t="e">
        <f t="shared" si="4"/>
        <v>#N/A</v>
      </c>
      <c r="E34" s="121" cm="1">
        <f t="array" ref="E34">INDEX(InputArea,B34,C34)</f>
        <v>0</v>
      </c>
      <c r="F34" s="59" t="str">
        <f t="shared" si="5"/>
        <v>WE</v>
      </c>
      <c r="G34" s="59" t="str">
        <f t="shared" si="6"/>
        <v>きて</v>
      </c>
      <c r="H34" s="134"/>
      <c r="I34" s="136" t="s">
        <v>300</v>
      </c>
      <c r="J34" s="84">
        <f t="shared" si="7"/>
        <v>0</v>
      </c>
      <c r="K34" s="83"/>
      <c r="L34" s="64" t="e">
        <v>#N/A</v>
      </c>
      <c r="M34" s="121">
        <v>0</v>
      </c>
      <c r="N34" s="59" t="str">
        <v>WE</v>
      </c>
      <c r="O34" s="126" t="str">
        <v>きて</v>
      </c>
      <c r="P34" s="126">
        <v>0</v>
      </c>
      <c r="Q34" s="127" t="str">
        <v>うぇ</v>
      </c>
      <c r="R34" s="84">
        <v>0</v>
      </c>
      <c r="T34" s="100" t="e">
        <v>#N/A</v>
      </c>
      <c r="U34" s="121">
        <v>0</v>
      </c>
      <c r="V34" s="59" t="str">
        <v>WE</v>
      </c>
      <c r="W34" s="126" t="str">
        <v>きて</v>
      </c>
      <c r="X34" s="126">
        <v>0</v>
      </c>
      <c r="Y34" s="127" t="str">
        <v>うぇ</v>
      </c>
      <c r="Z34" s="90">
        <v>0</v>
      </c>
    </row>
    <row r="35" spans="1:26" x14ac:dyDescent="0.4">
      <c r="A35" s="52">
        <v>34</v>
      </c>
      <c r="B35" s="51">
        <f t="shared" si="2"/>
        <v>2</v>
      </c>
      <c r="C35" s="50">
        <f t="shared" si="3"/>
        <v>4</v>
      </c>
      <c r="D35" s="64" t="e">
        <f t="shared" si="4"/>
        <v>#N/A</v>
      </c>
      <c r="E35" s="121" cm="1">
        <f t="array" ref="E35">INDEX(InputArea,B35,C35)</f>
        <v>0</v>
      </c>
      <c r="F35" s="59" t="str">
        <f t="shared" si="5"/>
        <v>WR</v>
      </c>
      <c r="G35" s="59" t="str">
        <f t="shared" si="6"/>
        <v>きし</v>
      </c>
      <c r="H35" s="134"/>
      <c r="I35" s="135"/>
      <c r="J35" s="84">
        <f t="shared" si="7"/>
        <v>0</v>
      </c>
      <c r="K35" s="83"/>
      <c r="L35" s="64" t="e">
        <v>#N/A</v>
      </c>
      <c r="M35" s="121">
        <v>0</v>
      </c>
      <c r="N35" s="59" t="str">
        <v>WR</v>
      </c>
      <c r="O35" s="126" t="str">
        <v>きし</v>
      </c>
      <c r="P35" s="126">
        <v>0</v>
      </c>
      <c r="Q35" s="127">
        <v>0</v>
      </c>
      <c r="R35" s="84">
        <v>0</v>
      </c>
      <c r="T35" s="100" t="e">
        <v>#N/A</v>
      </c>
      <c r="U35" s="121">
        <v>0</v>
      </c>
      <c r="V35" s="59" t="str">
        <v>WR</v>
      </c>
      <c r="W35" s="126" t="str">
        <v>きし</v>
      </c>
      <c r="X35" s="126">
        <v>0</v>
      </c>
      <c r="Y35" s="127">
        <v>0</v>
      </c>
      <c r="Z35" s="90">
        <v>0</v>
      </c>
    </row>
    <row r="36" spans="1:26" x14ac:dyDescent="0.4">
      <c r="A36" s="52">
        <v>35</v>
      </c>
      <c r="B36" s="51">
        <f t="shared" si="2"/>
        <v>2</v>
      </c>
      <c r="C36" s="50">
        <f t="shared" si="3"/>
        <v>5</v>
      </c>
      <c r="D36" s="64" t="e">
        <f t="shared" si="4"/>
        <v>#N/A</v>
      </c>
      <c r="E36" s="121" cm="1">
        <f t="array" ref="E36">INDEX(InputArea,B36,C36)</f>
        <v>0</v>
      </c>
      <c r="F36" s="59" t="str">
        <f t="shared" si="5"/>
        <v>WT</v>
      </c>
      <c r="G36" s="59" t="str">
        <f t="shared" si="6"/>
        <v>き←</v>
      </c>
      <c r="H36" s="134"/>
      <c r="I36" s="135"/>
      <c r="J36" s="84">
        <f t="shared" si="7"/>
        <v>0</v>
      </c>
      <c r="K36" s="83"/>
      <c r="L36" s="64" t="e">
        <v>#N/A</v>
      </c>
      <c r="M36" s="121">
        <v>0</v>
      </c>
      <c r="N36" s="59" t="str">
        <v>WT</v>
      </c>
      <c r="O36" s="126" t="str">
        <v>き←</v>
      </c>
      <c r="P36" s="126">
        <v>0</v>
      </c>
      <c r="Q36" s="127">
        <v>0</v>
      </c>
      <c r="R36" s="84">
        <v>0</v>
      </c>
      <c r="T36" s="100" t="e">
        <v>#N/A</v>
      </c>
      <c r="U36" s="121">
        <v>0</v>
      </c>
      <c r="V36" s="59" t="str">
        <v>WT</v>
      </c>
      <c r="W36" s="126" t="str">
        <v>き←</v>
      </c>
      <c r="X36" s="126">
        <v>0</v>
      </c>
      <c r="Y36" s="127">
        <v>0</v>
      </c>
      <c r="Z36" s="90">
        <v>0</v>
      </c>
    </row>
    <row r="37" spans="1:26" x14ac:dyDescent="0.4">
      <c r="A37" s="52">
        <v>36</v>
      </c>
      <c r="B37" s="51">
        <f t="shared" si="2"/>
        <v>2</v>
      </c>
      <c r="C37" s="50">
        <f t="shared" si="3"/>
        <v>6</v>
      </c>
      <c r="D37" s="64" t="e">
        <f t="shared" si="4"/>
        <v>#N/A</v>
      </c>
      <c r="E37" s="121" cm="1">
        <f t="array" ref="E37">INDEX(InputArea,B37,C37)</f>
        <v>0</v>
      </c>
      <c r="F37" s="59" t="str">
        <f t="shared" si="5"/>
        <v>WA</v>
      </c>
      <c r="G37" s="59" t="str">
        <f t="shared" si="6"/>
        <v>きろ</v>
      </c>
      <c r="H37" s="134"/>
      <c r="I37" s="136" t="s">
        <v>301</v>
      </c>
      <c r="J37" s="84">
        <f t="shared" si="7"/>
        <v>0</v>
      </c>
      <c r="K37" s="83"/>
      <c r="L37" s="64" t="e">
        <v>#N/A</v>
      </c>
      <c r="M37" s="121">
        <v>0</v>
      </c>
      <c r="N37" s="59" t="str">
        <v>WA</v>
      </c>
      <c r="O37" s="126" t="str">
        <v>きろ</v>
      </c>
      <c r="P37" s="126">
        <v>0</v>
      </c>
      <c r="Q37" s="127" t="str">
        <v>わ</v>
      </c>
      <c r="R37" s="84">
        <v>0</v>
      </c>
      <c r="T37" s="100" t="e">
        <v>#N/A</v>
      </c>
      <c r="U37" s="121">
        <v>0</v>
      </c>
      <c r="V37" s="59" t="str">
        <v>WA</v>
      </c>
      <c r="W37" s="126" t="str">
        <v>きろ</v>
      </c>
      <c r="X37" s="126">
        <v>0</v>
      </c>
      <c r="Y37" s="127" t="str">
        <v>わ</v>
      </c>
      <c r="Z37" s="90">
        <v>0</v>
      </c>
    </row>
    <row r="38" spans="1:26" x14ac:dyDescent="0.4">
      <c r="A38" s="52">
        <v>37</v>
      </c>
      <c r="B38" s="51">
        <f t="shared" si="2"/>
        <v>2</v>
      </c>
      <c r="C38" s="50">
        <f t="shared" si="3"/>
        <v>7</v>
      </c>
      <c r="D38" s="64" t="e">
        <f t="shared" si="4"/>
        <v>#N/A</v>
      </c>
      <c r="E38" s="121" cm="1">
        <f t="array" ref="E38">INDEX(InputArea,B38,C38)</f>
        <v>0</v>
      </c>
      <c r="F38" s="59" t="str">
        <f t="shared" si="5"/>
        <v>WS</v>
      </c>
      <c r="G38" s="59" t="str">
        <f t="shared" si="6"/>
        <v>きけ</v>
      </c>
      <c r="H38" s="134"/>
      <c r="I38" s="135"/>
      <c r="J38" s="84">
        <f t="shared" si="7"/>
        <v>0</v>
      </c>
      <c r="K38" s="83"/>
      <c r="L38" s="64" t="e">
        <v>#N/A</v>
      </c>
      <c r="M38" s="121">
        <v>0</v>
      </c>
      <c r="N38" s="59" t="str">
        <v>WS</v>
      </c>
      <c r="O38" s="126" t="str">
        <v>きけ</v>
      </c>
      <c r="P38" s="126">
        <v>0</v>
      </c>
      <c r="Q38" s="127">
        <v>0</v>
      </c>
      <c r="R38" s="84">
        <v>0</v>
      </c>
      <c r="T38" s="100" t="e">
        <v>#N/A</v>
      </c>
      <c r="U38" s="121">
        <v>0</v>
      </c>
      <c r="V38" s="59" t="str">
        <v>WS</v>
      </c>
      <c r="W38" s="126" t="str">
        <v>きけ</v>
      </c>
      <c r="X38" s="126">
        <v>0</v>
      </c>
      <c r="Y38" s="127">
        <v>0</v>
      </c>
      <c r="Z38" s="90">
        <v>0</v>
      </c>
    </row>
    <row r="39" spans="1:26" x14ac:dyDescent="0.4">
      <c r="A39" s="52">
        <v>38</v>
      </c>
      <c r="B39" s="51">
        <f t="shared" si="2"/>
        <v>2</v>
      </c>
      <c r="C39" s="50">
        <f t="shared" si="3"/>
        <v>8</v>
      </c>
      <c r="D39" s="64" t="e">
        <f t="shared" si="4"/>
        <v>#N/A</v>
      </c>
      <c r="E39" s="121" cm="1">
        <f t="array" ref="E39">INDEX(InputArea,B39,C39)</f>
        <v>0</v>
      </c>
      <c r="F39" s="59" t="str">
        <f t="shared" si="5"/>
        <v>WD</v>
      </c>
      <c r="G39" s="59" t="str">
        <f t="shared" si="6"/>
        <v>きと</v>
      </c>
      <c r="H39" s="134"/>
      <c r="I39" s="135"/>
      <c r="J39" s="84">
        <f t="shared" si="7"/>
        <v>0</v>
      </c>
      <c r="K39" s="83"/>
      <c r="L39" s="64" t="e">
        <v>#N/A</v>
      </c>
      <c r="M39" s="121">
        <v>0</v>
      </c>
      <c r="N39" s="59" t="str">
        <v>WD</v>
      </c>
      <c r="O39" s="126" t="str">
        <v>きと</v>
      </c>
      <c r="P39" s="126">
        <v>0</v>
      </c>
      <c r="Q39" s="127">
        <v>0</v>
      </c>
      <c r="R39" s="84">
        <v>0</v>
      </c>
      <c r="T39" s="100" t="e">
        <v>#N/A</v>
      </c>
      <c r="U39" s="121">
        <v>0</v>
      </c>
      <c r="V39" s="59" t="str">
        <v>WD</v>
      </c>
      <c r="W39" s="126" t="str">
        <v>きと</v>
      </c>
      <c r="X39" s="126">
        <v>0</v>
      </c>
      <c r="Y39" s="127">
        <v>0</v>
      </c>
      <c r="Z39" s="90">
        <v>0</v>
      </c>
    </row>
    <row r="40" spans="1:26" x14ac:dyDescent="0.4">
      <c r="A40" s="52">
        <v>39</v>
      </c>
      <c r="B40" s="51">
        <f t="shared" si="2"/>
        <v>2</v>
      </c>
      <c r="C40" s="50">
        <f t="shared" si="3"/>
        <v>9</v>
      </c>
      <c r="D40" s="64" t="e">
        <f t="shared" si="4"/>
        <v>#N/A</v>
      </c>
      <c r="E40" s="121" cm="1">
        <f t="array" ref="E40">INDEX(InputArea,B40,C40)</f>
        <v>0</v>
      </c>
      <c r="F40" s="59" t="str">
        <f t="shared" si="5"/>
        <v>WF</v>
      </c>
      <c r="G40" s="59" t="str">
        <f t="shared" si="6"/>
        <v>きか</v>
      </c>
      <c r="H40" s="134"/>
      <c r="I40" s="135"/>
      <c r="J40" s="84">
        <f t="shared" si="7"/>
        <v>0</v>
      </c>
      <c r="K40" s="83"/>
      <c r="L40" s="64" t="e">
        <v>#N/A</v>
      </c>
      <c r="M40" s="121">
        <v>0</v>
      </c>
      <c r="N40" s="59" t="str">
        <v>WF</v>
      </c>
      <c r="O40" s="126" t="str">
        <v>きか</v>
      </c>
      <c r="P40" s="126">
        <v>0</v>
      </c>
      <c r="Q40" s="127">
        <v>0</v>
      </c>
      <c r="R40" s="84">
        <v>0</v>
      </c>
      <c r="T40" s="100" t="e">
        <v>#N/A</v>
      </c>
      <c r="U40" s="121">
        <v>0</v>
      </c>
      <c r="V40" s="59" t="str">
        <v>WF</v>
      </c>
      <c r="W40" s="126" t="str">
        <v>きか</v>
      </c>
      <c r="X40" s="126">
        <v>0</v>
      </c>
      <c r="Y40" s="127">
        <v>0</v>
      </c>
      <c r="Z40" s="90">
        <v>0</v>
      </c>
    </row>
    <row r="41" spans="1:26" x14ac:dyDescent="0.4">
      <c r="A41" s="52">
        <v>40</v>
      </c>
      <c r="B41" s="51">
        <f t="shared" si="2"/>
        <v>2</v>
      </c>
      <c r="C41" s="50">
        <f t="shared" si="3"/>
        <v>10</v>
      </c>
      <c r="D41" s="64" t="e">
        <f t="shared" si="4"/>
        <v>#N/A</v>
      </c>
      <c r="E41" s="121" cm="1">
        <f t="array" ref="E41">INDEX(InputArea,B41,C41)</f>
        <v>0</v>
      </c>
      <c r="F41" s="59" t="str">
        <f t="shared" si="5"/>
        <v>WG</v>
      </c>
      <c r="G41" s="59" t="str">
        <f t="shared" si="6"/>
        <v>きっ</v>
      </c>
      <c r="H41" s="134"/>
      <c r="I41" s="135"/>
      <c r="J41" s="84">
        <f t="shared" si="7"/>
        <v>0</v>
      </c>
      <c r="K41" s="83"/>
      <c r="L41" s="64" t="e">
        <v>#N/A</v>
      </c>
      <c r="M41" s="121">
        <v>0</v>
      </c>
      <c r="N41" s="59" t="str">
        <v>WG</v>
      </c>
      <c r="O41" s="126" t="str">
        <v>きっ</v>
      </c>
      <c r="P41" s="126">
        <v>0</v>
      </c>
      <c r="Q41" s="127">
        <v>0</v>
      </c>
      <c r="R41" s="84">
        <v>0</v>
      </c>
      <c r="T41" s="100" t="e">
        <v>#N/A</v>
      </c>
      <c r="U41" s="121">
        <v>0</v>
      </c>
      <c r="V41" s="59" t="str">
        <v>WG</v>
      </c>
      <c r="W41" s="126" t="str">
        <v>きっ</v>
      </c>
      <c r="X41" s="126">
        <v>0</v>
      </c>
      <c r="Y41" s="127">
        <v>0</v>
      </c>
      <c r="Z41" s="90">
        <v>0</v>
      </c>
    </row>
    <row r="42" spans="1:26" x14ac:dyDescent="0.4">
      <c r="A42" s="52">
        <v>41</v>
      </c>
      <c r="B42" s="51">
        <f t="shared" si="2"/>
        <v>2</v>
      </c>
      <c r="C42" s="50">
        <f t="shared" si="3"/>
        <v>11</v>
      </c>
      <c r="D42" s="64" t="e">
        <f t="shared" si="4"/>
        <v>#N/A</v>
      </c>
      <c r="E42" s="121" cm="1">
        <f t="array" ref="E42">INDEX(InputArea,B42,C42)</f>
        <v>0</v>
      </c>
      <c r="F42" s="59" t="str">
        <f t="shared" si="5"/>
        <v>WZ</v>
      </c>
      <c r="G42" s="59" t="str">
        <f t="shared" si="6"/>
        <v>きほ</v>
      </c>
      <c r="H42" s="134"/>
      <c r="I42" s="135"/>
      <c r="J42" s="84">
        <f t="shared" si="7"/>
        <v>0</v>
      </c>
      <c r="K42" s="83"/>
      <c r="L42" s="64" t="e">
        <v>#N/A</v>
      </c>
      <c r="M42" s="121">
        <v>0</v>
      </c>
      <c r="N42" s="59" t="str">
        <v>WZ</v>
      </c>
      <c r="O42" s="126" t="str">
        <v>きほ</v>
      </c>
      <c r="P42" s="126">
        <v>0</v>
      </c>
      <c r="Q42" s="127">
        <v>0</v>
      </c>
      <c r="R42" s="84">
        <v>0</v>
      </c>
      <c r="T42" s="100" t="e">
        <v>#N/A</v>
      </c>
      <c r="U42" s="121">
        <v>0</v>
      </c>
      <c r="V42" s="59" t="str">
        <v>WZ</v>
      </c>
      <c r="W42" s="126" t="str">
        <v>きほ</v>
      </c>
      <c r="X42" s="126">
        <v>0</v>
      </c>
      <c r="Y42" s="127">
        <v>0</v>
      </c>
      <c r="Z42" s="90">
        <v>0</v>
      </c>
    </row>
    <row r="43" spans="1:26" x14ac:dyDescent="0.4">
      <c r="A43" s="52">
        <v>42</v>
      </c>
      <c r="B43" s="51">
        <f t="shared" si="2"/>
        <v>2</v>
      </c>
      <c r="C43" s="50">
        <f t="shared" si="3"/>
        <v>12</v>
      </c>
      <c r="D43" s="64" t="e">
        <f t="shared" si="4"/>
        <v>#N/A</v>
      </c>
      <c r="E43" s="121" cm="1">
        <f t="array" ref="E43">INDEX(InputArea,B43,C43)</f>
        <v>0</v>
      </c>
      <c r="F43" s="59" t="str">
        <f t="shared" si="5"/>
        <v>WX</v>
      </c>
      <c r="G43" s="59" t="str">
        <f t="shared" si="6"/>
        <v>きひ</v>
      </c>
      <c r="H43" s="134"/>
      <c r="I43" s="135"/>
      <c r="J43" s="84">
        <f t="shared" si="7"/>
        <v>0</v>
      </c>
      <c r="K43" s="83"/>
      <c r="L43" s="64" t="e">
        <v>#N/A</v>
      </c>
      <c r="M43" s="121">
        <v>0</v>
      </c>
      <c r="N43" s="59" t="str">
        <v>WX</v>
      </c>
      <c r="O43" s="126" t="str">
        <v>きひ</v>
      </c>
      <c r="P43" s="126">
        <v>0</v>
      </c>
      <c r="Q43" s="127">
        <v>0</v>
      </c>
      <c r="R43" s="84">
        <v>0</v>
      </c>
      <c r="T43" s="100" t="e">
        <v>#N/A</v>
      </c>
      <c r="U43" s="121">
        <v>0</v>
      </c>
      <c r="V43" s="59" t="str">
        <v>WX</v>
      </c>
      <c r="W43" s="126" t="str">
        <v>きひ</v>
      </c>
      <c r="X43" s="126">
        <v>0</v>
      </c>
      <c r="Y43" s="127">
        <v>0</v>
      </c>
      <c r="Z43" s="90">
        <v>0</v>
      </c>
    </row>
    <row r="44" spans="1:26" x14ac:dyDescent="0.4">
      <c r="A44" s="52">
        <v>43</v>
      </c>
      <c r="B44" s="51">
        <f t="shared" si="2"/>
        <v>2</v>
      </c>
      <c r="C44" s="50">
        <f t="shared" si="3"/>
        <v>13</v>
      </c>
      <c r="D44" s="64" t="e">
        <f t="shared" si="4"/>
        <v>#N/A</v>
      </c>
      <c r="E44" s="121" cm="1">
        <f t="array" ref="E44">INDEX(InputArea,B44,C44)</f>
        <v>0</v>
      </c>
      <c r="F44" s="59" t="str">
        <f t="shared" si="5"/>
        <v>WC</v>
      </c>
      <c r="G44" s="59" t="str">
        <f t="shared" si="6"/>
        <v>きは</v>
      </c>
      <c r="H44" s="134"/>
      <c r="I44" s="135"/>
      <c r="J44" s="84">
        <f t="shared" si="7"/>
        <v>0</v>
      </c>
      <c r="K44" s="83"/>
      <c r="L44" s="64" t="e">
        <v>#N/A</v>
      </c>
      <c r="M44" s="121">
        <v>0</v>
      </c>
      <c r="N44" s="59" t="str">
        <v>WC</v>
      </c>
      <c r="O44" s="126" t="str">
        <v>きは</v>
      </c>
      <c r="P44" s="126">
        <v>0</v>
      </c>
      <c r="Q44" s="127">
        <v>0</v>
      </c>
      <c r="R44" s="84">
        <v>0</v>
      </c>
      <c r="T44" s="100" t="e">
        <v>#N/A</v>
      </c>
      <c r="U44" s="121">
        <v>0</v>
      </c>
      <c r="V44" s="59" t="str">
        <v>WC</v>
      </c>
      <c r="W44" s="126" t="str">
        <v>きは</v>
      </c>
      <c r="X44" s="126">
        <v>0</v>
      </c>
      <c r="Y44" s="127">
        <v>0</v>
      </c>
      <c r="Z44" s="90">
        <v>0</v>
      </c>
    </row>
    <row r="45" spans="1:26" x14ac:dyDescent="0.4">
      <c r="A45" s="52">
        <v>44</v>
      </c>
      <c r="B45" s="51">
        <f t="shared" si="2"/>
        <v>2</v>
      </c>
      <c r="C45" s="50">
        <f t="shared" si="3"/>
        <v>14</v>
      </c>
      <c r="D45" s="64" t="e">
        <f t="shared" si="4"/>
        <v>#N/A</v>
      </c>
      <c r="E45" s="121" cm="1">
        <f t="array" ref="E45">INDEX(InputArea,B45,C45)</f>
        <v>0</v>
      </c>
      <c r="F45" s="59" t="str">
        <f t="shared" si="5"/>
        <v>WV</v>
      </c>
      <c r="G45" s="59" t="str">
        <f t="shared" si="6"/>
        <v>きこ</v>
      </c>
      <c r="H45" s="134"/>
      <c r="I45" s="135"/>
      <c r="J45" s="84">
        <f t="shared" si="7"/>
        <v>0</v>
      </c>
      <c r="K45" s="83"/>
      <c r="L45" s="64" t="e">
        <v>#N/A</v>
      </c>
      <c r="M45" s="121">
        <v>0</v>
      </c>
      <c r="N45" s="59" t="str">
        <v>WV</v>
      </c>
      <c r="O45" s="126" t="str">
        <v>きこ</v>
      </c>
      <c r="P45" s="126">
        <v>0</v>
      </c>
      <c r="Q45" s="127">
        <v>0</v>
      </c>
      <c r="R45" s="84">
        <v>0</v>
      </c>
      <c r="T45" s="100" t="e">
        <v>#N/A</v>
      </c>
      <c r="U45" s="121">
        <v>0</v>
      </c>
      <c r="V45" s="59" t="str">
        <v>WV</v>
      </c>
      <c r="W45" s="126" t="str">
        <v>きこ</v>
      </c>
      <c r="X45" s="126">
        <v>0</v>
      </c>
      <c r="Y45" s="127">
        <v>0</v>
      </c>
      <c r="Z45" s="90">
        <v>0</v>
      </c>
    </row>
    <row r="46" spans="1:26" x14ac:dyDescent="0.4">
      <c r="A46" s="52">
        <v>45</v>
      </c>
      <c r="B46" s="51">
        <f t="shared" si="2"/>
        <v>2</v>
      </c>
      <c r="C46" s="50">
        <f t="shared" si="3"/>
        <v>15</v>
      </c>
      <c r="D46" s="64" t="e">
        <f t="shared" si="4"/>
        <v>#N/A</v>
      </c>
      <c r="E46" s="121" cm="1">
        <f t="array" ref="E46">INDEX(InputArea,B46,C46)</f>
        <v>0</v>
      </c>
      <c r="F46" s="59" t="str">
        <f t="shared" si="5"/>
        <v>WB</v>
      </c>
      <c r="G46" s="59" t="str">
        <f t="shared" si="6"/>
        <v>きそ</v>
      </c>
      <c r="H46" s="134"/>
      <c r="I46" s="135"/>
      <c r="J46" s="84">
        <f t="shared" si="7"/>
        <v>0</v>
      </c>
      <c r="K46" s="83"/>
      <c r="L46" s="64" t="e">
        <v>#N/A</v>
      </c>
      <c r="M46" s="121">
        <v>0</v>
      </c>
      <c r="N46" s="59" t="str">
        <v>WB</v>
      </c>
      <c r="O46" s="126" t="str">
        <v>きそ</v>
      </c>
      <c r="P46" s="126">
        <v>0</v>
      </c>
      <c r="Q46" s="127">
        <v>0</v>
      </c>
      <c r="R46" s="84">
        <v>0</v>
      </c>
      <c r="T46" s="100" t="e">
        <v>#N/A</v>
      </c>
      <c r="U46" s="121">
        <v>0</v>
      </c>
      <c r="V46" s="59" t="str">
        <v>WB</v>
      </c>
      <c r="W46" s="126" t="str">
        <v>きそ</v>
      </c>
      <c r="X46" s="126">
        <v>0</v>
      </c>
      <c r="Y46" s="127">
        <v>0</v>
      </c>
      <c r="Z46" s="90">
        <v>0</v>
      </c>
    </row>
    <row r="47" spans="1:26" x14ac:dyDescent="0.4">
      <c r="A47" s="52">
        <v>46</v>
      </c>
      <c r="B47" s="51">
        <f t="shared" si="2"/>
        <v>2</v>
      </c>
      <c r="C47" s="50">
        <f t="shared" si="3"/>
        <v>16</v>
      </c>
      <c r="D47" s="64" t="e">
        <f t="shared" si="4"/>
        <v>#N/A</v>
      </c>
      <c r="E47" s="121" cm="1">
        <f t="array" ref="E47">INDEX(InputArea,B47,C47)</f>
        <v>0</v>
      </c>
      <c r="F47" s="59" t="str">
        <f t="shared" si="5"/>
        <v>WY</v>
      </c>
      <c r="G47" s="59" t="str">
        <f t="shared" si="6"/>
        <v>き→</v>
      </c>
      <c r="H47" s="134"/>
      <c r="I47" s="136" t="s">
        <v>344</v>
      </c>
      <c r="J47" s="84">
        <f t="shared" si="7"/>
        <v>1</v>
      </c>
      <c r="K47" s="83"/>
      <c r="L47" s="64" t="e">
        <v>#N/A</v>
      </c>
      <c r="M47" s="121">
        <v>0</v>
      </c>
      <c r="N47" s="59" t="str">
        <v>WY</v>
      </c>
      <c r="O47" s="126" t="str">
        <v>き→</v>
      </c>
      <c r="P47" s="126">
        <v>0</v>
      </c>
      <c r="Q47" s="127" t="str">
        <v>ｗｙ</v>
      </c>
      <c r="R47" s="84">
        <v>1</v>
      </c>
      <c r="T47" s="100" t="e">
        <v>#N/A</v>
      </c>
      <c r="U47" s="121">
        <v>0</v>
      </c>
      <c r="V47" s="59" t="str">
        <v>WY</v>
      </c>
      <c r="W47" s="126" t="str">
        <v>き→</v>
      </c>
      <c r="X47" s="126">
        <v>0</v>
      </c>
      <c r="Y47" s="127" t="str">
        <v>ｗｙ</v>
      </c>
      <c r="Z47" s="90">
        <v>1</v>
      </c>
    </row>
    <row r="48" spans="1:26" x14ac:dyDescent="0.4">
      <c r="A48" s="52">
        <v>47</v>
      </c>
      <c r="B48" s="51">
        <f t="shared" si="2"/>
        <v>2</v>
      </c>
      <c r="C48" s="50">
        <f t="shared" si="3"/>
        <v>17</v>
      </c>
      <c r="D48" s="64" t="e">
        <f t="shared" si="4"/>
        <v>#N/A</v>
      </c>
      <c r="E48" s="121" cm="1">
        <f t="array" ref="E48">INDEX(InputArea,B48,C48)</f>
        <v>0</v>
      </c>
      <c r="F48" s="59" t="str">
        <f t="shared" si="5"/>
        <v>WU</v>
      </c>
      <c r="G48" s="59" t="str">
        <f t="shared" si="6"/>
        <v>きBS</v>
      </c>
      <c r="H48" s="134"/>
      <c r="I48" s="136" t="s">
        <v>304</v>
      </c>
      <c r="J48" s="84">
        <f t="shared" si="7"/>
        <v>1</v>
      </c>
      <c r="K48" s="83"/>
      <c r="L48" s="64" t="e">
        <v>#N/A</v>
      </c>
      <c r="M48" s="121">
        <v>0</v>
      </c>
      <c r="N48" s="59" t="str">
        <v>WU</v>
      </c>
      <c r="O48" s="126" t="str">
        <v>きBS</v>
      </c>
      <c r="P48" s="126">
        <v>0</v>
      </c>
      <c r="Q48" s="127" t="str">
        <v>う</v>
      </c>
      <c r="R48" s="84">
        <v>1</v>
      </c>
      <c r="T48" s="100" t="e">
        <v>#N/A</v>
      </c>
      <c r="U48" s="121">
        <v>0</v>
      </c>
      <c r="V48" s="59" t="str">
        <v>WU</v>
      </c>
      <c r="W48" s="126" t="str">
        <v>きBS</v>
      </c>
      <c r="X48" s="126">
        <v>0</v>
      </c>
      <c r="Y48" s="127" t="str">
        <v>う</v>
      </c>
      <c r="Z48" s="90">
        <v>1</v>
      </c>
    </row>
    <row r="49" spans="1:26" x14ac:dyDescent="0.4">
      <c r="A49" s="52">
        <v>48</v>
      </c>
      <c r="B49" s="51">
        <f t="shared" si="2"/>
        <v>2</v>
      </c>
      <c r="C49" s="50">
        <f t="shared" si="3"/>
        <v>18</v>
      </c>
      <c r="D49" s="64" t="e">
        <f t="shared" si="4"/>
        <v>#N/A</v>
      </c>
      <c r="E49" s="121" cm="1">
        <f t="array" ref="E49">INDEX(InputArea,B49,C49)</f>
        <v>0</v>
      </c>
      <c r="F49" s="59" t="str">
        <f t="shared" si="5"/>
        <v>WI</v>
      </c>
      <c r="G49" s="59" t="str">
        <f t="shared" si="6"/>
        <v>きる</v>
      </c>
      <c r="H49" s="137" t="s">
        <v>245</v>
      </c>
      <c r="I49" s="136" t="s">
        <v>302</v>
      </c>
      <c r="J49" s="84">
        <f t="shared" si="7"/>
        <v>1</v>
      </c>
      <c r="K49" s="83"/>
      <c r="L49" s="64" t="e">
        <v>#N/A</v>
      </c>
      <c r="M49" s="121">
        <v>0</v>
      </c>
      <c r="N49" s="59" t="str">
        <v>WI</v>
      </c>
      <c r="O49" s="126" t="str">
        <v>きる</v>
      </c>
      <c r="P49" s="126" t="str">
        <v>きょ</v>
      </c>
      <c r="Q49" s="127" t="str">
        <v>うぃ</v>
      </c>
      <c r="R49" s="84">
        <v>1</v>
      </c>
      <c r="T49" s="100" t="e">
        <v>#N/A</v>
      </c>
      <c r="U49" s="121">
        <v>0</v>
      </c>
      <c r="V49" s="59" t="str">
        <v>WI</v>
      </c>
      <c r="W49" s="126" t="str">
        <v>きる</v>
      </c>
      <c r="X49" s="126" t="str">
        <v>きょ</v>
      </c>
      <c r="Y49" s="127" t="str">
        <v>うぃ</v>
      </c>
      <c r="Z49" s="90">
        <v>1</v>
      </c>
    </row>
    <row r="50" spans="1:26" x14ac:dyDescent="0.4">
      <c r="A50" s="52">
        <v>49</v>
      </c>
      <c r="B50" s="51">
        <f t="shared" si="2"/>
        <v>2</v>
      </c>
      <c r="C50" s="50">
        <f t="shared" si="3"/>
        <v>19</v>
      </c>
      <c r="D50" s="64" t="e">
        <f t="shared" si="4"/>
        <v>#N/A</v>
      </c>
      <c r="E50" s="121" cm="1">
        <f t="array" ref="E50">INDEX(InputArea,B50,C50)</f>
        <v>0</v>
      </c>
      <c r="F50" s="59" t="str">
        <f t="shared" si="5"/>
        <v>WO</v>
      </c>
      <c r="G50" s="59" t="str">
        <f t="shared" si="6"/>
        <v>きす</v>
      </c>
      <c r="H50" s="134"/>
      <c r="I50" s="136" t="s">
        <v>303</v>
      </c>
      <c r="J50" s="84">
        <f t="shared" si="7"/>
        <v>1</v>
      </c>
      <c r="K50" s="83"/>
      <c r="L50" s="64" t="e">
        <v>#N/A</v>
      </c>
      <c r="M50" s="121">
        <v>0</v>
      </c>
      <c r="N50" s="59" t="str">
        <v>WO</v>
      </c>
      <c r="O50" s="126" t="str">
        <v>きす</v>
      </c>
      <c r="P50" s="126">
        <v>0</v>
      </c>
      <c r="Q50" s="127" t="str">
        <v>を</v>
      </c>
      <c r="R50" s="84">
        <v>1</v>
      </c>
      <c r="T50" s="100" t="e">
        <v>#N/A</v>
      </c>
      <c r="U50" s="121">
        <v>0</v>
      </c>
      <c r="V50" s="59" t="str">
        <v>WO</v>
      </c>
      <c r="W50" s="126" t="str">
        <v>きす</v>
      </c>
      <c r="X50" s="126">
        <v>0</v>
      </c>
      <c r="Y50" s="127" t="str">
        <v>を</v>
      </c>
      <c r="Z50" s="90">
        <v>1</v>
      </c>
    </row>
    <row r="51" spans="1:26" x14ac:dyDescent="0.4">
      <c r="A51" s="52">
        <v>50</v>
      </c>
      <c r="B51" s="51">
        <f t="shared" si="2"/>
        <v>2</v>
      </c>
      <c r="C51" s="50">
        <f t="shared" si="3"/>
        <v>20</v>
      </c>
      <c r="D51" s="64" t="e">
        <f t="shared" si="4"/>
        <v>#N/A</v>
      </c>
      <c r="E51" s="121" cm="1">
        <f t="array" ref="E51">INDEX(InputArea,B51,C51)</f>
        <v>0</v>
      </c>
      <c r="F51" s="59" t="str">
        <f t="shared" si="5"/>
        <v>WP</v>
      </c>
      <c r="G51" s="59" t="str">
        <f t="shared" si="6"/>
        <v>きへ</v>
      </c>
      <c r="H51" s="137" t="s">
        <v>246</v>
      </c>
      <c r="I51" s="135"/>
      <c r="J51" s="84">
        <f t="shared" si="7"/>
        <v>1</v>
      </c>
      <c r="K51" s="83"/>
      <c r="L51" s="64" t="e">
        <v>#N/A</v>
      </c>
      <c r="M51" s="121">
        <v>0</v>
      </c>
      <c r="N51" s="59" t="str">
        <v>WP</v>
      </c>
      <c r="O51" s="126" t="str">
        <v>きへ</v>
      </c>
      <c r="P51" s="126" t="str">
        <v>きゅ</v>
      </c>
      <c r="Q51" s="127">
        <v>0</v>
      </c>
      <c r="R51" s="84">
        <v>1</v>
      </c>
      <c r="T51" s="100" t="e">
        <v>#N/A</v>
      </c>
      <c r="U51" s="121">
        <v>0</v>
      </c>
      <c r="V51" s="59" t="str">
        <v>WP</v>
      </c>
      <c r="W51" s="126" t="str">
        <v>きへ</v>
      </c>
      <c r="X51" s="126" t="str">
        <v>きゅ</v>
      </c>
      <c r="Y51" s="127">
        <v>0</v>
      </c>
      <c r="Z51" s="90">
        <v>1</v>
      </c>
    </row>
    <row r="52" spans="1:26" x14ac:dyDescent="0.4">
      <c r="A52" s="52">
        <v>51</v>
      </c>
      <c r="B52" s="51">
        <f t="shared" si="2"/>
        <v>2</v>
      </c>
      <c r="C52" s="50">
        <f t="shared" si="3"/>
        <v>21</v>
      </c>
      <c r="D52" s="64" t="e">
        <f t="shared" si="4"/>
        <v>#N/A</v>
      </c>
      <c r="E52" s="121" cm="1">
        <f t="array" ref="E52">INDEX(InputArea,B52,C52)</f>
        <v>0</v>
      </c>
      <c r="F52" s="59" t="str">
        <f t="shared" si="5"/>
        <v>WH</v>
      </c>
      <c r="G52" s="59" t="str">
        <f t="shared" si="6"/>
        <v>きく</v>
      </c>
      <c r="H52" s="137" t="s">
        <v>247</v>
      </c>
      <c r="I52" s="135"/>
      <c r="J52" s="84">
        <f t="shared" si="7"/>
        <v>1</v>
      </c>
      <c r="K52" s="83"/>
      <c r="L52" s="64" t="e">
        <v>#N/A</v>
      </c>
      <c r="M52" s="121">
        <v>0</v>
      </c>
      <c r="N52" s="59" t="str">
        <v>WH</v>
      </c>
      <c r="O52" s="126" t="str">
        <v>きく</v>
      </c>
      <c r="P52" s="126" t="str">
        <v>きゃ</v>
      </c>
      <c r="Q52" s="127">
        <v>0</v>
      </c>
      <c r="R52" s="84">
        <v>1</v>
      </c>
      <c r="T52" s="100" t="e">
        <v>#N/A</v>
      </c>
      <c r="U52" s="121">
        <v>0</v>
      </c>
      <c r="V52" s="59" t="str">
        <v>WH</v>
      </c>
      <c r="W52" s="126" t="str">
        <v>きく</v>
      </c>
      <c r="X52" s="126" t="str">
        <v>きゃ</v>
      </c>
      <c r="Y52" s="127">
        <v>0</v>
      </c>
      <c r="Z52" s="90">
        <v>1</v>
      </c>
    </row>
    <row r="53" spans="1:26" x14ac:dyDescent="0.4">
      <c r="A53" s="52">
        <v>52</v>
      </c>
      <c r="B53" s="51">
        <f t="shared" si="2"/>
        <v>2</v>
      </c>
      <c r="C53" s="50">
        <f t="shared" si="3"/>
        <v>22</v>
      </c>
      <c r="D53" s="64" t="e">
        <f t="shared" si="4"/>
        <v>#N/A</v>
      </c>
      <c r="E53" s="121" cm="1">
        <f t="array" ref="E53">INDEX(InputArea,B53,C53)</f>
        <v>0</v>
      </c>
      <c r="F53" s="59" t="str">
        <f t="shared" si="5"/>
        <v>WJ</v>
      </c>
      <c r="G53" s="59" t="str">
        <f t="shared" si="6"/>
        <v>きあ</v>
      </c>
      <c r="H53" s="137" t="s">
        <v>248</v>
      </c>
      <c r="I53" s="135"/>
      <c r="J53" s="84">
        <f t="shared" si="7"/>
        <v>1</v>
      </c>
      <c r="K53" s="83"/>
      <c r="L53" s="64" t="e">
        <v>#N/A</v>
      </c>
      <c r="M53" s="121">
        <v>0</v>
      </c>
      <c r="N53" s="59" t="str">
        <v>WJ</v>
      </c>
      <c r="O53" s="126" t="str">
        <v>きあ</v>
      </c>
      <c r="P53" s="126" t="str">
        <v>ぎ</v>
      </c>
      <c r="Q53" s="127">
        <v>0</v>
      </c>
      <c r="R53" s="84">
        <v>1</v>
      </c>
      <c r="T53" s="100" t="e">
        <v>#N/A</v>
      </c>
      <c r="U53" s="121">
        <v>0</v>
      </c>
      <c r="V53" s="59" t="str">
        <v>WJ</v>
      </c>
      <c r="W53" s="126" t="str">
        <v>きあ</v>
      </c>
      <c r="X53" s="126" t="str">
        <v>ぎ</v>
      </c>
      <c r="Y53" s="127">
        <v>0</v>
      </c>
      <c r="Z53" s="90">
        <v>1</v>
      </c>
    </row>
    <row r="54" spans="1:26" x14ac:dyDescent="0.4">
      <c r="A54" s="52">
        <v>53</v>
      </c>
      <c r="B54" s="51">
        <f t="shared" si="2"/>
        <v>2</v>
      </c>
      <c r="C54" s="50">
        <f t="shared" si="3"/>
        <v>23</v>
      </c>
      <c r="D54" s="64" t="e">
        <f t="shared" si="4"/>
        <v>#N/A</v>
      </c>
      <c r="E54" s="121" cm="1">
        <f t="array" ref="E54">INDEX(InputArea,B54,C54)</f>
        <v>0</v>
      </c>
      <c r="F54" s="59" t="str">
        <f t="shared" si="5"/>
        <v>WK</v>
      </c>
      <c r="G54" s="59" t="str">
        <f t="shared" si="6"/>
        <v>きい</v>
      </c>
      <c r="H54" s="134"/>
      <c r="I54" s="135"/>
      <c r="J54" s="84">
        <f t="shared" si="7"/>
        <v>1</v>
      </c>
      <c r="K54" s="83"/>
      <c r="L54" s="64" t="e">
        <v>#N/A</v>
      </c>
      <c r="M54" s="121">
        <v>0</v>
      </c>
      <c r="N54" s="59" t="str">
        <v>WK</v>
      </c>
      <c r="O54" s="126" t="str">
        <v>きい</v>
      </c>
      <c r="P54" s="126">
        <v>0</v>
      </c>
      <c r="Q54" s="127">
        <v>0</v>
      </c>
      <c r="R54" s="84">
        <v>1</v>
      </c>
      <c r="T54" s="100" t="e">
        <v>#N/A</v>
      </c>
      <c r="U54" s="121">
        <v>0</v>
      </c>
      <c r="V54" s="59" t="str">
        <v>WK</v>
      </c>
      <c r="W54" s="126" t="str">
        <v>きい</v>
      </c>
      <c r="X54" s="126">
        <v>0</v>
      </c>
      <c r="Y54" s="127">
        <v>0</v>
      </c>
      <c r="Z54" s="90">
        <v>1</v>
      </c>
    </row>
    <row r="55" spans="1:26" x14ac:dyDescent="0.4">
      <c r="A55" s="52">
        <v>54</v>
      </c>
      <c r="B55" s="51">
        <f t="shared" si="2"/>
        <v>2</v>
      </c>
      <c r="C55" s="50">
        <f t="shared" si="3"/>
        <v>24</v>
      </c>
      <c r="D55" s="64" t="e">
        <f t="shared" si="4"/>
        <v>#N/A</v>
      </c>
      <c r="E55" s="121" cm="1">
        <f t="array" ref="E55">INDEX(InputArea,B55,C55)</f>
        <v>0</v>
      </c>
      <c r="F55" s="59" t="str">
        <f t="shared" si="5"/>
        <v>WL</v>
      </c>
      <c r="G55" s="59" t="str">
        <f t="shared" si="6"/>
        <v>きう</v>
      </c>
      <c r="H55" s="134"/>
      <c r="I55" s="135"/>
      <c r="J55" s="84">
        <f t="shared" si="7"/>
        <v>1</v>
      </c>
      <c r="K55" s="83"/>
      <c r="L55" s="64" t="e">
        <v>#N/A</v>
      </c>
      <c r="M55" s="121">
        <v>0</v>
      </c>
      <c r="N55" s="59" t="str">
        <v>WL</v>
      </c>
      <c r="O55" s="126" t="str">
        <v>きう</v>
      </c>
      <c r="P55" s="126">
        <v>0</v>
      </c>
      <c r="Q55" s="127">
        <v>0</v>
      </c>
      <c r="R55" s="84">
        <v>1</v>
      </c>
      <c r="T55" s="100" t="e">
        <v>#N/A</v>
      </c>
      <c r="U55" s="121">
        <v>0</v>
      </c>
      <c r="V55" s="59" t="str">
        <v>WL</v>
      </c>
      <c r="W55" s="126" t="str">
        <v>きう</v>
      </c>
      <c r="X55" s="126">
        <v>0</v>
      </c>
      <c r="Y55" s="127">
        <v>0</v>
      </c>
      <c r="Z55" s="90">
        <v>1</v>
      </c>
    </row>
    <row r="56" spans="1:26" x14ac:dyDescent="0.4">
      <c r="A56" s="52">
        <v>55</v>
      </c>
      <c r="B56" s="51">
        <f t="shared" si="2"/>
        <v>2</v>
      </c>
      <c r="C56" s="50">
        <f t="shared" si="3"/>
        <v>25</v>
      </c>
      <c r="D56" s="64" t="e">
        <f t="shared" si="4"/>
        <v>#N/A</v>
      </c>
      <c r="E56" s="121" cm="1">
        <f t="array" ref="E56">INDEX(InputArea,B56,C56)</f>
        <v>0</v>
      </c>
      <c r="F56" s="59" t="str">
        <f t="shared" si="5"/>
        <v>W;</v>
      </c>
      <c r="G56" s="59" t="str">
        <f t="shared" si="6"/>
        <v>きー</v>
      </c>
      <c r="H56" s="134"/>
      <c r="I56" s="135"/>
      <c r="J56" s="84">
        <f t="shared" si="7"/>
        <v>1</v>
      </c>
      <c r="K56" s="83"/>
      <c r="L56" s="64" t="e">
        <v>#N/A</v>
      </c>
      <c r="M56" s="121">
        <v>0</v>
      </c>
      <c r="N56" s="59" t="str">
        <v>W;</v>
      </c>
      <c r="O56" s="126" t="str">
        <v>きー</v>
      </c>
      <c r="P56" s="126">
        <v>0</v>
      </c>
      <c r="Q56" s="127">
        <v>0</v>
      </c>
      <c r="R56" s="84">
        <v>1</v>
      </c>
      <c r="T56" s="100" t="e">
        <v>#N/A</v>
      </c>
      <c r="U56" s="121">
        <v>0</v>
      </c>
      <c r="V56" s="59" t="str">
        <v>W;</v>
      </c>
      <c r="W56" s="126" t="str">
        <v>きー</v>
      </c>
      <c r="X56" s="126">
        <v>0</v>
      </c>
      <c r="Y56" s="127">
        <v>0</v>
      </c>
      <c r="Z56" s="90">
        <v>1</v>
      </c>
    </row>
    <row r="57" spans="1:26" x14ac:dyDescent="0.4">
      <c r="A57" s="52">
        <v>56</v>
      </c>
      <c r="B57" s="51">
        <f t="shared" si="2"/>
        <v>2</v>
      </c>
      <c r="C57" s="50">
        <f t="shared" si="3"/>
        <v>26</v>
      </c>
      <c r="D57" s="64" t="e">
        <f t="shared" si="4"/>
        <v>#N/A</v>
      </c>
      <c r="E57" s="121" cm="1">
        <f t="array" ref="E57">INDEX(InputArea,B57,C57)</f>
        <v>0</v>
      </c>
      <c r="F57" s="59" t="str">
        <f t="shared" si="5"/>
        <v>WN</v>
      </c>
      <c r="G57" s="59" t="str">
        <f t="shared" si="6"/>
        <v>きた</v>
      </c>
      <c r="H57" s="134"/>
      <c r="I57" s="135"/>
      <c r="J57" s="84">
        <f t="shared" si="7"/>
        <v>1</v>
      </c>
      <c r="K57" s="83"/>
      <c r="L57" s="64" t="e">
        <v>#N/A</v>
      </c>
      <c r="M57" s="121">
        <v>0</v>
      </c>
      <c r="N57" s="59" t="str">
        <v>WN</v>
      </c>
      <c r="O57" s="126" t="str">
        <v>きた</v>
      </c>
      <c r="P57" s="126">
        <v>0</v>
      </c>
      <c r="Q57" s="127">
        <v>0</v>
      </c>
      <c r="R57" s="84">
        <v>1</v>
      </c>
      <c r="T57" s="100" t="e">
        <v>#N/A</v>
      </c>
      <c r="U57" s="121">
        <v>0</v>
      </c>
      <c r="V57" s="59" t="str">
        <v>WN</v>
      </c>
      <c r="W57" s="126" t="str">
        <v>きた</v>
      </c>
      <c r="X57" s="126">
        <v>0</v>
      </c>
      <c r="Y57" s="127">
        <v>0</v>
      </c>
      <c r="Z57" s="90">
        <v>1</v>
      </c>
    </row>
    <row r="58" spans="1:26" x14ac:dyDescent="0.4">
      <c r="A58" s="52">
        <v>57</v>
      </c>
      <c r="B58" s="51">
        <f t="shared" si="2"/>
        <v>2</v>
      </c>
      <c r="C58" s="50">
        <f t="shared" si="3"/>
        <v>27</v>
      </c>
      <c r="D58" s="64" t="e">
        <f t="shared" si="4"/>
        <v>#N/A</v>
      </c>
      <c r="E58" s="121" cm="1">
        <f t="array" ref="E58">INDEX(InputArea,B58,C58)</f>
        <v>0</v>
      </c>
      <c r="F58" s="59" t="str">
        <f t="shared" si="5"/>
        <v>WM</v>
      </c>
      <c r="G58" s="59" t="str">
        <f t="shared" si="6"/>
        <v>きな</v>
      </c>
      <c r="H58" s="134"/>
      <c r="I58" s="135"/>
      <c r="J58" s="84">
        <f t="shared" si="7"/>
        <v>1</v>
      </c>
      <c r="K58" s="83"/>
      <c r="L58" s="64" t="e">
        <v>#N/A</v>
      </c>
      <c r="M58" s="121">
        <v>0</v>
      </c>
      <c r="N58" s="59" t="str">
        <v>WM</v>
      </c>
      <c r="O58" s="126" t="str">
        <v>きな</v>
      </c>
      <c r="P58" s="126">
        <v>0</v>
      </c>
      <c r="Q58" s="127">
        <v>0</v>
      </c>
      <c r="R58" s="84">
        <v>1</v>
      </c>
      <c r="T58" s="100" t="e">
        <v>#N/A</v>
      </c>
      <c r="U58" s="121">
        <v>0</v>
      </c>
      <c r="V58" s="59" t="str">
        <v>WM</v>
      </c>
      <c r="W58" s="126" t="str">
        <v>きな</v>
      </c>
      <c r="X58" s="126">
        <v>0</v>
      </c>
      <c r="Y58" s="127">
        <v>0</v>
      </c>
      <c r="Z58" s="90">
        <v>1</v>
      </c>
    </row>
    <row r="59" spans="1:26" x14ac:dyDescent="0.4">
      <c r="A59" s="52">
        <v>58</v>
      </c>
      <c r="B59" s="51">
        <f t="shared" si="2"/>
        <v>2</v>
      </c>
      <c r="C59" s="50">
        <f t="shared" si="3"/>
        <v>28</v>
      </c>
      <c r="D59" s="64" t="e">
        <f t="shared" si="4"/>
        <v>#N/A</v>
      </c>
      <c r="E59" s="121" cm="1">
        <f t="array" ref="E59">INDEX(InputArea,B59,C59)</f>
        <v>0</v>
      </c>
      <c r="F59" s="59" t="str">
        <f t="shared" si="5"/>
        <v>W,</v>
      </c>
      <c r="G59" s="59" t="str">
        <f t="shared" si="6"/>
        <v>きん</v>
      </c>
      <c r="H59" s="134"/>
      <c r="I59" s="135"/>
      <c r="J59" s="84">
        <f t="shared" si="7"/>
        <v>1</v>
      </c>
      <c r="K59" s="83"/>
      <c r="L59" s="64" t="e">
        <v>#N/A</v>
      </c>
      <c r="M59" s="121">
        <v>0</v>
      </c>
      <c r="N59" s="59" t="str">
        <v>W,</v>
      </c>
      <c r="O59" s="126" t="str">
        <v>きん</v>
      </c>
      <c r="P59" s="126">
        <v>0</v>
      </c>
      <c r="Q59" s="127">
        <v>0</v>
      </c>
      <c r="R59" s="84">
        <v>1</v>
      </c>
      <c r="T59" s="100" t="e">
        <v>#N/A</v>
      </c>
      <c r="U59" s="121">
        <v>0</v>
      </c>
      <c r="V59" s="59" t="str">
        <v>W,</v>
      </c>
      <c r="W59" s="126" t="str">
        <v>きん</v>
      </c>
      <c r="X59" s="126">
        <v>0</v>
      </c>
      <c r="Y59" s="127">
        <v>0</v>
      </c>
      <c r="Z59" s="90">
        <v>1</v>
      </c>
    </row>
    <row r="60" spans="1:26" x14ac:dyDescent="0.4">
      <c r="A60" s="52">
        <v>59</v>
      </c>
      <c r="B60" s="51">
        <f t="shared" si="2"/>
        <v>2</v>
      </c>
      <c r="C60" s="50">
        <f t="shared" si="3"/>
        <v>29</v>
      </c>
      <c r="D60" s="64" t="e">
        <f t="shared" si="4"/>
        <v>#N/A</v>
      </c>
      <c r="E60" s="121" cm="1">
        <f t="array" ref="E60">INDEX(InputArea,B60,C60)</f>
        <v>0</v>
      </c>
      <c r="F60" s="59" t="str">
        <f t="shared" si="5"/>
        <v>W.</v>
      </c>
      <c r="G60" s="59" t="str">
        <f t="shared" si="6"/>
        <v>きら</v>
      </c>
      <c r="H60" s="134"/>
      <c r="I60" s="135"/>
      <c r="J60" s="84">
        <f t="shared" si="7"/>
        <v>1</v>
      </c>
      <c r="K60" s="83"/>
      <c r="L60" s="64" t="e">
        <v>#N/A</v>
      </c>
      <c r="M60" s="121">
        <v>0</v>
      </c>
      <c r="N60" s="59" t="str">
        <v>W.</v>
      </c>
      <c r="O60" s="126" t="str">
        <v>きら</v>
      </c>
      <c r="P60" s="126">
        <v>0</v>
      </c>
      <c r="Q60" s="127">
        <v>0</v>
      </c>
      <c r="R60" s="84">
        <v>1</v>
      </c>
      <c r="T60" s="100" t="e">
        <v>#N/A</v>
      </c>
      <c r="U60" s="121">
        <v>0</v>
      </c>
      <c r="V60" s="59" t="str">
        <v>W.</v>
      </c>
      <c r="W60" s="126" t="str">
        <v>きら</v>
      </c>
      <c r="X60" s="126">
        <v>0</v>
      </c>
      <c r="Y60" s="127">
        <v>0</v>
      </c>
      <c r="Z60" s="90">
        <v>1</v>
      </c>
    </row>
    <row r="61" spans="1:26" x14ac:dyDescent="0.4">
      <c r="A61" s="52">
        <v>60</v>
      </c>
      <c r="B61" s="51">
        <f t="shared" si="2"/>
        <v>2</v>
      </c>
      <c r="C61" s="50">
        <f t="shared" si="3"/>
        <v>30</v>
      </c>
      <c r="D61" s="64" t="e">
        <f t="shared" si="4"/>
        <v>#N/A</v>
      </c>
      <c r="E61" s="121" cm="1">
        <f t="array" ref="E61">INDEX(InputArea,B61,C61)</f>
        <v>0</v>
      </c>
      <c r="F61" s="59" t="str">
        <f t="shared" si="5"/>
        <v>W/</v>
      </c>
      <c r="G61" s="59" t="str">
        <f t="shared" si="6"/>
        <v>きれ</v>
      </c>
      <c r="H61" s="134"/>
      <c r="I61" s="135"/>
      <c r="J61" s="84">
        <f t="shared" si="7"/>
        <v>1</v>
      </c>
      <c r="K61" s="83"/>
      <c r="L61" s="64" t="e">
        <v>#N/A</v>
      </c>
      <c r="M61" s="121">
        <v>0</v>
      </c>
      <c r="N61" s="59" t="str">
        <v>W/</v>
      </c>
      <c r="O61" s="126" t="str">
        <v>きれ</v>
      </c>
      <c r="P61" s="126">
        <v>0</v>
      </c>
      <c r="Q61" s="127">
        <v>0</v>
      </c>
      <c r="R61" s="84">
        <v>1</v>
      </c>
      <c r="T61" s="100" t="e">
        <v>#N/A</v>
      </c>
      <c r="U61" s="121">
        <v>0</v>
      </c>
      <c r="V61" s="59" t="str">
        <v>W/</v>
      </c>
      <c r="W61" s="126" t="str">
        <v>きれ</v>
      </c>
      <c r="X61" s="126">
        <v>0</v>
      </c>
      <c r="Y61" s="127">
        <v>0</v>
      </c>
      <c r="Z61" s="90">
        <v>1</v>
      </c>
    </row>
    <row r="62" spans="1:26" x14ac:dyDescent="0.4">
      <c r="A62" s="52">
        <v>61</v>
      </c>
      <c r="B62" s="51">
        <f t="shared" si="2"/>
        <v>3</v>
      </c>
      <c r="C62" s="50">
        <f t="shared" si="3"/>
        <v>1</v>
      </c>
      <c r="D62" s="64" t="e">
        <f t="shared" si="4"/>
        <v>#N/A</v>
      </c>
      <c r="E62" s="121" cm="1">
        <f t="array" ref="E62">INDEX(InputArea,B62,C62)</f>
        <v>0</v>
      </c>
      <c r="F62" s="59" t="str">
        <f t="shared" si="5"/>
        <v>EQ</v>
      </c>
      <c r="G62" s="59" t="str">
        <f t="shared" si="6"/>
        <v>てヴ</v>
      </c>
      <c r="H62" s="134"/>
      <c r="I62" s="136" t="s">
        <v>315</v>
      </c>
      <c r="J62" s="84">
        <f t="shared" si="7"/>
        <v>0</v>
      </c>
      <c r="K62" s="83"/>
      <c r="L62" s="64" t="e">
        <v>#N/A</v>
      </c>
      <c r="M62" s="121">
        <v>0</v>
      </c>
      <c r="N62" s="59" t="str">
        <v>EQ</v>
      </c>
      <c r="O62" s="126" t="str">
        <v>てヴ</v>
      </c>
      <c r="P62" s="126">
        <v>0</v>
      </c>
      <c r="Q62" s="127" t="str">
        <v>えｑ</v>
      </c>
      <c r="R62" s="84">
        <v>0</v>
      </c>
      <c r="T62" s="100" t="e">
        <v>#N/A</v>
      </c>
      <c r="U62" s="121">
        <v>0</v>
      </c>
      <c r="V62" s="59" t="str">
        <v>EQ</v>
      </c>
      <c r="W62" s="126" t="str">
        <v>てヴ</v>
      </c>
      <c r="X62" s="126">
        <v>0</v>
      </c>
      <c r="Y62" s="127" t="str">
        <v>えｑ</v>
      </c>
      <c r="Z62" s="90">
        <v>0</v>
      </c>
    </row>
    <row r="63" spans="1:26" x14ac:dyDescent="0.4">
      <c r="A63" s="52">
        <v>62</v>
      </c>
      <c r="B63" s="51">
        <f t="shared" si="2"/>
        <v>3</v>
      </c>
      <c r="C63" s="50">
        <f t="shared" si="3"/>
        <v>2</v>
      </c>
      <c r="D63" s="64" t="e">
        <f t="shared" si="4"/>
        <v>#N/A</v>
      </c>
      <c r="E63" s="121" cm="1">
        <f t="array" ref="E63">INDEX(InputArea,B63,C63)</f>
        <v>0</v>
      </c>
      <c r="F63" s="59" t="str">
        <f t="shared" si="5"/>
        <v>EW</v>
      </c>
      <c r="G63" s="59" t="str">
        <f t="shared" si="6"/>
        <v>てき</v>
      </c>
      <c r="H63" s="134"/>
      <c r="I63" s="136" t="s">
        <v>316</v>
      </c>
      <c r="J63" s="84">
        <f t="shared" si="7"/>
        <v>0</v>
      </c>
      <c r="K63" s="83"/>
      <c r="L63" s="64" t="e">
        <v>#N/A</v>
      </c>
      <c r="M63" s="121">
        <v>0</v>
      </c>
      <c r="N63" s="59" t="str">
        <v>EW</v>
      </c>
      <c r="O63" s="126" t="str">
        <v>てき</v>
      </c>
      <c r="P63" s="126">
        <v>0</v>
      </c>
      <c r="Q63" s="127" t="str">
        <v>えｗ</v>
      </c>
      <c r="R63" s="84">
        <v>0</v>
      </c>
      <c r="T63" s="100" t="e">
        <v>#N/A</v>
      </c>
      <c r="U63" s="121">
        <v>0</v>
      </c>
      <c r="V63" s="59" t="str">
        <v>EW</v>
      </c>
      <c r="W63" s="126" t="str">
        <v>てき</v>
      </c>
      <c r="X63" s="126">
        <v>0</v>
      </c>
      <c r="Y63" s="127" t="str">
        <v>えｗ</v>
      </c>
      <c r="Z63" s="90">
        <v>0</v>
      </c>
    </row>
    <row r="64" spans="1:26" x14ac:dyDescent="0.4">
      <c r="A64" s="52">
        <v>63</v>
      </c>
      <c r="B64" s="51">
        <f t="shared" si="2"/>
        <v>3</v>
      </c>
      <c r="C64" s="50">
        <f t="shared" si="3"/>
        <v>3</v>
      </c>
      <c r="D64" s="64" t="e">
        <f t="shared" si="4"/>
        <v>#N/A</v>
      </c>
      <c r="E64" s="121" cm="1">
        <f t="array" ref="E64">INDEX(InputArea,B64,C64)</f>
        <v>0</v>
      </c>
      <c r="F64" s="59" t="str">
        <f t="shared" si="5"/>
        <v>EE</v>
      </c>
      <c r="G64" s="59" t="str">
        <f t="shared" si="6"/>
        <v>てて</v>
      </c>
      <c r="H64" s="134"/>
      <c r="I64" s="136" t="s">
        <v>317</v>
      </c>
      <c r="J64" s="84">
        <f t="shared" si="7"/>
        <v>0</v>
      </c>
      <c r="K64" s="83"/>
      <c r="L64" s="64" t="e">
        <v>#N/A</v>
      </c>
      <c r="M64" s="121">
        <v>0</v>
      </c>
      <c r="N64" s="59" t="str">
        <v>EE</v>
      </c>
      <c r="O64" s="126" t="str">
        <v>てて</v>
      </c>
      <c r="P64" s="126">
        <v>0</v>
      </c>
      <c r="Q64" s="127" t="str">
        <v>ええ</v>
      </c>
      <c r="R64" s="84">
        <v>0</v>
      </c>
      <c r="T64" s="100" t="e">
        <v>#N/A</v>
      </c>
      <c r="U64" s="121">
        <v>0</v>
      </c>
      <c r="V64" s="59" t="str">
        <v>EE</v>
      </c>
      <c r="W64" s="126" t="str">
        <v>てて</v>
      </c>
      <c r="X64" s="126">
        <v>0</v>
      </c>
      <c r="Y64" s="127" t="str">
        <v>ええ</v>
      </c>
      <c r="Z64" s="90">
        <v>0</v>
      </c>
    </row>
    <row r="65" spans="1:26" x14ac:dyDescent="0.4">
      <c r="A65" s="52">
        <v>64</v>
      </c>
      <c r="B65" s="51">
        <f t="shared" si="2"/>
        <v>3</v>
      </c>
      <c r="C65" s="50">
        <f t="shared" si="3"/>
        <v>4</v>
      </c>
      <c r="D65" s="64" t="e">
        <f t="shared" si="4"/>
        <v>#N/A</v>
      </c>
      <c r="E65" s="121" cm="1">
        <f t="array" ref="E65">INDEX(InputArea,B65,C65)</f>
        <v>0</v>
      </c>
      <c r="F65" s="59" t="str">
        <f t="shared" si="5"/>
        <v>ER</v>
      </c>
      <c r="G65" s="59" t="str">
        <f t="shared" si="6"/>
        <v>てし</v>
      </c>
      <c r="H65" s="134"/>
      <c r="I65" s="136" t="s">
        <v>318</v>
      </c>
      <c r="J65" s="84">
        <f t="shared" si="7"/>
        <v>0</v>
      </c>
      <c r="K65" s="83"/>
      <c r="L65" s="64" t="e">
        <v>#N/A</v>
      </c>
      <c r="M65" s="121">
        <v>0</v>
      </c>
      <c r="N65" s="59" t="str">
        <v>ER</v>
      </c>
      <c r="O65" s="126" t="str">
        <v>てし</v>
      </c>
      <c r="P65" s="126">
        <v>0</v>
      </c>
      <c r="Q65" s="127" t="str">
        <v>えｒ</v>
      </c>
      <c r="R65" s="84">
        <v>0</v>
      </c>
      <c r="T65" s="100" t="e">
        <v>#N/A</v>
      </c>
      <c r="U65" s="121">
        <v>0</v>
      </c>
      <c r="V65" s="59" t="str">
        <v>ER</v>
      </c>
      <c r="W65" s="126" t="str">
        <v>てし</v>
      </c>
      <c r="X65" s="126">
        <v>0</v>
      </c>
      <c r="Y65" s="127" t="str">
        <v>えｒ</v>
      </c>
      <c r="Z65" s="90">
        <v>0</v>
      </c>
    </row>
    <row r="66" spans="1:26" x14ac:dyDescent="0.4">
      <c r="A66" s="52">
        <v>65</v>
      </c>
      <c r="B66" s="51">
        <f t="shared" ref="B66:B129" si="8">_xlfn.CEILING.MATH(A66/COLUMNS(InputArea))</f>
        <v>3</v>
      </c>
      <c r="C66" s="50">
        <f t="shared" ref="C66:C129" si="9">MOD(A66-1,COLUMNS(InputArea))+1</f>
        <v>5</v>
      </c>
      <c r="D66" s="64" t="e">
        <f t="shared" ref="D66:D129" si="10">_xlfn.RANK.EQ(E66,InputArea,1)</f>
        <v>#N/A</v>
      </c>
      <c r="E66" s="121" cm="1">
        <f t="array" ref="E66">INDEX(InputArea,B66,C66)</f>
        <v>0</v>
      </c>
      <c r="F66" s="59" t="str">
        <f t="shared" ref="F66:F129" si="11">_xlfn.CONCAT(INDEX(RowName,B66),INDEX(ColName,,C66))</f>
        <v>ET</v>
      </c>
      <c r="G66" s="59" t="str">
        <f t="shared" ref="G66:G129" si="12">_xlfn.CONCAT(INDEX(RowKana,B66),INDEX(ColKana,,C66))</f>
        <v>て←</v>
      </c>
      <c r="H66" s="134"/>
      <c r="I66" s="136" t="s">
        <v>319</v>
      </c>
      <c r="J66" s="84">
        <f t="shared" si="7"/>
        <v>0</v>
      </c>
      <c r="K66" s="83"/>
      <c r="L66" s="64" t="e">
        <v>#N/A</v>
      </c>
      <c r="M66" s="121">
        <v>0</v>
      </c>
      <c r="N66" s="59" t="str">
        <v>ET</v>
      </c>
      <c r="O66" s="126" t="str">
        <v>て←</v>
      </c>
      <c r="P66" s="126">
        <v>0</v>
      </c>
      <c r="Q66" s="127" t="str">
        <v>えｔ</v>
      </c>
      <c r="R66" s="84">
        <v>0</v>
      </c>
      <c r="T66" s="100" t="e">
        <v>#N/A</v>
      </c>
      <c r="U66" s="121">
        <v>0</v>
      </c>
      <c r="V66" s="59" t="str">
        <v>ET</v>
      </c>
      <c r="W66" s="126" t="str">
        <v>て←</v>
      </c>
      <c r="X66" s="126">
        <v>0</v>
      </c>
      <c r="Y66" s="127" t="str">
        <v>えｔ</v>
      </c>
      <c r="Z66" s="90">
        <v>0</v>
      </c>
    </row>
    <row r="67" spans="1:26" x14ac:dyDescent="0.4">
      <c r="A67" s="52">
        <v>66</v>
      </c>
      <c r="B67" s="51">
        <f t="shared" si="8"/>
        <v>3</v>
      </c>
      <c r="C67" s="50">
        <f t="shared" si="9"/>
        <v>6</v>
      </c>
      <c r="D67" s="64" t="e">
        <f t="shared" si="10"/>
        <v>#N/A</v>
      </c>
      <c r="E67" s="121" cm="1">
        <f t="array" ref="E67">INDEX(InputArea,B67,C67)</f>
        <v>0</v>
      </c>
      <c r="F67" s="59" t="str">
        <f t="shared" si="11"/>
        <v>EA</v>
      </c>
      <c r="G67" s="59" t="str">
        <f t="shared" si="12"/>
        <v>てろ</v>
      </c>
      <c r="H67" s="134"/>
      <c r="I67" s="136" t="s">
        <v>320</v>
      </c>
      <c r="J67" s="84">
        <f t="shared" ref="J67:J130" si="13">(_xlfn.CEILING.MATH(B67/15)-1)*2+_xlfn.CEILING.MATH(C67/15)-1</f>
        <v>0</v>
      </c>
      <c r="K67" s="83"/>
      <c r="L67" s="64" t="e">
        <v>#N/A</v>
      </c>
      <c r="M67" s="121">
        <v>0</v>
      </c>
      <c r="N67" s="59" t="str">
        <v>EA</v>
      </c>
      <c r="O67" s="126" t="str">
        <v>てろ</v>
      </c>
      <c r="P67" s="126">
        <v>0</v>
      </c>
      <c r="Q67" s="127" t="str">
        <v>えあ</v>
      </c>
      <c r="R67" s="84">
        <v>0</v>
      </c>
      <c r="T67" s="100" t="e">
        <v>#N/A</v>
      </c>
      <c r="U67" s="121">
        <v>0</v>
      </c>
      <c r="V67" s="59" t="str">
        <v>EA</v>
      </c>
      <c r="W67" s="126" t="str">
        <v>てろ</v>
      </c>
      <c r="X67" s="126">
        <v>0</v>
      </c>
      <c r="Y67" s="127" t="str">
        <v>えあ</v>
      </c>
      <c r="Z67" s="90">
        <v>0</v>
      </c>
    </row>
    <row r="68" spans="1:26" x14ac:dyDescent="0.4">
      <c r="A68" s="52">
        <v>67</v>
      </c>
      <c r="B68" s="51">
        <f t="shared" si="8"/>
        <v>3</v>
      </c>
      <c r="C68" s="50">
        <f t="shared" si="9"/>
        <v>7</v>
      </c>
      <c r="D68" s="64" t="e">
        <f t="shared" si="10"/>
        <v>#N/A</v>
      </c>
      <c r="E68" s="121" cm="1">
        <f t="array" ref="E68">INDEX(InputArea,B68,C68)</f>
        <v>0</v>
      </c>
      <c r="F68" s="59" t="str">
        <f t="shared" si="11"/>
        <v>ES</v>
      </c>
      <c r="G68" s="59" t="str">
        <f t="shared" si="12"/>
        <v>てけ</v>
      </c>
      <c r="H68" s="134"/>
      <c r="I68" s="136" t="s">
        <v>321</v>
      </c>
      <c r="J68" s="84">
        <f t="shared" si="13"/>
        <v>0</v>
      </c>
      <c r="K68" s="83"/>
      <c r="L68" s="64" t="e">
        <v>#N/A</v>
      </c>
      <c r="M68" s="121">
        <v>0</v>
      </c>
      <c r="N68" s="59" t="str">
        <v>ES</v>
      </c>
      <c r="O68" s="126" t="str">
        <v>てけ</v>
      </c>
      <c r="P68" s="126">
        <v>0</v>
      </c>
      <c r="Q68" s="127" t="str">
        <v>えｓ</v>
      </c>
      <c r="R68" s="84">
        <v>0</v>
      </c>
      <c r="T68" s="100" t="e">
        <v>#N/A</v>
      </c>
      <c r="U68" s="121">
        <v>0</v>
      </c>
      <c r="V68" s="59" t="str">
        <v>ES</v>
      </c>
      <c r="W68" s="126" t="str">
        <v>てけ</v>
      </c>
      <c r="X68" s="126">
        <v>0</v>
      </c>
      <c r="Y68" s="127" t="str">
        <v>えｓ</v>
      </c>
      <c r="Z68" s="90">
        <v>0</v>
      </c>
    </row>
    <row r="69" spans="1:26" x14ac:dyDescent="0.4">
      <c r="A69" s="52">
        <v>68</v>
      </c>
      <c r="B69" s="51">
        <f t="shared" si="8"/>
        <v>3</v>
      </c>
      <c r="C69" s="50">
        <f t="shared" si="9"/>
        <v>8</v>
      </c>
      <c r="D69" s="64" t="e">
        <f t="shared" si="10"/>
        <v>#N/A</v>
      </c>
      <c r="E69" s="121" cm="1">
        <f t="array" ref="E69">INDEX(InputArea,B69,C69)</f>
        <v>0</v>
      </c>
      <c r="F69" s="59" t="str">
        <f t="shared" si="11"/>
        <v>ED</v>
      </c>
      <c r="G69" s="59" t="str">
        <f t="shared" si="12"/>
        <v>てと</v>
      </c>
      <c r="H69" s="134"/>
      <c r="I69" s="136" t="s">
        <v>322</v>
      </c>
      <c r="J69" s="84">
        <f t="shared" si="13"/>
        <v>0</v>
      </c>
      <c r="K69" s="83"/>
      <c r="L69" s="64" t="e">
        <v>#N/A</v>
      </c>
      <c r="M69" s="121">
        <v>0</v>
      </c>
      <c r="N69" s="59" t="str">
        <v>ED</v>
      </c>
      <c r="O69" s="126" t="str">
        <v>てと</v>
      </c>
      <c r="P69" s="126">
        <v>0</v>
      </c>
      <c r="Q69" s="127" t="str">
        <v>えｄ</v>
      </c>
      <c r="R69" s="84">
        <v>0</v>
      </c>
      <c r="T69" s="100" t="e">
        <v>#N/A</v>
      </c>
      <c r="U69" s="121">
        <v>0</v>
      </c>
      <c r="V69" s="59" t="str">
        <v>ED</v>
      </c>
      <c r="W69" s="126" t="str">
        <v>てと</v>
      </c>
      <c r="X69" s="126">
        <v>0</v>
      </c>
      <c r="Y69" s="127" t="str">
        <v>えｄ</v>
      </c>
      <c r="Z69" s="90">
        <v>0</v>
      </c>
    </row>
    <row r="70" spans="1:26" x14ac:dyDescent="0.4">
      <c r="A70" s="52">
        <v>69</v>
      </c>
      <c r="B70" s="51">
        <f t="shared" si="8"/>
        <v>3</v>
      </c>
      <c r="C70" s="50">
        <f t="shared" si="9"/>
        <v>9</v>
      </c>
      <c r="D70" s="64" t="e">
        <f t="shared" si="10"/>
        <v>#N/A</v>
      </c>
      <c r="E70" s="121" cm="1">
        <f t="array" ref="E70">INDEX(InputArea,B70,C70)</f>
        <v>0</v>
      </c>
      <c r="F70" s="59" t="str">
        <f t="shared" si="11"/>
        <v>EF</v>
      </c>
      <c r="G70" s="59" t="str">
        <f t="shared" si="12"/>
        <v>てか</v>
      </c>
      <c r="H70" s="134"/>
      <c r="I70" s="136" t="s">
        <v>323</v>
      </c>
      <c r="J70" s="84">
        <f t="shared" si="13"/>
        <v>0</v>
      </c>
      <c r="K70" s="83"/>
      <c r="L70" s="64" t="e">
        <v>#N/A</v>
      </c>
      <c r="M70" s="121">
        <v>0</v>
      </c>
      <c r="N70" s="59" t="str">
        <v>EF</v>
      </c>
      <c r="O70" s="126" t="str">
        <v>てか</v>
      </c>
      <c r="P70" s="126">
        <v>0</v>
      </c>
      <c r="Q70" s="127" t="str">
        <v>えｆ</v>
      </c>
      <c r="R70" s="84">
        <v>0</v>
      </c>
      <c r="T70" s="100" t="e">
        <v>#N/A</v>
      </c>
      <c r="U70" s="121">
        <v>0</v>
      </c>
      <c r="V70" s="59" t="str">
        <v>EF</v>
      </c>
      <c r="W70" s="126" t="str">
        <v>てか</v>
      </c>
      <c r="X70" s="126">
        <v>0</v>
      </c>
      <c r="Y70" s="127" t="str">
        <v>えｆ</v>
      </c>
      <c r="Z70" s="90">
        <v>0</v>
      </c>
    </row>
    <row r="71" spans="1:26" x14ac:dyDescent="0.4">
      <c r="A71" s="52">
        <v>70</v>
      </c>
      <c r="B71" s="51">
        <f t="shared" si="8"/>
        <v>3</v>
      </c>
      <c r="C71" s="50">
        <f t="shared" si="9"/>
        <v>10</v>
      </c>
      <c r="D71" s="64" t="e">
        <f t="shared" si="10"/>
        <v>#N/A</v>
      </c>
      <c r="E71" s="121" cm="1">
        <f t="array" ref="E71">INDEX(InputArea,B71,C71)</f>
        <v>0</v>
      </c>
      <c r="F71" s="59" t="str">
        <f t="shared" si="11"/>
        <v>EG</v>
      </c>
      <c r="G71" s="59" t="str">
        <f t="shared" si="12"/>
        <v>てっ</v>
      </c>
      <c r="H71" s="134"/>
      <c r="I71" s="136" t="s">
        <v>324</v>
      </c>
      <c r="J71" s="84">
        <f t="shared" si="13"/>
        <v>0</v>
      </c>
      <c r="K71" s="83"/>
      <c r="L71" s="64" t="e">
        <v>#N/A</v>
      </c>
      <c r="M71" s="121">
        <v>0</v>
      </c>
      <c r="N71" s="59" t="str">
        <v>EG</v>
      </c>
      <c r="O71" s="126" t="str">
        <v>てっ</v>
      </c>
      <c r="P71" s="126">
        <v>0</v>
      </c>
      <c r="Q71" s="127" t="str">
        <v>えｇ</v>
      </c>
      <c r="R71" s="84">
        <v>0</v>
      </c>
      <c r="T71" s="100" t="e">
        <v>#N/A</v>
      </c>
      <c r="U71" s="121">
        <v>0</v>
      </c>
      <c r="V71" s="59" t="str">
        <v>EG</v>
      </c>
      <c r="W71" s="126" t="str">
        <v>てっ</v>
      </c>
      <c r="X71" s="126">
        <v>0</v>
      </c>
      <c r="Y71" s="127" t="str">
        <v>えｇ</v>
      </c>
      <c r="Z71" s="90">
        <v>0</v>
      </c>
    </row>
    <row r="72" spans="1:26" x14ac:dyDescent="0.4">
      <c r="A72" s="52">
        <v>71</v>
      </c>
      <c r="B72" s="51">
        <f t="shared" si="8"/>
        <v>3</v>
      </c>
      <c r="C72" s="50">
        <f t="shared" si="9"/>
        <v>11</v>
      </c>
      <c r="D72" s="64" t="e">
        <f t="shared" si="10"/>
        <v>#N/A</v>
      </c>
      <c r="E72" s="121" cm="1">
        <f t="array" ref="E72">INDEX(InputArea,B72,C72)</f>
        <v>0</v>
      </c>
      <c r="F72" s="59" t="str">
        <f t="shared" si="11"/>
        <v>EZ</v>
      </c>
      <c r="G72" s="59" t="str">
        <f t="shared" si="12"/>
        <v>てほ</v>
      </c>
      <c r="H72" s="134"/>
      <c r="I72" s="136" t="s">
        <v>325</v>
      </c>
      <c r="J72" s="84">
        <f t="shared" si="13"/>
        <v>0</v>
      </c>
      <c r="K72" s="83"/>
      <c r="L72" s="64" t="e">
        <v>#N/A</v>
      </c>
      <c r="M72" s="121">
        <v>0</v>
      </c>
      <c r="N72" s="59" t="str">
        <v>EZ</v>
      </c>
      <c r="O72" s="126" t="str">
        <v>てほ</v>
      </c>
      <c r="P72" s="126">
        <v>0</v>
      </c>
      <c r="Q72" s="127" t="str">
        <v>えｚ</v>
      </c>
      <c r="R72" s="84">
        <v>0</v>
      </c>
      <c r="T72" s="100" t="e">
        <v>#N/A</v>
      </c>
      <c r="U72" s="121">
        <v>0</v>
      </c>
      <c r="V72" s="59" t="str">
        <v>EZ</v>
      </c>
      <c r="W72" s="126" t="str">
        <v>てほ</v>
      </c>
      <c r="X72" s="126">
        <v>0</v>
      </c>
      <c r="Y72" s="127" t="str">
        <v>えｚ</v>
      </c>
      <c r="Z72" s="90">
        <v>0</v>
      </c>
    </row>
    <row r="73" spans="1:26" x14ac:dyDescent="0.4">
      <c r="A73" s="52">
        <v>72</v>
      </c>
      <c r="B73" s="51">
        <f t="shared" si="8"/>
        <v>3</v>
      </c>
      <c r="C73" s="50">
        <f t="shared" si="9"/>
        <v>12</v>
      </c>
      <c r="D73" s="64" t="e">
        <f t="shared" si="10"/>
        <v>#N/A</v>
      </c>
      <c r="E73" s="121" cm="1">
        <f t="array" ref="E73">INDEX(InputArea,B73,C73)</f>
        <v>0</v>
      </c>
      <c r="F73" s="59" t="str">
        <f t="shared" si="11"/>
        <v>EX</v>
      </c>
      <c r="G73" s="59" t="str">
        <f t="shared" si="12"/>
        <v>てひ</v>
      </c>
      <c r="H73" s="134"/>
      <c r="I73" s="136" t="s">
        <v>326</v>
      </c>
      <c r="J73" s="84">
        <f t="shared" si="13"/>
        <v>0</v>
      </c>
      <c r="K73" s="83"/>
      <c r="L73" s="64" t="e">
        <v>#N/A</v>
      </c>
      <c r="M73" s="121">
        <v>0</v>
      </c>
      <c r="N73" s="59" t="str">
        <v>EX</v>
      </c>
      <c r="O73" s="126" t="str">
        <v>てひ</v>
      </c>
      <c r="P73" s="126">
        <v>0</v>
      </c>
      <c r="Q73" s="127" t="str">
        <v>えｘ</v>
      </c>
      <c r="R73" s="84">
        <v>0</v>
      </c>
      <c r="T73" s="100" t="e">
        <v>#N/A</v>
      </c>
      <c r="U73" s="121">
        <v>0</v>
      </c>
      <c r="V73" s="59" t="str">
        <v>EX</v>
      </c>
      <c r="W73" s="126" t="str">
        <v>てひ</v>
      </c>
      <c r="X73" s="126">
        <v>0</v>
      </c>
      <c r="Y73" s="127" t="str">
        <v>えｘ</v>
      </c>
      <c r="Z73" s="90">
        <v>0</v>
      </c>
    </row>
    <row r="74" spans="1:26" x14ac:dyDescent="0.4">
      <c r="A74" s="52">
        <v>73</v>
      </c>
      <c r="B74" s="51">
        <f t="shared" si="8"/>
        <v>3</v>
      </c>
      <c r="C74" s="50">
        <f t="shared" si="9"/>
        <v>13</v>
      </c>
      <c r="D74" s="64" t="e">
        <f t="shared" si="10"/>
        <v>#N/A</v>
      </c>
      <c r="E74" s="121" cm="1">
        <f t="array" ref="E74">INDEX(InputArea,B74,C74)</f>
        <v>0</v>
      </c>
      <c r="F74" s="59" t="str">
        <f t="shared" si="11"/>
        <v>EC</v>
      </c>
      <c r="G74" s="59" t="str">
        <f t="shared" si="12"/>
        <v>ては</v>
      </c>
      <c r="H74" s="134"/>
      <c r="I74" s="136" t="s">
        <v>327</v>
      </c>
      <c r="J74" s="84">
        <f t="shared" si="13"/>
        <v>0</v>
      </c>
      <c r="K74" s="83"/>
      <c r="L74" s="64" t="e">
        <v>#N/A</v>
      </c>
      <c r="M74" s="121">
        <v>0</v>
      </c>
      <c r="N74" s="59" t="str">
        <v>EC</v>
      </c>
      <c r="O74" s="126" t="str">
        <v>ては</v>
      </c>
      <c r="P74" s="126">
        <v>0</v>
      </c>
      <c r="Q74" s="127" t="str">
        <v>えｃ</v>
      </c>
      <c r="R74" s="84">
        <v>0</v>
      </c>
      <c r="T74" s="100" t="e">
        <v>#N/A</v>
      </c>
      <c r="U74" s="121">
        <v>0</v>
      </c>
      <c r="V74" s="59" t="str">
        <v>EC</v>
      </c>
      <c r="W74" s="126" t="str">
        <v>ては</v>
      </c>
      <c r="X74" s="126">
        <v>0</v>
      </c>
      <c r="Y74" s="127" t="str">
        <v>えｃ</v>
      </c>
      <c r="Z74" s="90">
        <v>0</v>
      </c>
    </row>
    <row r="75" spans="1:26" x14ac:dyDescent="0.4">
      <c r="A75" s="52">
        <v>74</v>
      </c>
      <c r="B75" s="51">
        <f t="shared" si="8"/>
        <v>3</v>
      </c>
      <c r="C75" s="50">
        <f t="shared" si="9"/>
        <v>14</v>
      </c>
      <c r="D75" s="64" t="e">
        <f t="shared" si="10"/>
        <v>#N/A</v>
      </c>
      <c r="E75" s="121" cm="1">
        <f t="array" ref="E75">INDEX(InputArea,B75,C75)</f>
        <v>0</v>
      </c>
      <c r="F75" s="59" t="str">
        <f t="shared" si="11"/>
        <v>EV</v>
      </c>
      <c r="G75" s="59" t="str">
        <f t="shared" si="12"/>
        <v>てこ</v>
      </c>
      <c r="H75" s="134"/>
      <c r="I75" s="136" t="s">
        <v>328</v>
      </c>
      <c r="J75" s="84">
        <f t="shared" si="13"/>
        <v>0</v>
      </c>
      <c r="K75" s="83"/>
      <c r="L75" s="64" t="e">
        <v>#N/A</v>
      </c>
      <c r="M75" s="121">
        <v>0</v>
      </c>
      <c r="N75" s="59" t="str">
        <v>EV</v>
      </c>
      <c r="O75" s="126" t="str">
        <v>てこ</v>
      </c>
      <c r="P75" s="126">
        <v>0</v>
      </c>
      <c r="Q75" s="127" t="str">
        <v>えｖ</v>
      </c>
      <c r="R75" s="84">
        <v>0</v>
      </c>
      <c r="T75" s="100" t="e">
        <v>#N/A</v>
      </c>
      <c r="U75" s="121">
        <v>0</v>
      </c>
      <c r="V75" s="59" t="str">
        <v>EV</v>
      </c>
      <c r="W75" s="126" t="str">
        <v>てこ</v>
      </c>
      <c r="X75" s="126">
        <v>0</v>
      </c>
      <c r="Y75" s="127" t="str">
        <v>えｖ</v>
      </c>
      <c r="Z75" s="90">
        <v>0</v>
      </c>
    </row>
    <row r="76" spans="1:26" x14ac:dyDescent="0.4">
      <c r="A76" s="52">
        <v>75</v>
      </c>
      <c r="B76" s="51">
        <f t="shared" si="8"/>
        <v>3</v>
      </c>
      <c r="C76" s="50">
        <f t="shared" si="9"/>
        <v>15</v>
      </c>
      <c r="D76" s="64" t="e">
        <f t="shared" si="10"/>
        <v>#N/A</v>
      </c>
      <c r="E76" s="121" cm="1">
        <f t="array" ref="E76">INDEX(InputArea,B76,C76)</f>
        <v>0</v>
      </c>
      <c r="F76" s="59" t="str">
        <f t="shared" si="11"/>
        <v>EB</v>
      </c>
      <c r="G76" s="59" t="str">
        <f t="shared" si="12"/>
        <v>てそ</v>
      </c>
      <c r="H76" s="134"/>
      <c r="I76" s="136" t="s">
        <v>329</v>
      </c>
      <c r="J76" s="84">
        <f t="shared" si="13"/>
        <v>0</v>
      </c>
      <c r="K76" s="83"/>
      <c r="L76" s="64" t="e">
        <v>#N/A</v>
      </c>
      <c r="M76" s="121">
        <v>0</v>
      </c>
      <c r="N76" s="59" t="str">
        <v>EB</v>
      </c>
      <c r="O76" s="126" t="str">
        <v>てそ</v>
      </c>
      <c r="P76" s="126">
        <v>0</v>
      </c>
      <c r="Q76" s="127" t="str">
        <v>えｂ</v>
      </c>
      <c r="R76" s="84">
        <v>0</v>
      </c>
      <c r="T76" s="100" t="e">
        <v>#N/A</v>
      </c>
      <c r="U76" s="121">
        <v>0</v>
      </c>
      <c r="V76" s="59" t="str">
        <v>EB</v>
      </c>
      <c r="W76" s="126" t="str">
        <v>てそ</v>
      </c>
      <c r="X76" s="126">
        <v>0</v>
      </c>
      <c r="Y76" s="127" t="str">
        <v>えｂ</v>
      </c>
      <c r="Z76" s="90">
        <v>0</v>
      </c>
    </row>
    <row r="77" spans="1:26" x14ac:dyDescent="0.4">
      <c r="A77" s="52">
        <v>76</v>
      </c>
      <c r="B77" s="51">
        <f t="shared" si="8"/>
        <v>3</v>
      </c>
      <c r="C77" s="50">
        <f t="shared" si="9"/>
        <v>16</v>
      </c>
      <c r="D77" s="64" t="e">
        <f t="shared" si="10"/>
        <v>#N/A</v>
      </c>
      <c r="E77" s="121" cm="1">
        <f t="array" ref="E77">INDEX(InputArea,B77,C77)</f>
        <v>0</v>
      </c>
      <c r="F77" s="59" t="str">
        <f t="shared" si="11"/>
        <v>EY</v>
      </c>
      <c r="G77" s="59" t="str">
        <f t="shared" si="12"/>
        <v>て→</v>
      </c>
      <c r="H77" s="134"/>
      <c r="I77" s="136" t="s">
        <v>330</v>
      </c>
      <c r="J77" s="84">
        <f t="shared" si="13"/>
        <v>1</v>
      </c>
      <c r="K77" s="83"/>
      <c r="L77" s="64" t="e">
        <v>#N/A</v>
      </c>
      <c r="M77" s="121">
        <v>0</v>
      </c>
      <c r="N77" s="59" t="str">
        <v>EY</v>
      </c>
      <c r="O77" s="126" t="str">
        <v>て→</v>
      </c>
      <c r="P77" s="126">
        <v>0</v>
      </c>
      <c r="Q77" s="127" t="str">
        <v>えｙ</v>
      </c>
      <c r="R77" s="84">
        <v>1</v>
      </c>
      <c r="T77" s="100" t="e">
        <v>#N/A</v>
      </c>
      <c r="U77" s="121">
        <v>0</v>
      </c>
      <c r="V77" s="59" t="str">
        <v>EY</v>
      </c>
      <c r="W77" s="126" t="str">
        <v>て→</v>
      </c>
      <c r="X77" s="126">
        <v>0</v>
      </c>
      <c r="Y77" s="127" t="str">
        <v>えｙ</v>
      </c>
      <c r="Z77" s="90">
        <v>1</v>
      </c>
    </row>
    <row r="78" spans="1:26" x14ac:dyDescent="0.4">
      <c r="A78" s="52">
        <v>77</v>
      </c>
      <c r="B78" s="51">
        <f t="shared" si="8"/>
        <v>3</v>
      </c>
      <c r="C78" s="50">
        <f t="shared" si="9"/>
        <v>17</v>
      </c>
      <c r="D78" s="64" t="e">
        <f t="shared" si="10"/>
        <v>#N/A</v>
      </c>
      <c r="E78" s="121" cm="1">
        <f t="array" ref="E78">INDEX(InputArea,B78,C78)</f>
        <v>0</v>
      </c>
      <c r="F78" s="59" t="str">
        <f t="shared" si="11"/>
        <v>EU</v>
      </c>
      <c r="G78" s="59" t="str">
        <f t="shared" si="12"/>
        <v>てBS</v>
      </c>
      <c r="H78" s="134"/>
      <c r="I78" s="136" t="s">
        <v>331</v>
      </c>
      <c r="J78" s="84">
        <f t="shared" si="13"/>
        <v>1</v>
      </c>
      <c r="K78" s="83"/>
      <c r="L78" s="64" t="e">
        <v>#N/A</v>
      </c>
      <c r="M78" s="121">
        <v>0</v>
      </c>
      <c r="N78" s="59" t="str">
        <v>EU</v>
      </c>
      <c r="O78" s="126" t="str">
        <v>てBS</v>
      </c>
      <c r="P78" s="126">
        <v>0</v>
      </c>
      <c r="Q78" s="127" t="str">
        <v>えう</v>
      </c>
      <c r="R78" s="84">
        <v>1</v>
      </c>
      <c r="T78" s="100" t="e">
        <v>#N/A</v>
      </c>
      <c r="U78" s="121">
        <v>0</v>
      </c>
      <c r="V78" s="59" t="str">
        <v>EU</v>
      </c>
      <c r="W78" s="126" t="str">
        <v>てBS</v>
      </c>
      <c r="X78" s="126">
        <v>0</v>
      </c>
      <c r="Y78" s="127" t="str">
        <v>えう</v>
      </c>
      <c r="Z78" s="90">
        <v>1</v>
      </c>
    </row>
    <row r="79" spans="1:26" x14ac:dyDescent="0.4">
      <c r="A79" s="52">
        <v>78</v>
      </c>
      <c r="B79" s="51">
        <f t="shared" si="8"/>
        <v>3</v>
      </c>
      <c r="C79" s="50">
        <f t="shared" si="9"/>
        <v>18</v>
      </c>
      <c r="D79" s="64" t="e">
        <f t="shared" si="10"/>
        <v>#N/A</v>
      </c>
      <c r="E79" s="121" cm="1">
        <f t="array" ref="E79">INDEX(InputArea,B79,C79)</f>
        <v>0</v>
      </c>
      <c r="F79" s="59" t="str">
        <f t="shared" si="11"/>
        <v>EI</v>
      </c>
      <c r="G79" s="59" t="str">
        <f t="shared" si="12"/>
        <v>てる</v>
      </c>
      <c r="H79" s="137" t="s">
        <v>249</v>
      </c>
      <c r="I79" s="136" t="s">
        <v>332</v>
      </c>
      <c r="J79" s="84">
        <f t="shared" si="13"/>
        <v>1</v>
      </c>
      <c r="K79" s="83"/>
      <c r="L79" s="64" t="e">
        <v>#N/A</v>
      </c>
      <c r="M79" s="121">
        <v>0</v>
      </c>
      <c r="N79" s="59" t="str">
        <v>EI</v>
      </c>
      <c r="O79" s="126" t="str">
        <v>てる</v>
      </c>
      <c r="P79" s="126" t="str">
        <v>りょ</v>
      </c>
      <c r="Q79" s="127" t="str">
        <v>えい</v>
      </c>
      <c r="R79" s="84">
        <v>1</v>
      </c>
      <c r="T79" s="100" t="e">
        <v>#N/A</v>
      </c>
      <c r="U79" s="121">
        <v>0</v>
      </c>
      <c r="V79" s="59" t="str">
        <v>EI</v>
      </c>
      <c r="W79" s="126" t="str">
        <v>てる</v>
      </c>
      <c r="X79" s="126" t="str">
        <v>りょ</v>
      </c>
      <c r="Y79" s="127" t="str">
        <v>えい</v>
      </c>
      <c r="Z79" s="90">
        <v>1</v>
      </c>
    </row>
    <row r="80" spans="1:26" x14ac:dyDescent="0.4">
      <c r="A80" s="52">
        <v>79</v>
      </c>
      <c r="B80" s="51">
        <f t="shared" si="8"/>
        <v>3</v>
      </c>
      <c r="C80" s="50">
        <f t="shared" si="9"/>
        <v>19</v>
      </c>
      <c r="D80" s="64" t="e">
        <f t="shared" si="10"/>
        <v>#N/A</v>
      </c>
      <c r="E80" s="121" cm="1">
        <f t="array" ref="E80">INDEX(InputArea,B80,C80)</f>
        <v>0</v>
      </c>
      <c r="F80" s="59" t="str">
        <f t="shared" si="11"/>
        <v>EO</v>
      </c>
      <c r="G80" s="59" t="str">
        <f t="shared" si="12"/>
        <v>てす</v>
      </c>
      <c r="H80" s="134"/>
      <c r="I80" s="136" t="s">
        <v>333</v>
      </c>
      <c r="J80" s="84">
        <f t="shared" si="13"/>
        <v>1</v>
      </c>
      <c r="K80" s="83"/>
      <c r="L80" s="64" t="e">
        <v>#N/A</v>
      </c>
      <c r="M80" s="121">
        <v>0</v>
      </c>
      <c r="N80" s="59" t="str">
        <v>EO</v>
      </c>
      <c r="O80" s="126" t="str">
        <v>てす</v>
      </c>
      <c r="P80" s="126">
        <v>0</v>
      </c>
      <c r="Q80" s="127" t="str">
        <v>えお</v>
      </c>
      <c r="R80" s="84">
        <v>1</v>
      </c>
      <c r="T80" s="100" t="e">
        <v>#N/A</v>
      </c>
      <c r="U80" s="121">
        <v>0</v>
      </c>
      <c r="V80" s="59" t="str">
        <v>EO</v>
      </c>
      <c r="W80" s="126" t="str">
        <v>てす</v>
      </c>
      <c r="X80" s="126">
        <v>0</v>
      </c>
      <c r="Y80" s="127" t="str">
        <v>えお</v>
      </c>
      <c r="Z80" s="90">
        <v>1</v>
      </c>
    </row>
    <row r="81" spans="1:26" x14ac:dyDescent="0.4">
      <c r="A81" s="52">
        <v>80</v>
      </c>
      <c r="B81" s="51">
        <f t="shared" si="8"/>
        <v>3</v>
      </c>
      <c r="C81" s="50">
        <f t="shared" si="9"/>
        <v>20</v>
      </c>
      <c r="D81" s="64" t="e">
        <f t="shared" si="10"/>
        <v>#N/A</v>
      </c>
      <c r="E81" s="121" cm="1">
        <f t="array" ref="E81">INDEX(InputArea,B81,C81)</f>
        <v>0</v>
      </c>
      <c r="F81" s="59" t="str">
        <f t="shared" si="11"/>
        <v>EP</v>
      </c>
      <c r="G81" s="59" t="str">
        <f t="shared" si="12"/>
        <v>てへ</v>
      </c>
      <c r="H81" s="137" t="s">
        <v>250</v>
      </c>
      <c r="I81" s="136" t="s">
        <v>334</v>
      </c>
      <c r="J81" s="84">
        <f t="shared" si="13"/>
        <v>1</v>
      </c>
      <c r="K81" s="83"/>
      <c r="L81" s="64" t="e">
        <v>#N/A</v>
      </c>
      <c r="M81" s="121">
        <v>0</v>
      </c>
      <c r="N81" s="59" t="str">
        <v>EP</v>
      </c>
      <c r="O81" s="126" t="str">
        <v>てへ</v>
      </c>
      <c r="P81" s="126" t="str">
        <v>りゅ</v>
      </c>
      <c r="Q81" s="127" t="str">
        <v>えｐ</v>
      </c>
      <c r="R81" s="84">
        <v>1</v>
      </c>
      <c r="T81" s="100" t="e">
        <v>#N/A</v>
      </c>
      <c r="U81" s="121">
        <v>0</v>
      </c>
      <c r="V81" s="59" t="str">
        <v>EP</v>
      </c>
      <c r="W81" s="126" t="str">
        <v>てへ</v>
      </c>
      <c r="X81" s="126" t="str">
        <v>りゅ</v>
      </c>
      <c r="Y81" s="127" t="str">
        <v>えｐ</v>
      </c>
      <c r="Z81" s="90">
        <v>1</v>
      </c>
    </row>
    <row r="82" spans="1:26" x14ac:dyDescent="0.4">
      <c r="A82" s="52">
        <v>81</v>
      </c>
      <c r="B82" s="51">
        <f t="shared" si="8"/>
        <v>3</v>
      </c>
      <c r="C82" s="50">
        <f t="shared" si="9"/>
        <v>21</v>
      </c>
      <c r="D82" s="64" t="e">
        <f t="shared" si="10"/>
        <v>#N/A</v>
      </c>
      <c r="E82" s="121" cm="1">
        <f t="array" ref="E82">INDEX(InputArea,B82,C82)</f>
        <v>0</v>
      </c>
      <c r="F82" s="59" t="str">
        <f t="shared" si="11"/>
        <v>EH</v>
      </c>
      <c r="G82" s="59" t="str">
        <f t="shared" si="12"/>
        <v>てく</v>
      </c>
      <c r="H82" s="137" t="s">
        <v>251</v>
      </c>
      <c r="I82" s="136" t="s">
        <v>335</v>
      </c>
      <c r="J82" s="84">
        <f t="shared" si="13"/>
        <v>1</v>
      </c>
      <c r="K82" s="83"/>
      <c r="L82" s="64" t="e">
        <v>#N/A</v>
      </c>
      <c r="M82" s="121">
        <v>0</v>
      </c>
      <c r="N82" s="59" t="str">
        <v>EH</v>
      </c>
      <c r="O82" s="126" t="str">
        <v>てく</v>
      </c>
      <c r="P82" s="126" t="str">
        <v>りゃ</v>
      </c>
      <c r="Q82" s="127" t="str">
        <v>えｈ</v>
      </c>
      <c r="R82" s="84">
        <v>1</v>
      </c>
      <c r="T82" s="100" t="e">
        <v>#N/A</v>
      </c>
      <c r="U82" s="121">
        <v>0</v>
      </c>
      <c r="V82" s="59" t="str">
        <v>EH</v>
      </c>
      <c r="W82" s="126" t="str">
        <v>てく</v>
      </c>
      <c r="X82" s="126" t="str">
        <v>りゃ</v>
      </c>
      <c r="Y82" s="127" t="str">
        <v>えｈ</v>
      </c>
      <c r="Z82" s="90">
        <v>1</v>
      </c>
    </row>
    <row r="83" spans="1:26" x14ac:dyDescent="0.4">
      <c r="A83" s="52">
        <v>82</v>
      </c>
      <c r="B83" s="51">
        <f t="shared" si="8"/>
        <v>3</v>
      </c>
      <c r="C83" s="50">
        <f t="shared" si="9"/>
        <v>22</v>
      </c>
      <c r="D83" s="64" t="e">
        <f t="shared" si="10"/>
        <v>#N/A</v>
      </c>
      <c r="E83" s="121" cm="1">
        <f t="array" ref="E83">INDEX(InputArea,B83,C83)</f>
        <v>0</v>
      </c>
      <c r="F83" s="59" t="str">
        <f t="shared" si="11"/>
        <v>EJ</v>
      </c>
      <c r="G83" s="59" t="str">
        <f t="shared" si="12"/>
        <v>てあ</v>
      </c>
      <c r="H83" s="137" t="s">
        <v>252</v>
      </c>
      <c r="I83" s="136" t="s">
        <v>336</v>
      </c>
      <c r="J83" s="84">
        <f t="shared" si="13"/>
        <v>1</v>
      </c>
      <c r="K83" s="83"/>
      <c r="L83" s="64" t="e">
        <v>#N/A</v>
      </c>
      <c r="M83" s="121">
        <v>0</v>
      </c>
      <c r="N83" s="59" t="str">
        <v>EJ</v>
      </c>
      <c r="O83" s="126" t="str">
        <v>てあ</v>
      </c>
      <c r="P83" s="126" t="str">
        <v>で</v>
      </c>
      <c r="Q83" s="127" t="str">
        <v>えｊ</v>
      </c>
      <c r="R83" s="84">
        <v>1</v>
      </c>
      <c r="T83" s="100" t="e">
        <v>#N/A</v>
      </c>
      <c r="U83" s="121">
        <v>0</v>
      </c>
      <c r="V83" s="59" t="str">
        <v>EJ</v>
      </c>
      <c r="W83" s="126" t="str">
        <v>てあ</v>
      </c>
      <c r="X83" s="126" t="str">
        <v>で</v>
      </c>
      <c r="Y83" s="127" t="str">
        <v>えｊ</v>
      </c>
      <c r="Z83" s="90">
        <v>1</v>
      </c>
    </row>
    <row r="84" spans="1:26" x14ac:dyDescent="0.4">
      <c r="A84" s="52">
        <v>83</v>
      </c>
      <c r="B84" s="51">
        <f t="shared" si="8"/>
        <v>3</v>
      </c>
      <c r="C84" s="50">
        <f t="shared" si="9"/>
        <v>23</v>
      </c>
      <c r="D84" s="64" t="e">
        <f t="shared" si="10"/>
        <v>#N/A</v>
      </c>
      <c r="E84" s="121" cm="1">
        <f t="array" ref="E84">INDEX(InputArea,B84,C84)</f>
        <v>0</v>
      </c>
      <c r="F84" s="59" t="str">
        <f t="shared" si="11"/>
        <v>EK</v>
      </c>
      <c r="G84" s="59" t="str">
        <f t="shared" si="12"/>
        <v>てい</v>
      </c>
      <c r="H84" s="134"/>
      <c r="I84" s="136" t="s">
        <v>337</v>
      </c>
      <c r="J84" s="84">
        <f t="shared" si="13"/>
        <v>1</v>
      </c>
      <c r="K84" s="83"/>
      <c r="L84" s="64" t="e">
        <v>#N/A</v>
      </c>
      <c r="M84" s="121">
        <v>0</v>
      </c>
      <c r="N84" s="59" t="str">
        <v>EK</v>
      </c>
      <c r="O84" s="126" t="str">
        <v>てい</v>
      </c>
      <c r="P84" s="126">
        <v>0</v>
      </c>
      <c r="Q84" s="127" t="str">
        <v>えｋ</v>
      </c>
      <c r="R84" s="84">
        <v>1</v>
      </c>
      <c r="T84" s="100" t="e">
        <v>#N/A</v>
      </c>
      <c r="U84" s="121">
        <v>0</v>
      </c>
      <c r="V84" s="59" t="str">
        <v>EK</v>
      </c>
      <c r="W84" s="126" t="str">
        <v>てい</v>
      </c>
      <c r="X84" s="126">
        <v>0</v>
      </c>
      <c r="Y84" s="127" t="str">
        <v>えｋ</v>
      </c>
      <c r="Z84" s="90">
        <v>1</v>
      </c>
    </row>
    <row r="85" spans="1:26" x14ac:dyDescent="0.4">
      <c r="A85" s="52">
        <v>84</v>
      </c>
      <c r="B85" s="51">
        <f t="shared" si="8"/>
        <v>3</v>
      </c>
      <c r="C85" s="50">
        <f t="shared" si="9"/>
        <v>24</v>
      </c>
      <c r="D85" s="64" t="e">
        <f t="shared" si="10"/>
        <v>#N/A</v>
      </c>
      <c r="E85" s="121" cm="1">
        <f t="array" ref="E85">INDEX(InputArea,B85,C85)</f>
        <v>0</v>
      </c>
      <c r="F85" s="59" t="str">
        <f t="shared" si="11"/>
        <v>EL</v>
      </c>
      <c r="G85" s="59" t="str">
        <f t="shared" si="12"/>
        <v>てう</v>
      </c>
      <c r="H85" s="134"/>
      <c r="I85" s="136" t="s">
        <v>338</v>
      </c>
      <c r="J85" s="84">
        <f t="shared" si="13"/>
        <v>1</v>
      </c>
      <c r="K85" s="83"/>
      <c r="L85" s="64" t="e">
        <v>#N/A</v>
      </c>
      <c r="M85" s="121">
        <v>0</v>
      </c>
      <c r="N85" s="59" t="str">
        <v>EL</v>
      </c>
      <c r="O85" s="126" t="str">
        <v>てう</v>
      </c>
      <c r="P85" s="126">
        <v>0</v>
      </c>
      <c r="Q85" s="127" t="str">
        <v>えｌ</v>
      </c>
      <c r="R85" s="84">
        <v>1</v>
      </c>
      <c r="T85" s="100" t="e">
        <v>#N/A</v>
      </c>
      <c r="U85" s="121">
        <v>0</v>
      </c>
      <c r="V85" s="59" t="str">
        <v>EL</v>
      </c>
      <c r="W85" s="126" t="str">
        <v>てう</v>
      </c>
      <c r="X85" s="126">
        <v>0</v>
      </c>
      <c r="Y85" s="127" t="str">
        <v>えｌ</v>
      </c>
      <c r="Z85" s="90">
        <v>1</v>
      </c>
    </row>
    <row r="86" spans="1:26" x14ac:dyDescent="0.4">
      <c r="A86" s="52">
        <v>85</v>
      </c>
      <c r="B86" s="51">
        <f t="shared" si="8"/>
        <v>3</v>
      </c>
      <c r="C86" s="50">
        <f t="shared" si="9"/>
        <v>25</v>
      </c>
      <c r="D86" s="64" t="e">
        <f t="shared" si="10"/>
        <v>#N/A</v>
      </c>
      <c r="E86" s="121" cm="1">
        <f t="array" ref="E86">INDEX(InputArea,B86,C86)</f>
        <v>0</v>
      </c>
      <c r="F86" s="59" t="str">
        <f t="shared" si="11"/>
        <v>E;</v>
      </c>
      <c r="G86" s="59" t="str">
        <f t="shared" si="12"/>
        <v>てー</v>
      </c>
      <c r="H86" s="134"/>
      <c r="I86" s="135"/>
      <c r="J86" s="84">
        <f t="shared" si="13"/>
        <v>1</v>
      </c>
      <c r="K86" s="83"/>
      <c r="L86" s="64" t="e">
        <v>#N/A</v>
      </c>
      <c r="M86" s="121">
        <v>0</v>
      </c>
      <c r="N86" s="59" t="str">
        <v>E;</v>
      </c>
      <c r="O86" s="126" t="str">
        <v>てー</v>
      </c>
      <c r="P86" s="126">
        <v>0</v>
      </c>
      <c r="Q86" s="127">
        <v>0</v>
      </c>
      <c r="R86" s="84">
        <v>1</v>
      </c>
      <c r="T86" s="100" t="e">
        <v>#N/A</v>
      </c>
      <c r="U86" s="121">
        <v>0</v>
      </c>
      <c r="V86" s="59" t="str">
        <v>E;</v>
      </c>
      <c r="W86" s="126" t="str">
        <v>てー</v>
      </c>
      <c r="X86" s="126">
        <v>0</v>
      </c>
      <c r="Y86" s="127">
        <v>0</v>
      </c>
      <c r="Z86" s="90">
        <v>1</v>
      </c>
    </row>
    <row r="87" spans="1:26" x14ac:dyDescent="0.4">
      <c r="A87" s="52">
        <v>86</v>
      </c>
      <c r="B87" s="51">
        <f t="shared" si="8"/>
        <v>3</v>
      </c>
      <c r="C87" s="50">
        <f t="shared" si="9"/>
        <v>26</v>
      </c>
      <c r="D87" s="64" t="e">
        <f t="shared" si="10"/>
        <v>#N/A</v>
      </c>
      <c r="E87" s="121" cm="1">
        <f t="array" ref="E87">INDEX(InputArea,B87,C87)</f>
        <v>0</v>
      </c>
      <c r="F87" s="59" t="str">
        <f t="shared" si="11"/>
        <v>EN</v>
      </c>
      <c r="G87" s="59" t="str">
        <f t="shared" si="12"/>
        <v>てた</v>
      </c>
      <c r="H87" s="134"/>
      <c r="I87" s="136" t="s">
        <v>339</v>
      </c>
      <c r="J87" s="84">
        <f t="shared" si="13"/>
        <v>1</v>
      </c>
      <c r="K87" s="83"/>
      <c r="L87" s="64" t="e">
        <v>#N/A</v>
      </c>
      <c r="M87" s="121">
        <v>0</v>
      </c>
      <c r="N87" s="59" t="str">
        <v>EN</v>
      </c>
      <c r="O87" s="126" t="str">
        <v>てた</v>
      </c>
      <c r="P87" s="126">
        <v>0</v>
      </c>
      <c r="Q87" s="127" t="str">
        <v>えｎ</v>
      </c>
      <c r="R87" s="84">
        <v>1</v>
      </c>
      <c r="T87" s="100" t="e">
        <v>#N/A</v>
      </c>
      <c r="U87" s="121">
        <v>0</v>
      </c>
      <c r="V87" s="59" t="str">
        <v>EN</v>
      </c>
      <c r="W87" s="126" t="str">
        <v>てた</v>
      </c>
      <c r="X87" s="126">
        <v>0</v>
      </c>
      <c r="Y87" s="127" t="str">
        <v>えｎ</v>
      </c>
      <c r="Z87" s="90">
        <v>1</v>
      </c>
    </row>
    <row r="88" spans="1:26" x14ac:dyDescent="0.4">
      <c r="A88" s="52">
        <v>87</v>
      </c>
      <c r="B88" s="51">
        <f t="shared" si="8"/>
        <v>3</v>
      </c>
      <c r="C88" s="50">
        <f t="shared" si="9"/>
        <v>27</v>
      </c>
      <c r="D88" s="64" t="e">
        <f t="shared" si="10"/>
        <v>#N/A</v>
      </c>
      <c r="E88" s="121" cm="1">
        <f t="array" ref="E88">INDEX(InputArea,B88,C88)</f>
        <v>0</v>
      </c>
      <c r="F88" s="59" t="str">
        <f t="shared" si="11"/>
        <v>EM</v>
      </c>
      <c r="G88" s="59" t="str">
        <f t="shared" si="12"/>
        <v>てな</v>
      </c>
      <c r="H88" s="134"/>
      <c r="I88" s="136" t="s">
        <v>340</v>
      </c>
      <c r="J88" s="84">
        <f t="shared" si="13"/>
        <v>1</v>
      </c>
      <c r="K88" s="83"/>
      <c r="L88" s="64" t="e">
        <v>#N/A</v>
      </c>
      <c r="M88" s="121">
        <v>0</v>
      </c>
      <c r="N88" s="59" t="str">
        <v>EM</v>
      </c>
      <c r="O88" s="126" t="str">
        <v>てな</v>
      </c>
      <c r="P88" s="126">
        <v>0</v>
      </c>
      <c r="Q88" s="127" t="str">
        <v>えｍ</v>
      </c>
      <c r="R88" s="84">
        <v>1</v>
      </c>
      <c r="T88" s="100" t="e">
        <v>#N/A</v>
      </c>
      <c r="U88" s="121">
        <v>0</v>
      </c>
      <c r="V88" s="59" t="str">
        <v>EM</v>
      </c>
      <c r="W88" s="126" t="str">
        <v>てな</v>
      </c>
      <c r="X88" s="126">
        <v>0</v>
      </c>
      <c r="Y88" s="127" t="str">
        <v>えｍ</v>
      </c>
      <c r="Z88" s="90">
        <v>1</v>
      </c>
    </row>
    <row r="89" spans="1:26" x14ac:dyDescent="0.4">
      <c r="A89" s="52">
        <v>88</v>
      </c>
      <c r="B89" s="51">
        <f t="shared" si="8"/>
        <v>3</v>
      </c>
      <c r="C89" s="50">
        <f t="shared" si="9"/>
        <v>28</v>
      </c>
      <c r="D89" s="64" t="e">
        <f t="shared" si="10"/>
        <v>#N/A</v>
      </c>
      <c r="E89" s="121" cm="1">
        <f t="array" ref="E89">INDEX(InputArea,B89,C89)</f>
        <v>0</v>
      </c>
      <c r="F89" s="59" t="str">
        <f t="shared" si="11"/>
        <v>E,</v>
      </c>
      <c r="G89" s="59" t="str">
        <f t="shared" si="12"/>
        <v>てん</v>
      </c>
      <c r="H89" s="134"/>
      <c r="I89" s="136" t="s">
        <v>341</v>
      </c>
      <c r="J89" s="84">
        <f t="shared" si="13"/>
        <v>1</v>
      </c>
      <c r="K89" s="83"/>
      <c r="L89" s="64" t="e">
        <v>#N/A</v>
      </c>
      <c r="M89" s="121">
        <v>0</v>
      </c>
      <c r="N89" s="59" t="str">
        <v>E,</v>
      </c>
      <c r="O89" s="126" t="str">
        <v>てん</v>
      </c>
      <c r="P89" s="126">
        <v>0</v>
      </c>
      <c r="Q89" s="127" t="str">
        <v>え、</v>
      </c>
      <c r="R89" s="84">
        <v>1</v>
      </c>
      <c r="T89" s="100" t="e">
        <v>#N/A</v>
      </c>
      <c r="U89" s="121">
        <v>0</v>
      </c>
      <c r="V89" s="59" t="str">
        <v>E,</v>
      </c>
      <c r="W89" s="126" t="str">
        <v>てん</v>
      </c>
      <c r="X89" s="126">
        <v>0</v>
      </c>
      <c r="Y89" s="127" t="str">
        <v>え、</v>
      </c>
      <c r="Z89" s="90">
        <v>1</v>
      </c>
    </row>
    <row r="90" spans="1:26" x14ac:dyDescent="0.4">
      <c r="A90" s="52">
        <v>89</v>
      </c>
      <c r="B90" s="51">
        <f t="shared" si="8"/>
        <v>3</v>
      </c>
      <c r="C90" s="50">
        <f t="shared" si="9"/>
        <v>29</v>
      </c>
      <c r="D90" s="64" t="e">
        <f t="shared" si="10"/>
        <v>#N/A</v>
      </c>
      <c r="E90" s="121" cm="1">
        <f t="array" ref="E90">INDEX(InputArea,B90,C90)</f>
        <v>0</v>
      </c>
      <c r="F90" s="59" t="str">
        <f t="shared" si="11"/>
        <v>E.</v>
      </c>
      <c r="G90" s="59" t="str">
        <f t="shared" si="12"/>
        <v>てら</v>
      </c>
      <c r="H90" s="134"/>
      <c r="I90" s="136" t="s">
        <v>342</v>
      </c>
      <c r="J90" s="84">
        <f t="shared" si="13"/>
        <v>1</v>
      </c>
      <c r="K90" s="83"/>
      <c r="L90" s="64" t="e">
        <v>#N/A</v>
      </c>
      <c r="M90" s="121">
        <v>0</v>
      </c>
      <c r="N90" s="59" t="str">
        <v>E.</v>
      </c>
      <c r="O90" s="126" t="str">
        <v>てら</v>
      </c>
      <c r="P90" s="126">
        <v>0</v>
      </c>
      <c r="Q90" s="127" t="str">
        <v>え。</v>
      </c>
      <c r="R90" s="84">
        <v>1</v>
      </c>
      <c r="T90" s="100" t="e">
        <v>#N/A</v>
      </c>
      <c r="U90" s="121">
        <v>0</v>
      </c>
      <c r="V90" s="59" t="str">
        <v>E.</v>
      </c>
      <c r="W90" s="126" t="str">
        <v>てら</v>
      </c>
      <c r="X90" s="126">
        <v>0</v>
      </c>
      <c r="Y90" s="127" t="str">
        <v>え。</v>
      </c>
      <c r="Z90" s="90">
        <v>1</v>
      </c>
    </row>
    <row r="91" spans="1:26" x14ac:dyDescent="0.4">
      <c r="A91" s="52">
        <v>90</v>
      </c>
      <c r="B91" s="51">
        <f t="shared" si="8"/>
        <v>3</v>
      </c>
      <c r="C91" s="50">
        <f t="shared" si="9"/>
        <v>30</v>
      </c>
      <c r="D91" s="64" t="e">
        <f t="shared" si="10"/>
        <v>#N/A</v>
      </c>
      <c r="E91" s="121" cm="1">
        <f t="array" ref="E91">INDEX(InputArea,B91,C91)</f>
        <v>0</v>
      </c>
      <c r="F91" s="59" t="str">
        <f t="shared" si="11"/>
        <v>E/</v>
      </c>
      <c r="G91" s="59" t="str">
        <f t="shared" si="12"/>
        <v>てれ</v>
      </c>
      <c r="H91" s="134"/>
      <c r="I91" s="135"/>
      <c r="J91" s="84">
        <f t="shared" si="13"/>
        <v>1</v>
      </c>
      <c r="K91" s="83"/>
      <c r="L91" s="64" t="e">
        <v>#N/A</v>
      </c>
      <c r="M91" s="121">
        <v>0</v>
      </c>
      <c r="N91" s="59" t="str">
        <v>E/</v>
      </c>
      <c r="O91" s="126" t="str">
        <v>てれ</v>
      </c>
      <c r="P91" s="126">
        <v>0</v>
      </c>
      <c r="Q91" s="127">
        <v>0</v>
      </c>
      <c r="R91" s="84">
        <v>1</v>
      </c>
      <c r="T91" s="100" t="e">
        <v>#N/A</v>
      </c>
      <c r="U91" s="121">
        <v>0</v>
      </c>
      <c r="V91" s="59" t="str">
        <v>E/</v>
      </c>
      <c r="W91" s="126" t="str">
        <v>てれ</v>
      </c>
      <c r="X91" s="126">
        <v>0</v>
      </c>
      <c r="Y91" s="127">
        <v>0</v>
      </c>
      <c r="Z91" s="90">
        <v>1</v>
      </c>
    </row>
    <row r="92" spans="1:26" x14ac:dyDescent="0.4">
      <c r="A92" s="52">
        <v>91</v>
      </c>
      <c r="B92" s="51">
        <f t="shared" si="8"/>
        <v>4</v>
      </c>
      <c r="C92" s="50">
        <f t="shared" si="9"/>
        <v>1</v>
      </c>
      <c r="D92" s="64" t="e">
        <f t="shared" si="10"/>
        <v>#N/A</v>
      </c>
      <c r="E92" s="121" cm="1">
        <f t="array" ref="E92">INDEX(InputArea,B92,C92)</f>
        <v>0</v>
      </c>
      <c r="F92" s="59" t="str">
        <f t="shared" si="11"/>
        <v>RQ</v>
      </c>
      <c r="G92" s="59" t="str">
        <f t="shared" si="12"/>
        <v>しヴ</v>
      </c>
      <c r="H92" s="134"/>
      <c r="I92" s="135"/>
      <c r="J92" s="84">
        <f t="shared" si="13"/>
        <v>0</v>
      </c>
      <c r="K92" s="83"/>
      <c r="L92" s="64" t="e">
        <v>#N/A</v>
      </c>
      <c r="M92" s="121">
        <v>0</v>
      </c>
      <c r="N92" s="59" t="str">
        <v>RQ</v>
      </c>
      <c r="O92" s="126" t="str">
        <v>しヴ</v>
      </c>
      <c r="P92" s="126">
        <v>0</v>
      </c>
      <c r="Q92" s="127">
        <v>0</v>
      </c>
      <c r="R92" s="84">
        <v>0</v>
      </c>
      <c r="T92" s="100" t="e">
        <v>#N/A</v>
      </c>
      <c r="U92" s="121">
        <v>0</v>
      </c>
      <c r="V92" s="59" t="str">
        <v>RQ</v>
      </c>
      <c r="W92" s="126" t="str">
        <v>しヴ</v>
      </c>
      <c r="X92" s="126">
        <v>0</v>
      </c>
      <c r="Y92" s="127">
        <v>0</v>
      </c>
      <c r="Z92" s="90">
        <v>0</v>
      </c>
    </row>
    <row r="93" spans="1:26" x14ac:dyDescent="0.4">
      <c r="A93" s="52">
        <v>92</v>
      </c>
      <c r="B93" s="51">
        <f t="shared" si="8"/>
        <v>4</v>
      </c>
      <c r="C93" s="50">
        <f t="shared" si="9"/>
        <v>2</v>
      </c>
      <c r="D93" s="64" t="e">
        <f t="shared" si="10"/>
        <v>#N/A</v>
      </c>
      <c r="E93" s="121" cm="1">
        <f t="array" ref="E93">INDEX(InputArea,B93,C93)</f>
        <v>0</v>
      </c>
      <c r="F93" s="59" t="str">
        <f t="shared" si="11"/>
        <v>RW</v>
      </c>
      <c r="G93" s="59" t="str">
        <f t="shared" si="12"/>
        <v>しき</v>
      </c>
      <c r="H93" s="134"/>
      <c r="I93" s="135"/>
      <c r="J93" s="84">
        <f t="shared" si="13"/>
        <v>0</v>
      </c>
      <c r="K93" s="83"/>
      <c r="L93" s="64" t="e">
        <v>#N/A</v>
      </c>
      <c r="M93" s="121">
        <v>0</v>
      </c>
      <c r="N93" s="59" t="str">
        <v>RW</v>
      </c>
      <c r="O93" s="126" t="str">
        <v>しき</v>
      </c>
      <c r="P93" s="126">
        <v>0</v>
      </c>
      <c r="Q93" s="127">
        <v>0</v>
      </c>
      <c r="R93" s="84">
        <v>0</v>
      </c>
      <c r="T93" s="100" t="e">
        <v>#N/A</v>
      </c>
      <c r="U93" s="121">
        <v>0</v>
      </c>
      <c r="V93" s="59" t="str">
        <v>RW</v>
      </c>
      <c r="W93" s="126" t="str">
        <v>しき</v>
      </c>
      <c r="X93" s="126">
        <v>0</v>
      </c>
      <c r="Y93" s="127">
        <v>0</v>
      </c>
      <c r="Z93" s="90">
        <v>0</v>
      </c>
    </row>
    <row r="94" spans="1:26" x14ac:dyDescent="0.4">
      <c r="A94" s="52">
        <v>93</v>
      </c>
      <c r="B94" s="51">
        <f t="shared" si="8"/>
        <v>4</v>
      </c>
      <c r="C94" s="50">
        <f t="shared" si="9"/>
        <v>3</v>
      </c>
      <c r="D94" s="64" t="e">
        <f t="shared" si="10"/>
        <v>#N/A</v>
      </c>
      <c r="E94" s="121" cm="1">
        <f t="array" ref="E94">INDEX(InputArea,B94,C94)</f>
        <v>0</v>
      </c>
      <c r="F94" s="59" t="str">
        <f t="shared" si="11"/>
        <v>RE</v>
      </c>
      <c r="G94" s="59" t="str">
        <f t="shared" si="12"/>
        <v>して</v>
      </c>
      <c r="H94" s="134"/>
      <c r="I94" s="136" t="s">
        <v>305</v>
      </c>
      <c r="J94" s="84">
        <f t="shared" si="13"/>
        <v>0</v>
      </c>
      <c r="K94" s="83"/>
      <c r="L94" s="64" t="e">
        <v>#N/A</v>
      </c>
      <c r="M94" s="121">
        <v>0</v>
      </c>
      <c r="N94" s="59" t="str">
        <v>RE</v>
      </c>
      <c r="O94" s="126" t="str">
        <v>して</v>
      </c>
      <c r="P94" s="126">
        <v>0</v>
      </c>
      <c r="Q94" s="127" t="str">
        <v>れ</v>
      </c>
      <c r="R94" s="84">
        <v>0</v>
      </c>
      <c r="T94" s="100" t="e">
        <v>#N/A</v>
      </c>
      <c r="U94" s="121">
        <v>0</v>
      </c>
      <c r="V94" s="59" t="str">
        <v>RE</v>
      </c>
      <c r="W94" s="126" t="str">
        <v>して</v>
      </c>
      <c r="X94" s="126">
        <v>0</v>
      </c>
      <c r="Y94" s="127" t="str">
        <v>れ</v>
      </c>
      <c r="Z94" s="90">
        <v>0</v>
      </c>
    </row>
    <row r="95" spans="1:26" x14ac:dyDescent="0.4">
      <c r="A95" s="52">
        <v>94</v>
      </c>
      <c r="B95" s="51">
        <f t="shared" si="8"/>
        <v>4</v>
      </c>
      <c r="C95" s="50">
        <f t="shared" si="9"/>
        <v>4</v>
      </c>
      <c r="D95" s="64" t="e">
        <f t="shared" si="10"/>
        <v>#N/A</v>
      </c>
      <c r="E95" s="121" cm="1">
        <f t="array" ref="E95">INDEX(InputArea,B95,C95)</f>
        <v>0</v>
      </c>
      <c r="F95" s="59" t="str">
        <f t="shared" si="11"/>
        <v>RR</v>
      </c>
      <c r="G95" s="59" t="str">
        <f t="shared" si="12"/>
        <v>しし</v>
      </c>
      <c r="H95" s="134"/>
      <c r="I95" s="136" t="s">
        <v>348</v>
      </c>
      <c r="J95" s="84">
        <f t="shared" si="13"/>
        <v>0</v>
      </c>
      <c r="K95" s="83"/>
      <c r="L95" s="64" t="e">
        <v>#N/A</v>
      </c>
      <c r="M95" s="121">
        <v>0</v>
      </c>
      <c r="N95" s="59" t="str">
        <v>RR</v>
      </c>
      <c r="O95" s="126" t="str">
        <v>しし</v>
      </c>
      <c r="P95" s="126">
        <v>0</v>
      </c>
      <c r="Q95" s="127" t="str">
        <v>っｒ</v>
      </c>
      <c r="R95" s="84">
        <v>0</v>
      </c>
      <c r="T95" s="100" t="e">
        <v>#N/A</v>
      </c>
      <c r="U95" s="121">
        <v>0</v>
      </c>
      <c r="V95" s="59" t="str">
        <v>RR</v>
      </c>
      <c r="W95" s="126" t="str">
        <v>しし</v>
      </c>
      <c r="X95" s="126">
        <v>0</v>
      </c>
      <c r="Y95" s="127" t="str">
        <v>っｒ</v>
      </c>
      <c r="Z95" s="90">
        <v>0</v>
      </c>
    </row>
    <row r="96" spans="1:26" x14ac:dyDescent="0.4">
      <c r="A96" s="52">
        <v>95</v>
      </c>
      <c r="B96" s="51">
        <f t="shared" si="8"/>
        <v>4</v>
      </c>
      <c r="C96" s="50">
        <f t="shared" si="9"/>
        <v>5</v>
      </c>
      <c r="D96" s="64" t="e">
        <f t="shared" si="10"/>
        <v>#N/A</v>
      </c>
      <c r="E96" s="121" cm="1">
        <f t="array" ref="E96">INDEX(InputArea,B96,C96)</f>
        <v>0</v>
      </c>
      <c r="F96" s="59" t="str">
        <f t="shared" si="11"/>
        <v>RT</v>
      </c>
      <c r="G96" s="59" t="str">
        <f t="shared" si="12"/>
        <v>し←</v>
      </c>
      <c r="H96" s="134"/>
      <c r="I96" s="136" t="s">
        <v>306</v>
      </c>
      <c r="J96" s="84">
        <f t="shared" si="13"/>
        <v>0</v>
      </c>
      <c r="K96" s="83"/>
      <c r="L96" s="64" t="e">
        <v>#N/A</v>
      </c>
      <c r="M96" s="121">
        <v>0</v>
      </c>
      <c r="N96" s="59" t="str">
        <v>RT</v>
      </c>
      <c r="O96" s="126" t="str">
        <v>し←</v>
      </c>
      <c r="P96" s="126">
        <v>0</v>
      </c>
      <c r="Q96" s="127" t="str">
        <v>ら</v>
      </c>
      <c r="R96" s="84">
        <v>0</v>
      </c>
      <c r="T96" s="100" t="e">
        <v>#N/A</v>
      </c>
      <c r="U96" s="121">
        <v>0</v>
      </c>
      <c r="V96" s="59" t="str">
        <v>RT</v>
      </c>
      <c r="W96" s="126" t="str">
        <v>し←</v>
      </c>
      <c r="X96" s="126">
        <v>0</v>
      </c>
      <c r="Y96" s="127" t="str">
        <v>ら</v>
      </c>
      <c r="Z96" s="90">
        <v>0</v>
      </c>
    </row>
    <row r="97" spans="1:26" x14ac:dyDescent="0.4">
      <c r="A97" s="52">
        <v>96</v>
      </c>
      <c r="B97" s="51">
        <f t="shared" si="8"/>
        <v>4</v>
      </c>
      <c r="C97" s="50">
        <f t="shared" si="9"/>
        <v>6</v>
      </c>
      <c r="D97" s="64" t="e">
        <f t="shared" si="10"/>
        <v>#N/A</v>
      </c>
      <c r="E97" s="121" cm="1">
        <f t="array" ref="E97">INDEX(InputArea,B97,C97)</f>
        <v>0</v>
      </c>
      <c r="F97" s="59" t="str">
        <f t="shared" si="11"/>
        <v>RA</v>
      </c>
      <c r="G97" s="59" t="str">
        <f t="shared" si="12"/>
        <v>しろ</v>
      </c>
      <c r="H97" s="134"/>
      <c r="I97" s="135"/>
      <c r="J97" s="84">
        <f t="shared" si="13"/>
        <v>0</v>
      </c>
      <c r="K97" s="83"/>
      <c r="L97" s="64" t="e">
        <v>#N/A</v>
      </c>
      <c r="M97" s="121">
        <v>0</v>
      </c>
      <c r="N97" s="59" t="str">
        <v>RA</v>
      </c>
      <c r="O97" s="126" t="str">
        <v>しろ</v>
      </c>
      <c r="P97" s="126">
        <v>0</v>
      </c>
      <c r="Q97" s="127">
        <v>0</v>
      </c>
      <c r="R97" s="84">
        <v>0</v>
      </c>
      <c r="T97" s="100" t="e">
        <v>#N/A</v>
      </c>
      <c r="U97" s="121">
        <v>0</v>
      </c>
      <c r="V97" s="59" t="str">
        <v>RA</v>
      </c>
      <c r="W97" s="126" t="str">
        <v>しろ</v>
      </c>
      <c r="X97" s="126">
        <v>0</v>
      </c>
      <c r="Y97" s="127">
        <v>0</v>
      </c>
      <c r="Z97" s="90">
        <v>0</v>
      </c>
    </row>
    <row r="98" spans="1:26" x14ac:dyDescent="0.4">
      <c r="A98" s="52">
        <v>97</v>
      </c>
      <c r="B98" s="51">
        <f t="shared" si="8"/>
        <v>4</v>
      </c>
      <c r="C98" s="50">
        <f t="shared" si="9"/>
        <v>7</v>
      </c>
      <c r="D98" s="64" t="e">
        <f t="shared" si="10"/>
        <v>#N/A</v>
      </c>
      <c r="E98" s="121" cm="1">
        <f t="array" ref="E98">INDEX(InputArea,B98,C98)</f>
        <v>0</v>
      </c>
      <c r="F98" s="59" t="str">
        <f t="shared" si="11"/>
        <v>RS</v>
      </c>
      <c r="G98" s="59" t="str">
        <f t="shared" si="12"/>
        <v>しけ</v>
      </c>
      <c r="H98" s="134"/>
      <c r="I98" s="135"/>
      <c r="J98" s="84">
        <f t="shared" si="13"/>
        <v>0</v>
      </c>
      <c r="K98" s="83"/>
      <c r="L98" s="64" t="e">
        <v>#N/A</v>
      </c>
      <c r="M98" s="121">
        <v>0</v>
      </c>
      <c r="N98" s="59" t="str">
        <v>RS</v>
      </c>
      <c r="O98" s="126" t="str">
        <v>しけ</v>
      </c>
      <c r="P98" s="126">
        <v>0</v>
      </c>
      <c r="Q98" s="127">
        <v>0</v>
      </c>
      <c r="R98" s="84">
        <v>0</v>
      </c>
      <c r="T98" s="100" t="e">
        <v>#N/A</v>
      </c>
      <c r="U98" s="121">
        <v>0</v>
      </c>
      <c r="V98" s="59" t="str">
        <v>RS</v>
      </c>
      <c r="W98" s="126" t="str">
        <v>しけ</v>
      </c>
      <c r="X98" s="126">
        <v>0</v>
      </c>
      <c r="Y98" s="127">
        <v>0</v>
      </c>
      <c r="Z98" s="90">
        <v>0</v>
      </c>
    </row>
    <row r="99" spans="1:26" x14ac:dyDescent="0.4">
      <c r="A99" s="52">
        <v>98</v>
      </c>
      <c r="B99" s="51">
        <f t="shared" si="8"/>
        <v>4</v>
      </c>
      <c r="C99" s="50">
        <f t="shared" si="9"/>
        <v>8</v>
      </c>
      <c r="D99" s="64" t="e">
        <f t="shared" si="10"/>
        <v>#N/A</v>
      </c>
      <c r="E99" s="121" cm="1">
        <f t="array" ref="E99">INDEX(InputArea,B99,C99)</f>
        <v>0</v>
      </c>
      <c r="F99" s="59" t="str">
        <f t="shared" si="11"/>
        <v>RD</v>
      </c>
      <c r="G99" s="59" t="str">
        <f t="shared" si="12"/>
        <v>しと</v>
      </c>
      <c r="H99" s="134"/>
      <c r="I99" s="135"/>
      <c r="J99" s="84">
        <f t="shared" si="13"/>
        <v>0</v>
      </c>
      <c r="K99" s="83"/>
      <c r="L99" s="64" t="e">
        <v>#N/A</v>
      </c>
      <c r="M99" s="121">
        <v>0</v>
      </c>
      <c r="N99" s="59" t="str">
        <v>RD</v>
      </c>
      <c r="O99" s="126" t="str">
        <v>しと</v>
      </c>
      <c r="P99" s="126">
        <v>0</v>
      </c>
      <c r="Q99" s="127">
        <v>0</v>
      </c>
      <c r="R99" s="84">
        <v>0</v>
      </c>
      <c r="T99" s="100" t="e">
        <v>#N/A</v>
      </c>
      <c r="U99" s="121">
        <v>0</v>
      </c>
      <c r="V99" s="59" t="str">
        <v>RD</v>
      </c>
      <c r="W99" s="126" t="str">
        <v>しと</v>
      </c>
      <c r="X99" s="126">
        <v>0</v>
      </c>
      <c r="Y99" s="127">
        <v>0</v>
      </c>
      <c r="Z99" s="90">
        <v>0</v>
      </c>
    </row>
    <row r="100" spans="1:26" x14ac:dyDescent="0.4">
      <c r="A100" s="52">
        <v>99</v>
      </c>
      <c r="B100" s="51">
        <f t="shared" si="8"/>
        <v>4</v>
      </c>
      <c r="C100" s="50">
        <f t="shared" si="9"/>
        <v>9</v>
      </c>
      <c r="D100" s="64" t="e">
        <f t="shared" si="10"/>
        <v>#N/A</v>
      </c>
      <c r="E100" s="121" cm="1">
        <f t="array" ref="E100">INDEX(InputArea,B100,C100)</f>
        <v>0</v>
      </c>
      <c r="F100" s="59" t="str">
        <f t="shared" si="11"/>
        <v>RF</v>
      </c>
      <c r="G100" s="59" t="str">
        <f t="shared" si="12"/>
        <v>しか</v>
      </c>
      <c r="H100" s="134"/>
      <c r="I100" s="135"/>
      <c r="J100" s="84">
        <f t="shared" si="13"/>
        <v>0</v>
      </c>
      <c r="K100" s="83"/>
      <c r="L100" s="64" t="e">
        <v>#N/A</v>
      </c>
      <c r="M100" s="121">
        <v>0</v>
      </c>
      <c r="N100" s="59" t="str">
        <v>RF</v>
      </c>
      <c r="O100" s="126" t="str">
        <v>しか</v>
      </c>
      <c r="P100" s="126">
        <v>0</v>
      </c>
      <c r="Q100" s="127">
        <v>0</v>
      </c>
      <c r="R100" s="84">
        <v>0</v>
      </c>
      <c r="T100" s="100" t="e">
        <v>#N/A</v>
      </c>
      <c r="U100" s="121">
        <v>0</v>
      </c>
      <c r="V100" s="59" t="str">
        <v>RF</v>
      </c>
      <c r="W100" s="126" t="str">
        <v>しか</v>
      </c>
      <c r="X100" s="126">
        <v>0</v>
      </c>
      <c r="Y100" s="127">
        <v>0</v>
      </c>
      <c r="Z100" s="90">
        <v>0</v>
      </c>
    </row>
    <row r="101" spans="1:26" x14ac:dyDescent="0.4">
      <c r="A101" s="52">
        <v>100</v>
      </c>
      <c r="B101" s="51">
        <f t="shared" si="8"/>
        <v>4</v>
      </c>
      <c r="C101" s="50">
        <f t="shared" si="9"/>
        <v>10</v>
      </c>
      <c r="D101" s="64" t="e">
        <f t="shared" si="10"/>
        <v>#N/A</v>
      </c>
      <c r="E101" s="121" cm="1">
        <f t="array" ref="E101">INDEX(InputArea,B101,C101)</f>
        <v>0</v>
      </c>
      <c r="F101" s="59" t="str">
        <f t="shared" si="11"/>
        <v>RG</v>
      </c>
      <c r="G101" s="59" t="str">
        <f t="shared" si="12"/>
        <v>しっ</v>
      </c>
      <c r="H101" s="134"/>
      <c r="I101" s="135"/>
      <c r="J101" s="84">
        <f t="shared" si="13"/>
        <v>0</v>
      </c>
      <c r="K101" s="83"/>
      <c r="L101" s="64" t="e">
        <v>#N/A</v>
      </c>
      <c r="M101" s="121">
        <v>0</v>
      </c>
      <c r="N101" s="59" t="str">
        <v>RG</v>
      </c>
      <c r="O101" s="126" t="str">
        <v>しっ</v>
      </c>
      <c r="P101" s="126">
        <v>0</v>
      </c>
      <c r="Q101" s="127">
        <v>0</v>
      </c>
      <c r="R101" s="84">
        <v>0</v>
      </c>
      <c r="T101" s="100" t="e">
        <v>#N/A</v>
      </c>
      <c r="U101" s="121">
        <v>0</v>
      </c>
      <c r="V101" s="59" t="str">
        <v>RG</v>
      </c>
      <c r="W101" s="126" t="str">
        <v>しっ</v>
      </c>
      <c r="X101" s="126">
        <v>0</v>
      </c>
      <c r="Y101" s="127">
        <v>0</v>
      </c>
      <c r="Z101" s="90">
        <v>0</v>
      </c>
    </row>
    <row r="102" spans="1:26" x14ac:dyDescent="0.4">
      <c r="A102" s="52">
        <v>101</v>
      </c>
      <c r="B102" s="51">
        <f t="shared" si="8"/>
        <v>4</v>
      </c>
      <c r="C102" s="50">
        <f t="shared" si="9"/>
        <v>11</v>
      </c>
      <c r="D102" s="64" t="e">
        <f t="shared" si="10"/>
        <v>#N/A</v>
      </c>
      <c r="E102" s="121" cm="1">
        <f t="array" ref="E102">INDEX(InputArea,B102,C102)</f>
        <v>0</v>
      </c>
      <c r="F102" s="59" t="str">
        <f t="shared" si="11"/>
        <v>RZ</v>
      </c>
      <c r="G102" s="59" t="str">
        <f t="shared" si="12"/>
        <v>しほ</v>
      </c>
      <c r="H102" s="134"/>
      <c r="I102" s="135"/>
      <c r="J102" s="84">
        <f t="shared" si="13"/>
        <v>0</v>
      </c>
      <c r="K102" s="83"/>
      <c r="L102" s="64" t="e">
        <v>#N/A</v>
      </c>
      <c r="M102" s="121">
        <v>0</v>
      </c>
      <c r="N102" s="59" t="str">
        <v>RZ</v>
      </c>
      <c r="O102" s="126" t="str">
        <v>しほ</v>
      </c>
      <c r="P102" s="126">
        <v>0</v>
      </c>
      <c r="Q102" s="127">
        <v>0</v>
      </c>
      <c r="R102" s="84">
        <v>0</v>
      </c>
      <c r="T102" s="100" t="e">
        <v>#N/A</v>
      </c>
      <c r="U102" s="121">
        <v>0</v>
      </c>
      <c r="V102" s="59" t="str">
        <v>RZ</v>
      </c>
      <c r="W102" s="126" t="str">
        <v>しほ</v>
      </c>
      <c r="X102" s="126">
        <v>0</v>
      </c>
      <c r="Y102" s="127">
        <v>0</v>
      </c>
      <c r="Z102" s="90">
        <v>0</v>
      </c>
    </row>
    <row r="103" spans="1:26" x14ac:dyDescent="0.4">
      <c r="A103" s="52">
        <v>102</v>
      </c>
      <c r="B103" s="51">
        <f t="shared" si="8"/>
        <v>4</v>
      </c>
      <c r="C103" s="50">
        <f t="shared" si="9"/>
        <v>12</v>
      </c>
      <c r="D103" s="64" t="e">
        <f t="shared" si="10"/>
        <v>#N/A</v>
      </c>
      <c r="E103" s="121" cm="1">
        <f t="array" ref="E103">INDEX(InputArea,B103,C103)</f>
        <v>0</v>
      </c>
      <c r="F103" s="59" t="str">
        <f t="shared" si="11"/>
        <v>RX</v>
      </c>
      <c r="G103" s="59" t="str">
        <f t="shared" si="12"/>
        <v>しひ</v>
      </c>
      <c r="H103" s="134"/>
      <c r="I103" s="135"/>
      <c r="J103" s="84">
        <f t="shared" si="13"/>
        <v>0</v>
      </c>
      <c r="K103" s="83"/>
      <c r="L103" s="64" t="e">
        <v>#N/A</v>
      </c>
      <c r="M103" s="121">
        <v>0</v>
      </c>
      <c r="N103" s="59" t="str">
        <v>RX</v>
      </c>
      <c r="O103" s="126" t="str">
        <v>しひ</v>
      </c>
      <c r="P103" s="126">
        <v>0</v>
      </c>
      <c r="Q103" s="127">
        <v>0</v>
      </c>
      <c r="R103" s="84">
        <v>0</v>
      </c>
      <c r="T103" s="100" t="e">
        <v>#N/A</v>
      </c>
      <c r="U103" s="121">
        <v>0</v>
      </c>
      <c r="V103" s="59" t="str">
        <v>RX</v>
      </c>
      <c r="W103" s="126" t="str">
        <v>しひ</v>
      </c>
      <c r="X103" s="126">
        <v>0</v>
      </c>
      <c r="Y103" s="127">
        <v>0</v>
      </c>
      <c r="Z103" s="90">
        <v>0</v>
      </c>
    </row>
    <row r="104" spans="1:26" x14ac:dyDescent="0.4">
      <c r="A104" s="52">
        <v>103</v>
      </c>
      <c r="B104" s="51">
        <f t="shared" si="8"/>
        <v>4</v>
      </c>
      <c r="C104" s="50">
        <f t="shared" si="9"/>
        <v>13</v>
      </c>
      <c r="D104" s="64" t="e">
        <f t="shared" si="10"/>
        <v>#N/A</v>
      </c>
      <c r="E104" s="121" cm="1">
        <f t="array" ref="E104">INDEX(InputArea,B104,C104)</f>
        <v>0</v>
      </c>
      <c r="F104" s="59" t="str">
        <f t="shared" si="11"/>
        <v>RC</v>
      </c>
      <c r="G104" s="59" t="str">
        <f t="shared" si="12"/>
        <v>しは</v>
      </c>
      <c r="H104" s="134"/>
      <c r="I104" s="135"/>
      <c r="J104" s="84">
        <f t="shared" si="13"/>
        <v>0</v>
      </c>
      <c r="K104" s="83"/>
      <c r="L104" s="64" t="e">
        <v>#N/A</v>
      </c>
      <c r="M104" s="121">
        <v>0</v>
      </c>
      <c r="N104" s="59" t="str">
        <v>RC</v>
      </c>
      <c r="O104" s="126" t="str">
        <v>しは</v>
      </c>
      <c r="P104" s="126">
        <v>0</v>
      </c>
      <c r="Q104" s="127">
        <v>0</v>
      </c>
      <c r="R104" s="84">
        <v>0</v>
      </c>
      <c r="T104" s="100" t="e">
        <v>#N/A</v>
      </c>
      <c r="U104" s="121">
        <v>0</v>
      </c>
      <c r="V104" s="59" t="str">
        <v>RC</v>
      </c>
      <c r="W104" s="126" t="str">
        <v>しは</v>
      </c>
      <c r="X104" s="126">
        <v>0</v>
      </c>
      <c r="Y104" s="127">
        <v>0</v>
      </c>
      <c r="Z104" s="90">
        <v>0</v>
      </c>
    </row>
    <row r="105" spans="1:26" x14ac:dyDescent="0.4">
      <c r="A105" s="52">
        <v>104</v>
      </c>
      <c r="B105" s="51">
        <f t="shared" si="8"/>
        <v>4</v>
      </c>
      <c r="C105" s="50">
        <f t="shared" si="9"/>
        <v>14</v>
      </c>
      <c r="D105" s="64" t="e">
        <f t="shared" si="10"/>
        <v>#N/A</v>
      </c>
      <c r="E105" s="121" cm="1">
        <f t="array" ref="E105">INDEX(InputArea,B105,C105)</f>
        <v>0</v>
      </c>
      <c r="F105" s="59" t="str">
        <f t="shared" si="11"/>
        <v>RV</v>
      </c>
      <c r="G105" s="59" t="str">
        <f t="shared" si="12"/>
        <v>しこ</v>
      </c>
      <c r="H105" s="134"/>
      <c r="I105" s="135"/>
      <c r="J105" s="84">
        <f t="shared" si="13"/>
        <v>0</v>
      </c>
      <c r="K105" s="83"/>
      <c r="L105" s="64" t="e">
        <v>#N/A</v>
      </c>
      <c r="M105" s="121">
        <v>0</v>
      </c>
      <c r="N105" s="59" t="str">
        <v>RV</v>
      </c>
      <c r="O105" s="126" t="str">
        <v>しこ</v>
      </c>
      <c r="P105" s="126">
        <v>0</v>
      </c>
      <c r="Q105" s="127">
        <v>0</v>
      </c>
      <c r="R105" s="84">
        <v>0</v>
      </c>
      <c r="T105" s="100" t="e">
        <v>#N/A</v>
      </c>
      <c r="U105" s="121">
        <v>0</v>
      </c>
      <c r="V105" s="59" t="str">
        <v>RV</v>
      </c>
      <c r="W105" s="126" t="str">
        <v>しこ</v>
      </c>
      <c r="X105" s="126">
        <v>0</v>
      </c>
      <c r="Y105" s="127">
        <v>0</v>
      </c>
      <c r="Z105" s="90">
        <v>0</v>
      </c>
    </row>
    <row r="106" spans="1:26" x14ac:dyDescent="0.4">
      <c r="A106" s="52">
        <v>105</v>
      </c>
      <c r="B106" s="51">
        <f t="shared" si="8"/>
        <v>4</v>
      </c>
      <c r="C106" s="50">
        <f t="shared" si="9"/>
        <v>15</v>
      </c>
      <c r="D106" s="64" t="e">
        <f t="shared" si="10"/>
        <v>#N/A</v>
      </c>
      <c r="E106" s="121" cm="1">
        <f t="array" ref="E106">INDEX(InputArea,B106,C106)</f>
        <v>0</v>
      </c>
      <c r="F106" s="59" t="str">
        <f t="shared" si="11"/>
        <v>RB</v>
      </c>
      <c r="G106" s="59" t="str">
        <f t="shared" si="12"/>
        <v>しそ</v>
      </c>
      <c r="H106" s="134"/>
      <c r="I106" s="135"/>
      <c r="J106" s="84">
        <f t="shared" si="13"/>
        <v>0</v>
      </c>
      <c r="K106" s="83"/>
      <c r="L106" s="64" t="e">
        <v>#N/A</v>
      </c>
      <c r="M106" s="121">
        <v>0</v>
      </c>
      <c r="N106" s="59" t="str">
        <v>RB</v>
      </c>
      <c r="O106" s="126" t="str">
        <v>しそ</v>
      </c>
      <c r="P106" s="126">
        <v>0</v>
      </c>
      <c r="Q106" s="127">
        <v>0</v>
      </c>
      <c r="R106" s="84">
        <v>0</v>
      </c>
      <c r="T106" s="100" t="e">
        <v>#N/A</v>
      </c>
      <c r="U106" s="121">
        <v>0</v>
      </c>
      <c r="V106" s="59" t="str">
        <v>RB</v>
      </c>
      <c r="W106" s="126" t="str">
        <v>しそ</v>
      </c>
      <c r="X106" s="126">
        <v>0</v>
      </c>
      <c r="Y106" s="127">
        <v>0</v>
      </c>
      <c r="Z106" s="90">
        <v>0</v>
      </c>
    </row>
    <row r="107" spans="1:26" x14ac:dyDescent="0.4">
      <c r="A107" s="52">
        <v>106</v>
      </c>
      <c r="B107" s="51">
        <f t="shared" si="8"/>
        <v>4</v>
      </c>
      <c r="C107" s="50">
        <f t="shared" si="9"/>
        <v>16</v>
      </c>
      <c r="D107" s="64" t="e">
        <f t="shared" si="10"/>
        <v>#N/A</v>
      </c>
      <c r="E107" s="121" cm="1">
        <f t="array" ref="E107">INDEX(InputArea,B107,C107)</f>
        <v>0</v>
      </c>
      <c r="F107" s="59" t="str">
        <f t="shared" si="11"/>
        <v>RY</v>
      </c>
      <c r="G107" s="59" t="str">
        <f t="shared" si="12"/>
        <v>し→</v>
      </c>
      <c r="H107" s="134"/>
      <c r="I107" s="136" t="s">
        <v>343</v>
      </c>
      <c r="J107" s="84">
        <f t="shared" si="13"/>
        <v>1</v>
      </c>
      <c r="K107" s="83"/>
      <c r="L107" s="64" t="e">
        <v>#N/A</v>
      </c>
      <c r="M107" s="121">
        <v>0</v>
      </c>
      <c r="N107" s="59" t="str">
        <v>RY</v>
      </c>
      <c r="O107" s="126" t="str">
        <v>し→</v>
      </c>
      <c r="P107" s="126">
        <v>0</v>
      </c>
      <c r="Q107" s="127" t="str">
        <v>ｒｙ</v>
      </c>
      <c r="R107" s="84">
        <v>1</v>
      </c>
      <c r="T107" s="100" t="e">
        <v>#N/A</v>
      </c>
      <c r="U107" s="121">
        <v>0</v>
      </c>
      <c r="V107" s="59" t="str">
        <v>RY</v>
      </c>
      <c r="W107" s="126" t="str">
        <v>し→</v>
      </c>
      <c r="X107" s="126">
        <v>0</v>
      </c>
      <c r="Y107" s="127" t="str">
        <v>ｒｙ</v>
      </c>
      <c r="Z107" s="90">
        <v>1</v>
      </c>
    </row>
    <row r="108" spans="1:26" x14ac:dyDescent="0.4">
      <c r="A108" s="52">
        <v>107</v>
      </c>
      <c r="B108" s="51">
        <f t="shared" si="8"/>
        <v>4</v>
      </c>
      <c r="C108" s="50">
        <f t="shared" si="9"/>
        <v>17</v>
      </c>
      <c r="D108" s="64" t="e">
        <f t="shared" si="10"/>
        <v>#N/A</v>
      </c>
      <c r="E108" s="121" cm="1">
        <f t="array" ref="E108">INDEX(InputArea,B108,C108)</f>
        <v>0</v>
      </c>
      <c r="F108" s="59" t="str">
        <f t="shared" si="11"/>
        <v>RU</v>
      </c>
      <c r="G108" s="59" t="str">
        <f t="shared" si="12"/>
        <v>しBS</v>
      </c>
      <c r="H108" s="134"/>
      <c r="I108" s="136" t="s">
        <v>307</v>
      </c>
      <c r="J108" s="84">
        <f t="shared" si="13"/>
        <v>1</v>
      </c>
      <c r="K108" s="83"/>
      <c r="L108" s="64" t="e">
        <v>#N/A</v>
      </c>
      <c r="M108" s="121">
        <v>0</v>
      </c>
      <c r="N108" s="59" t="str">
        <v>RU</v>
      </c>
      <c r="O108" s="126" t="str">
        <v>しBS</v>
      </c>
      <c r="P108" s="126">
        <v>0</v>
      </c>
      <c r="Q108" s="127" t="str">
        <v>る</v>
      </c>
      <c r="R108" s="84">
        <v>1</v>
      </c>
      <c r="T108" s="100" t="e">
        <v>#N/A</v>
      </c>
      <c r="U108" s="121">
        <v>0</v>
      </c>
      <c r="V108" s="59" t="str">
        <v>RU</v>
      </c>
      <c r="W108" s="126" t="str">
        <v>しBS</v>
      </c>
      <c r="X108" s="126">
        <v>0</v>
      </c>
      <c r="Y108" s="127" t="str">
        <v>る</v>
      </c>
      <c r="Z108" s="90">
        <v>1</v>
      </c>
    </row>
    <row r="109" spans="1:26" x14ac:dyDescent="0.4">
      <c r="A109" s="52">
        <v>108</v>
      </c>
      <c r="B109" s="51">
        <f t="shared" si="8"/>
        <v>4</v>
      </c>
      <c r="C109" s="50">
        <f t="shared" si="9"/>
        <v>18</v>
      </c>
      <c r="D109" s="64" t="e">
        <f t="shared" si="10"/>
        <v>#N/A</v>
      </c>
      <c r="E109" s="121" cm="1">
        <f t="array" ref="E109">INDEX(InputArea,B109,C109)</f>
        <v>0</v>
      </c>
      <c r="F109" s="59" t="str">
        <f t="shared" si="11"/>
        <v>RI</v>
      </c>
      <c r="G109" s="59" t="str">
        <f t="shared" si="12"/>
        <v>しる</v>
      </c>
      <c r="H109" s="137" t="s">
        <v>253</v>
      </c>
      <c r="I109" s="136" t="s">
        <v>308</v>
      </c>
      <c r="J109" s="84">
        <f t="shared" si="13"/>
        <v>1</v>
      </c>
      <c r="K109" s="83"/>
      <c r="L109" s="64" t="e">
        <v>#N/A</v>
      </c>
      <c r="M109" s="121">
        <v>0</v>
      </c>
      <c r="N109" s="59" t="str">
        <v>RI</v>
      </c>
      <c r="O109" s="126" t="str">
        <v>しる</v>
      </c>
      <c r="P109" s="126" t="str">
        <v>しょ</v>
      </c>
      <c r="Q109" s="127" t="str">
        <v>り</v>
      </c>
      <c r="R109" s="84">
        <v>1</v>
      </c>
      <c r="T109" s="100" t="e">
        <v>#N/A</v>
      </c>
      <c r="U109" s="121">
        <v>0</v>
      </c>
      <c r="V109" s="59" t="str">
        <v>RI</v>
      </c>
      <c r="W109" s="126" t="str">
        <v>しる</v>
      </c>
      <c r="X109" s="126" t="str">
        <v>しょ</v>
      </c>
      <c r="Y109" s="127" t="str">
        <v>り</v>
      </c>
      <c r="Z109" s="90">
        <v>1</v>
      </c>
    </row>
    <row r="110" spans="1:26" x14ac:dyDescent="0.4">
      <c r="A110" s="52">
        <v>109</v>
      </c>
      <c r="B110" s="51">
        <f t="shared" si="8"/>
        <v>4</v>
      </c>
      <c r="C110" s="50">
        <f t="shared" si="9"/>
        <v>19</v>
      </c>
      <c r="D110" s="64" t="e">
        <f t="shared" si="10"/>
        <v>#N/A</v>
      </c>
      <c r="E110" s="121" cm="1">
        <f t="array" ref="E110">INDEX(InputArea,B110,C110)</f>
        <v>0</v>
      </c>
      <c r="F110" s="59" t="str">
        <f t="shared" si="11"/>
        <v>RO</v>
      </c>
      <c r="G110" s="59" t="str">
        <f t="shared" si="12"/>
        <v>しす</v>
      </c>
      <c r="H110" s="134"/>
      <c r="I110" s="136" t="s">
        <v>309</v>
      </c>
      <c r="J110" s="84">
        <f t="shared" si="13"/>
        <v>1</v>
      </c>
      <c r="K110" s="83"/>
      <c r="L110" s="64" t="e">
        <v>#N/A</v>
      </c>
      <c r="M110" s="121">
        <v>0</v>
      </c>
      <c r="N110" s="59" t="str">
        <v>RO</v>
      </c>
      <c r="O110" s="126" t="str">
        <v>しす</v>
      </c>
      <c r="P110" s="126">
        <v>0</v>
      </c>
      <c r="Q110" s="127" t="str">
        <v>ろ</v>
      </c>
      <c r="R110" s="84">
        <v>1</v>
      </c>
      <c r="T110" s="100" t="e">
        <v>#N/A</v>
      </c>
      <c r="U110" s="121">
        <v>0</v>
      </c>
      <c r="V110" s="59" t="str">
        <v>RO</v>
      </c>
      <c r="W110" s="126" t="str">
        <v>しす</v>
      </c>
      <c r="X110" s="126">
        <v>0</v>
      </c>
      <c r="Y110" s="127" t="str">
        <v>ろ</v>
      </c>
      <c r="Z110" s="90">
        <v>1</v>
      </c>
    </row>
    <row r="111" spans="1:26" x14ac:dyDescent="0.4">
      <c r="A111" s="52">
        <v>110</v>
      </c>
      <c r="B111" s="51">
        <f t="shared" si="8"/>
        <v>4</v>
      </c>
      <c r="C111" s="50">
        <f t="shared" si="9"/>
        <v>20</v>
      </c>
      <c r="D111" s="64" t="e">
        <f t="shared" si="10"/>
        <v>#N/A</v>
      </c>
      <c r="E111" s="121" cm="1">
        <f t="array" ref="E111">INDEX(InputArea,B111,C111)</f>
        <v>0</v>
      </c>
      <c r="F111" s="59" t="str">
        <f t="shared" si="11"/>
        <v>RP</v>
      </c>
      <c r="G111" s="59" t="str">
        <f t="shared" si="12"/>
        <v>しへ</v>
      </c>
      <c r="H111" s="137" t="s">
        <v>254</v>
      </c>
      <c r="I111" s="135"/>
      <c r="J111" s="84">
        <f t="shared" si="13"/>
        <v>1</v>
      </c>
      <c r="K111" s="83"/>
      <c r="L111" s="64" t="e">
        <v>#N/A</v>
      </c>
      <c r="M111" s="121">
        <v>0</v>
      </c>
      <c r="N111" s="59" t="str">
        <v>RP</v>
      </c>
      <c r="O111" s="126" t="str">
        <v>しへ</v>
      </c>
      <c r="P111" s="126" t="str">
        <v>しゅ</v>
      </c>
      <c r="Q111" s="127">
        <v>0</v>
      </c>
      <c r="R111" s="84">
        <v>1</v>
      </c>
      <c r="T111" s="100" t="e">
        <v>#N/A</v>
      </c>
      <c r="U111" s="121">
        <v>0</v>
      </c>
      <c r="V111" s="59" t="str">
        <v>RP</v>
      </c>
      <c r="W111" s="126" t="str">
        <v>しへ</v>
      </c>
      <c r="X111" s="126" t="str">
        <v>しゅ</v>
      </c>
      <c r="Y111" s="127">
        <v>0</v>
      </c>
      <c r="Z111" s="90">
        <v>1</v>
      </c>
    </row>
    <row r="112" spans="1:26" x14ac:dyDescent="0.4">
      <c r="A112" s="52">
        <v>111</v>
      </c>
      <c r="B112" s="51">
        <f t="shared" si="8"/>
        <v>4</v>
      </c>
      <c r="C112" s="50">
        <f t="shared" si="9"/>
        <v>21</v>
      </c>
      <c r="D112" s="64" t="e">
        <f t="shared" si="10"/>
        <v>#N/A</v>
      </c>
      <c r="E112" s="121" cm="1">
        <f t="array" ref="E112">INDEX(InputArea,B112,C112)</f>
        <v>0</v>
      </c>
      <c r="F112" s="59" t="str">
        <f t="shared" si="11"/>
        <v>RH</v>
      </c>
      <c r="G112" s="59" t="str">
        <f t="shared" si="12"/>
        <v>しく</v>
      </c>
      <c r="H112" s="137" t="s">
        <v>255</v>
      </c>
      <c r="I112" s="135"/>
      <c r="J112" s="84">
        <f t="shared" si="13"/>
        <v>1</v>
      </c>
      <c r="K112" s="83"/>
      <c r="L112" s="64" t="e">
        <v>#N/A</v>
      </c>
      <c r="M112" s="121">
        <v>0</v>
      </c>
      <c r="N112" s="59" t="str">
        <v>RH</v>
      </c>
      <c r="O112" s="126" t="str">
        <v>しく</v>
      </c>
      <c r="P112" s="126" t="str">
        <v>しゃ</v>
      </c>
      <c r="Q112" s="127">
        <v>0</v>
      </c>
      <c r="R112" s="84">
        <v>1</v>
      </c>
      <c r="T112" s="100" t="e">
        <v>#N/A</v>
      </c>
      <c r="U112" s="121">
        <v>0</v>
      </c>
      <c r="V112" s="59" t="str">
        <v>RH</v>
      </c>
      <c r="W112" s="126" t="str">
        <v>しく</v>
      </c>
      <c r="X112" s="126" t="str">
        <v>しゃ</v>
      </c>
      <c r="Y112" s="127">
        <v>0</v>
      </c>
      <c r="Z112" s="90">
        <v>1</v>
      </c>
    </row>
    <row r="113" spans="1:26" x14ac:dyDescent="0.4">
      <c r="A113" s="52">
        <v>112</v>
      </c>
      <c r="B113" s="51">
        <f t="shared" si="8"/>
        <v>4</v>
      </c>
      <c r="C113" s="50">
        <f t="shared" si="9"/>
        <v>22</v>
      </c>
      <c r="D113" s="64" t="e">
        <f t="shared" si="10"/>
        <v>#N/A</v>
      </c>
      <c r="E113" s="121" cm="1">
        <f t="array" ref="E113">INDEX(InputArea,B113,C113)</f>
        <v>0</v>
      </c>
      <c r="F113" s="59" t="str">
        <f t="shared" si="11"/>
        <v>RJ</v>
      </c>
      <c r="G113" s="59" t="str">
        <f t="shared" si="12"/>
        <v>しあ</v>
      </c>
      <c r="H113" s="137" t="s">
        <v>256</v>
      </c>
      <c r="I113" s="135"/>
      <c r="J113" s="84">
        <f t="shared" si="13"/>
        <v>1</v>
      </c>
      <c r="K113" s="83"/>
      <c r="L113" s="64" t="e">
        <v>#N/A</v>
      </c>
      <c r="M113" s="121">
        <v>0</v>
      </c>
      <c r="N113" s="59" t="str">
        <v>RJ</v>
      </c>
      <c r="O113" s="126" t="str">
        <v>しあ</v>
      </c>
      <c r="P113" s="126" t="str">
        <v>じ</v>
      </c>
      <c r="Q113" s="127">
        <v>0</v>
      </c>
      <c r="R113" s="84">
        <v>1</v>
      </c>
      <c r="T113" s="100" t="e">
        <v>#N/A</v>
      </c>
      <c r="U113" s="121">
        <v>0</v>
      </c>
      <c r="V113" s="59" t="str">
        <v>RJ</v>
      </c>
      <c r="W113" s="126" t="str">
        <v>しあ</v>
      </c>
      <c r="X113" s="126" t="str">
        <v>じ</v>
      </c>
      <c r="Y113" s="127">
        <v>0</v>
      </c>
      <c r="Z113" s="90">
        <v>1</v>
      </c>
    </row>
    <row r="114" spans="1:26" x14ac:dyDescent="0.4">
      <c r="A114" s="52">
        <v>113</v>
      </c>
      <c r="B114" s="51">
        <f t="shared" si="8"/>
        <v>4</v>
      </c>
      <c r="C114" s="50">
        <f t="shared" si="9"/>
        <v>23</v>
      </c>
      <c r="D114" s="64" t="e">
        <f t="shared" si="10"/>
        <v>#N/A</v>
      </c>
      <c r="E114" s="121" cm="1">
        <f t="array" ref="E114">INDEX(InputArea,B114,C114)</f>
        <v>0</v>
      </c>
      <c r="F114" s="59" t="str">
        <f t="shared" si="11"/>
        <v>RK</v>
      </c>
      <c r="G114" s="59" t="str">
        <f t="shared" si="12"/>
        <v>しい</v>
      </c>
      <c r="H114" s="134"/>
      <c r="I114" s="135"/>
      <c r="J114" s="84">
        <f t="shared" si="13"/>
        <v>1</v>
      </c>
      <c r="K114" s="83"/>
      <c r="L114" s="64" t="e">
        <v>#N/A</v>
      </c>
      <c r="M114" s="121">
        <v>0</v>
      </c>
      <c r="N114" s="59" t="str">
        <v>RK</v>
      </c>
      <c r="O114" s="126" t="str">
        <v>しい</v>
      </c>
      <c r="P114" s="126">
        <v>0</v>
      </c>
      <c r="Q114" s="127">
        <v>0</v>
      </c>
      <c r="R114" s="84">
        <v>1</v>
      </c>
      <c r="T114" s="100" t="e">
        <v>#N/A</v>
      </c>
      <c r="U114" s="121">
        <v>0</v>
      </c>
      <c r="V114" s="59" t="str">
        <v>RK</v>
      </c>
      <c r="W114" s="126" t="str">
        <v>しい</v>
      </c>
      <c r="X114" s="126">
        <v>0</v>
      </c>
      <c r="Y114" s="127">
        <v>0</v>
      </c>
      <c r="Z114" s="90">
        <v>1</v>
      </c>
    </row>
    <row r="115" spans="1:26" x14ac:dyDescent="0.4">
      <c r="A115" s="52">
        <v>114</v>
      </c>
      <c r="B115" s="51">
        <f t="shared" si="8"/>
        <v>4</v>
      </c>
      <c r="C115" s="50">
        <f t="shared" si="9"/>
        <v>24</v>
      </c>
      <c r="D115" s="64" t="e">
        <f t="shared" si="10"/>
        <v>#N/A</v>
      </c>
      <c r="E115" s="121" cm="1">
        <f t="array" ref="E115">INDEX(InputArea,B115,C115)</f>
        <v>0</v>
      </c>
      <c r="F115" s="59" t="str">
        <f t="shared" si="11"/>
        <v>RL</v>
      </c>
      <c r="G115" s="59" t="str">
        <f t="shared" si="12"/>
        <v>しう</v>
      </c>
      <c r="H115" s="134"/>
      <c r="I115" s="135"/>
      <c r="J115" s="84">
        <f t="shared" si="13"/>
        <v>1</v>
      </c>
      <c r="K115" s="83"/>
      <c r="L115" s="64" t="e">
        <v>#N/A</v>
      </c>
      <c r="M115" s="121">
        <v>0</v>
      </c>
      <c r="N115" s="59" t="str">
        <v>RL</v>
      </c>
      <c r="O115" s="126" t="str">
        <v>しう</v>
      </c>
      <c r="P115" s="126">
        <v>0</v>
      </c>
      <c r="Q115" s="127">
        <v>0</v>
      </c>
      <c r="R115" s="84">
        <v>1</v>
      </c>
      <c r="T115" s="100" t="e">
        <v>#N/A</v>
      </c>
      <c r="U115" s="121">
        <v>0</v>
      </c>
      <c r="V115" s="59" t="str">
        <v>RL</v>
      </c>
      <c r="W115" s="126" t="str">
        <v>しう</v>
      </c>
      <c r="X115" s="126">
        <v>0</v>
      </c>
      <c r="Y115" s="127">
        <v>0</v>
      </c>
      <c r="Z115" s="90">
        <v>1</v>
      </c>
    </row>
    <row r="116" spans="1:26" x14ac:dyDescent="0.4">
      <c r="A116" s="52">
        <v>115</v>
      </c>
      <c r="B116" s="51">
        <f t="shared" si="8"/>
        <v>4</v>
      </c>
      <c r="C116" s="50">
        <f t="shared" si="9"/>
        <v>25</v>
      </c>
      <c r="D116" s="64" t="e">
        <f t="shared" si="10"/>
        <v>#N/A</v>
      </c>
      <c r="E116" s="121" cm="1">
        <f t="array" ref="E116">INDEX(InputArea,B116,C116)</f>
        <v>0</v>
      </c>
      <c r="F116" s="59" t="str">
        <f t="shared" si="11"/>
        <v>R;</v>
      </c>
      <c r="G116" s="59" t="str">
        <f t="shared" si="12"/>
        <v>しー</v>
      </c>
      <c r="H116" s="134"/>
      <c r="I116" s="135"/>
      <c r="J116" s="84">
        <f t="shared" si="13"/>
        <v>1</v>
      </c>
      <c r="K116" s="83"/>
      <c r="L116" s="64" t="e">
        <v>#N/A</v>
      </c>
      <c r="M116" s="121">
        <v>0</v>
      </c>
      <c r="N116" s="59" t="str">
        <v>R;</v>
      </c>
      <c r="O116" s="126" t="str">
        <v>しー</v>
      </c>
      <c r="P116" s="126">
        <v>0</v>
      </c>
      <c r="Q116" s="127">
        <v>0</v>
      </c>
      <c r="R116" s="84">
        <v>1</v>
      </c>
      <c r="T116" s="100" t="e">
        <v>#N/A</v>
      </c>
      <c r="U116" s="121">
        <v>0</v>
      </c>
      <c r="V116" s="59" t="str">
        <v>R;</v>
      </c>
      <c r="W116" s="126" t="str">
        <v>しー</v>
      </c>
      <c r="X116" s="126">
        <v>0</v>
      </c>
      <c r="Y116" s="127">
        <v>0</v>
      </c>
      <c r="Z116" s="90">
        <v>1</v>
      </c>
    </row>
    <row r="117" spans="1:26" x14ac:dyDescent="0.4">
      <c r="A117" s="52">
        <v>116</v>
      </c>
      <c r="B117" s="51">
        <f t="shared" si="8"/>
        <v>4</v>
      </c>
      <c r="C117" s="50">
        <f t="shared" si="9"/>
        <v>26</v>
      </c>
      <c r="D117" s="64" t="e">
        <f t="shared" si="10"/>
        <v>#N/A</v>
      </c>
      <c r="E117" s="121" cm="1">
        <f t="array" ref="E117">INDEX(InputArea,B117,C117)</f>
        <v>0</v>
      </c>
      <c r="F117" s="59" t="str">
        <f t="shared" si="11"/>
        <v>RN</v>
      </c>
      <c r="G117" s="59" t="str">
        <f t="shared" si="12"/>
        <v>した</v>
      </c>
      <c r="H117" s="134"/>
      <c r="I117" s="135"/>
      <c r="J117" s="84">
        <f t="shared" si="13"/>
        <v>1</v>
      </c>
      <c r="K117" s="83"/>
      <c r="L117" s="64" t="e">
        <v>#N/A</v>
      </c>
      <c r="M117" s="121">
        <v>0</v>
      </c>
      <c r="N117" s="59" t="str">
        <v>RN</v>
      </c>
      <c r="O117" s="126" t="str">
        <v>した</v>
      </c>
      <c r="P117" s="126">
        <v>0</v>
      </c>
      <c r="Q117" s="127">
        <v>0</v>
      </c>
      <c r="R117" s="84">
        <v>1</v>
      </c>
      <c r="T117" s="100" t="e">
        <v>#N/A</v>
      </c>
      <c r="U117" s="121">
        <v>0</v>
      </c>
      <c r="V117" s="59" t="str">
        <v>RN</v>
      </c>
      <c r="W117" s="126" t="str">
        <v>した</v>
      </c>
      <c r="X117" s="126">
        <v>0</v>
      </c>
      <c r="Y117" s="127">
        <v>0</v>
      </c>
      <c r="Z117" s="90">
        <v>1</v>
      </c>
    </row>
    <row r="118" spans="1:26" x14ac:dyDescent="0.4">
      <c r="A118" s="52">
        <v>117</v>
      </c>
      <c r="B118" s="51">
        <f t="shared" si="8"/>
        <v>4</v>
      </c>
      <c r="C118" s="50">
        <f t="shared" si="9"/>
        <v>27</v>
      </c>
      <c r="D118" s="64" t="e">
        <f t="shared" si="10"/>
        <v>#N/A</v>
      </c>
      <c r="E118" s="121" cm="1">
        <f t="array" ref="E118">INDEX(InputArea,B118,C118)</f>
        <v>0</v>
      </c>
      <c r="F118" s="59" t="str">
        <f t="shared" si="11"/>
        <v>RM</v>
      </c>
      <c r="G118" s="59" t="str">
        <f t="shared" si="12"/>
        <v>しな</v>
      </c>
      <c r="H118" s="134"/>
      <c r="I118" s="135"/>
      <c r="J118" s="84">
        <f t="shared" si="13"/>
        <v>1</v>
      </c>
      <c r="K118" s="83"/>
      <c r="L118" s="64" t="e">
        <v>#N/A</v>
      </c>
      <c r="M118" s="121">
        <v>0</v>
      </c>
      <c r="N118" s="59" t="str">
        <v>RM</v>
      </c>
      <c r="O118" s="126" t="str">
        <v>しな</v>
      </c>
      <c r="P118" s="126">
        <v>0</v>
      </c>
      <c r="Q118" s="127">
        <v>0</v>
      </c>
      <c r="R118" s="84">
        <v>1</v>
      </c>
      <c r="T118" s="100" t="e">
        <v>#N/A</v>
      </c>
      <c r="U118" s="121">
        <v>0</v>
      </c>
      <c r="V118" s="59" t="str">
        <v>RM</v>
      </c>
      <c r="W118" s="126" t="str">
        <v>しな</v>
      </c>
      <c r="X118" s="126">
        <v>0</v>
      </c>
      <c r="Y118" s="127">
        <v>0</v>
      </c>
      <c r="Z118" s="90">
        <v>1</v>
      </c>
    </row>
    <row r="119" spans="1:26" x14ac:dyDescent="0.4">
      <c r="A119" s="52">
        <v>118</v>
      </c>
      <c r="B119" s="51">
        <f t="shared" si="8"/>
        <v>4</v>
      </c>
      <c r="C119" s="50">
        <f t="shared" si="9"/>
        <v>28</v>
      </c>
      <c r="D119" s="64" t="e">
        <f t="shared" si="10"/>
        <v>#N/A</v>
      </c>
      <c r="E119" s="121" cm="1">
        <f t="array" ref="E119">INDEX(InputArea,B119,C119)</f>
        <v>0</v>
      </c>
      <c r="F119" s="59" t="str">
        <f t="shared" si="11"/>
        <v>R,</v>
      </c>
      <c r="G119" s="59" t="str">
        <f t="shared" si="12"/>
        <v>しん</v>
      </c>
      <c r="H119" s="134"/>
      <c r="I119" s="135"/>
      <c r="J119" s="84">
        <f t="shared" si="13"/>
        <v>1</v>
      </c>
      <c r="K119" s="83"/>
      <c r="L119" s="64" t="e">
        <v>#N/A</v>
      </c>
      <c r="M119" s="121">
        <v>0</v>
      </c>
      <c r="N119" s="59" t="str">
        <v>R,</v>
      </c>
      <c r="O119" s="126" t="str">
        <v>しん</v>
      </c>
      <c r="P119" s="126">
        <v>0</v>
      </c>
      <c r="Q119" s="127">
        <v>0</v>
      </c>
      <c r="R119" s="84">
        <v>1</v>
      </c>
      <c r="T119" s="100" t="e">
        <v>#N/A</v>
      </c>
      <c r="U119" s="121">
        <v>0</v>
      </c>
      <c r="V119" s="59" t="str">
        <v>R,</v>
      </c>
      <c r="W119" s="126" t="str">
        <v>しん</v>
      </c>
      <c r="X119" s="126">
        <v>0</v>
      </c>
      <c r="Y119" s="127">
        <v>0</v>
      </c>
      <c r="Z119" s="90">
        <v>1</v>
      </c>
    </row>
    <row r="120" spans="1:26" x14ac:dyDescent="0.4">
      <c r="A120" s="52">
        <v>119</v>
      </c>
      <c r="B120" s="51">
        <f t="shared" si="8"/>
        <v>4</v>
      </c>
      <c r="C120" s="50">
        <f t="shared" si="9"/>
        <v>29</v>
      </c>
      <c r="D120" s="64" t="e">
        <f t="shared" si="10"/>
        <v>#N/A</v>
      </c>
      <c r="E120" s="121" cm="1">
        <f t="array" ref="E120">INDEX(InputArea,B120,C120)</f>
        <v>0</v>
      </c>
      <c r="F120" s="59" t="str">
        <f t="shared" si="11"/>
        <v>R.</v>
      </c>
      <c r="G120" s="59" t="str">
        <f t="shared" si="12"/>
        <v>しら</v>
      </c>
      <c r="H120" s="134"/>
      <c r="I120" s="135"/>
      <c r="J120" s="84">
        <f t="shared" si="13"/>
        <v>1</v>
      </c>
      <c r="K120" s="83"/>
      <c r="L120" s="64" t="e">
        <v>#N/A</v>
      </c>
      <c r="M120" s="121">
        <v>0</v>
      </c>
      <c r="N120" s="59" t="str">
        <v>R.</v>
      </c>
      <c r="O120" s="126" t="str">
        <v>しら</v>
      </c>
      <c r="P120" s="126">
        <v>0</v>
      </c>
      <c r="Q120" s="127">
        <v>0</v>
      </c>
      <c r="R120" s="84">
        <v>1</v>
      </c>
      <c r="T120" s="100" t="e">
        <v>#N/A</v>
      </c>
      <c r="U120" s="121">
        <v>0</v>
      </c>
      <c r="V120" s="59" t="str">
        <v>R.</v>
      </c>
      <c r="W120" s="126" t="str">
        <v>しら</v>
      </c>
      <c r="X120" s="126">
        <v>0</v>
      </c>
      <c r="Y120" s="127">
        <v>0</v>
      </c>
      <c r="Z120" s="90">
        <v>1</v>
      </c>
    </row>
    <row r="121" spans="1:26" x14ac:dyDescent="0.4">
      <c r="A121" s="52">
        <v>120</v>
      </c>
      <c r="B121" s="51">
        <f t="shared" si="8"/>
        <v>4</v>
      </c>
      <c r="C121" s="50">
        <f t="shared" si="9"/>
        <v>30</v>
      </c>
      <c r="D121" s="64" t="e">
        <f t="shared" si="10"/>
        <v>#N/A</v>
      </c>
      <c r="E121" s="121" cm="1">
        <f t="array" ref="E121">INDEX(InputArea,B121,C121)</f>
        <v>0</v>
      </c>
      <c r="F121" s="59" t="str">
        <f t="shared" si="11"/>
        <v>R/</v>
      </c>
      <c r="G121" s="59" t="str">
        <f t="shared" si="12"/>
        <v>しれ</v>
      </c>
      <c r="H121" s="134"/>
      <c r="I121" s="135"/>
      <c r="J121" s="84">
        <f t="shared" si="13"/>
        <v>1</v>
      </c>
      <c r="K121" s="83"/>
      <c r="L121" s="64" t="e">
        <v>#N/A</v>
      </c>
      <c r="M121" s="121">
        <v>0</v>
      </c>
      <c r="N121" s="59" t="str">
        <v>R/</v>
      </c>
      <c r="O121" s="126" t="str">
        <v>しれ</v>
      </c>
      <c r="P121" s="126">
        <v>0</v>
      </c>
      <c r="Q121" s="127">
        <v>0</v>
      </c>
      <c r="R121" s="84">
        <v>1</v>
      </c>
      <c r="T121" s="100" t="e">
        <v>#N/A</v>
      </c>
      <c r="U121" s="121">
        <v>0</v>
      </c>
      <c r="V121" s="59" t="str">
        <v>R/</v>
      </c>
      <c r="W121" s="126" t="str">
        <v>しれ</v>
      </c>
      <c r="X121" s="126">
        <v>0</v>
      </c>
      <c r="Y121" s="127">
        <v>0</v>
      </c>
      <c r="Z121" s="90">
        <v>1</v>
      </c>
    </row>
    <row r="122" spans="1:26" x14ac:dyDescent="0.4">
      <c r="A122" s="52">
        <v>121</v>
      </c>
      <c r="B122" s="51">
        <f t="shared" si="8"/>
        <v>5</v>
      </c>
      <c r="C122" s="50">
        <f t="shared" si="9"/>
        <v>1</v>
      </c>
      <c r="D122" s="64" t="e">
        <f t="shared" si="10"/>
        <v>#N/A</v>
      </c>
      <c r="E122" s="121" cm="1">
        <f t="array" ref="E122">INDEX(InputArea,B122,C122)</f>
        <v>0</v>
      </c>
      <c r="F122" s="59" t="str">
        <f t="shared" si="11"/>
        <v>TQ</v>
      </c>
      <c r="G122" s="59" t="str">
        <f t="shared" si="12"/>
        <v>←ヴ</v>
      </c>
      <c r="H122" s="134"/>
      <c r="I122" s="135"/>
      <c r="J122" s="84">
        <f t="shared" si="13"/>
        <v>0</v>
      </c>
      <c r="K122" s="83"/>
      <c r="L122" s="64" t="e">
        <v>#N/A</v>
      </c>
      <c r="M122" s="121">
        <v>0</v>
      </c>
      <c r="N122" s="59" t="str">
        <v>TQ</v>
      </c>
      <c r="O122" s="126" t="str">
        <v>←ヴ</v>
      </c>
      <c r="P122" s="126">
        <v>0</v>
      </c>
      <c r="Q122" s="127">
        <v>0</v>
      </c>
      <c r="R122" s="84">
        <v>0</v>
      </c>
      <c r="T122" s="100" t="e">
        <v>#N/A</v>
      </c>
      <c r="U122" s="121">
        <v>0</v>
      </c>
      <c r="V122" s="59" t="str">
        <v>TQ</v>
      </c>
      <c r="W122" s="126" t="str">
        <v>←ヴ</v>
      </c>
      <c r="X122" s="126">
        <v>0</v>
      </c>
      <c r="Y122" s="127">
        <v>0</v>
      </c>
      <c r="Z122" s="90">
        <v>0</v>
      </c>
    </row>
    <row r="123" spans="1:26" x14ac:dyDescent="0.4">
      <c r="A123" s="52">
        <v>122</v>
      </c>
      <c r="B123" s="51">
        <f t="shared" si="8"/>
        <v>5</v>
      </c>
      <c r="C123" s="50">
        <f t="shared" si="9"/>
        <v>2</v>
      </c>
      <c r="D123" s="64" t="e">
        <f t="shared" si="10"/>
        <v>#N/A</v>
      </c>
      <c r="E123" s="121" cm="1">
        <f t="array" ref="E123">INDEX(InputArea,B123,C123)</f>
        <v>0</v>
      </c>
      <c r="F123" s="59" t="str">
        <f t="shared" si="11"/>
        <v>TW</v>
      </c>
      <c r="G123" s="59" t="str">
        <f t="shared" si="12"/>
        <v>←き</v>
      </c>
      <c r="H123" s="134"/>
      <c r="I123" s="135"/>
      <c r="J123" s="84">
        <f t="shared" si="13"/>
        <v>0</v>
      </c>
      <c r="K123" s="83"/>
      <c r="L123" s="64" t="e">
        <v>#N/A</v>
      </c>
      <c r="M123" s="121">
        <v>0</v>
      </c>
      <c r="N123" s="59" t="str">
        <v>TW</v>
      </c>
      <c r="O123" s="126" t="str">
        <v>←き</v>
      </c>
      <c r="P123" s="126">
        <v>0</v>
      </c>
      <c r="Q123" s="127">
        <v>0</v>
      </c>
      <c r="R123" s="84">
        <v>0</v>
      </c>
      <c r="T123" s="100" t="e">
        <v>#N/A</v>
      </c>
      <c r="U123" s="121">
        <v>0</v>
      </c>
      <c r="V123" s="59" t="str">
        <v>TW</v>
      </c>
      <c r="W123" s="126" t="str">
        <v>←き</v>
      </c>
      <c r="X123" s="126">
        <v>0</v>
      </c>
      <c r="Y123" s="127">
        <v>0</v>
      </c>
      <c r="Z123" s="90">
        <v>0</v>
      </c>
    </row>
    <row r="124" spans="1:26" x14ac:dyDescent="0.4">
      <c r="A124" s="52">
        <v>123</v>
      </c>
      <c r="B124" s="51">
        <f t="shared" si="8"/>
        <v>5</v>
      </c>
      <c r="C124" s="50">
        <f t="shared" si="9"/>
        <v>3</v>
      </c>
      <c r="D124" s="64" t="e">
        <f t="shared" si="10"/>
        <v>#N/A</v>
      </c>
      <c r="E124" s="121" cm="1">
        <f t="array" ref="E124">INDEX(InputArea,B124,C124)</f>
        <v>0</v>
      </c>
      <c r="F124" s="59" t="str">
        <f t="shared" si="11"/>
        <v>TE</v>
      </c>
      <c r="G124" s="59" t="str">
        <f t="shared" si="12"/>
        <v>←て</v>
      </c>
      <c r="H124" s="134"/>
      <c r="I124" s="136" t="s">
        <v>310</v>
      </c>
      <c r="J124" s="84">
        <f t="shared" si="13"/>
        <v>0</v>
      </c>
      <c r="K124" s="83"/>
      <c r="L124" s="64" t="e">
        <v>#N/A</v>
      </c>
      <c r="M124" s="121">
        <v>0</v>
      </c>
      <c r="N124" s="59" t="str">
        <v>TE</v>
      </c>
      <c r="O124" s="126" t="str">
        <v>←て</v>
      </c>
      <c r="P124" s="126">
        <v>0</v>
      </c>
      <c r="Q124" s="127" t="str">
        <v>て</v>
      </c>
      <c r="R124" s="84">
        <v>0</v>
      </c>
      <c r="T124" s="100" t="e">
        <v>#N/A</v>
      </c>
      <c r="U124" s="121">
        <v>0</v>
      </c>
      <c r="V124" s="59" t="str">
        <v>TE</v>
      </c>
      <c r="W124" s="126" t="str">
        <v>←て</v>
      </c>
      <c r="X124" s="126">
        <v>0</v>
      </c>
      <c r="Y124" s="127" t="str">
        <v>て</v>
      </c>
      <c r="Z124" s="90">
        <v>0</v>
      </c>
    </row>
    <row r="125" spans="1:26" x14ac:dyDescent="0.4">
      <c r="A125" s="52">
        <v>124</v>
      </c>
      <c r="B125" s="51">
        <f t="shared" si="8"/>
        <v>5</v>
      </c>
      <c r="C125" s="50">
        <f t="shared" si="9"/>
        <v>4</v>
      </c>
      <c r="D125" s="64" t="e">
        <f t="shared" si="10"/>
        <v>#N/A</v>
      </c>
      <c r="E125" s="121" cm="1">
        <f t="array" ref="E125">INDEX(InputArea,B125,C125)</f>
        <v>0</v>
      </c>
      <c r="F125" s="59" t="str">
        <f t="shared" si="11"/>
        <v>TR</v>
      </c>
      <c r="G125" s="59" t="str">
        <f t="shared" si="12"/>
        <v>←し</v>
      </c>
      <c r="H125" s="134"/>
      <c r="I125" s="135"/>
      <c r="J125" s="84">
        <f t="shared" si="13"/>
        <v>0</v>
      </c>
      <c r="K125" s="83"/>
      <c r="L125" s="64" t="e">
        <v>#N/A</v>
      </c>
      <c r="M125" s="121">
        <v>0</v>
      </c>
      <c r="N125" s="59" t="str">
        <v>TR</v>
      </c>
      <c r="O125" s="126" t="str">
        <v>←し</v>
      </c>
      <c r="P125" s="126">
        <v>0</v>
      </c>
      <c r="Q125" s="127">
        <v>0</v>
      </c>
      <c r="R125" s="84">
        <v>0</v>
      </c>
      <c r="T125" s="100" t="e">
        <v>#N/A</v>
      </c>
      <c r="U125" s="121">
        <v>0</v>
      </c>
      <c r="V125" s="59" t="str">
        <v>TR</v>
      </c>
      <c r="W125" s="126" t="str">
        <v>←し</v>
      </c>
      <c r="X125" s="126">
        <v>0</v>
      </c>
      <c r="Y125" s="127">
        <v>0</v>
      </c>
      <c r="Z125" s="90">
        <v>0</v>
      </c>
    </row>
    <row r="126" spans="1:26" x14ac:dyDescent="0.4">
      <c r="A126" s="52">
        <v>125</v>
      </c>
      <c r="B126" s="51">
        <f t="shared" si="8"/>
        <v>5</v>
      </c>
      <c r="C126" s="50">
        <f t="shared" si="9"/>
        <v>5</v>
      </c>
      <c r="D126" s="64" t="e">
        <f t="shared" si="10"/>
        <v>#N/A</v>
      </c>
      <c r="E126" s="121" cm="1">
        <f t="array" ref="E126">INDEX(InputArea,B126,C126)</f>
        <v>0</v>
      </c>
      <c r="F126" s="59" t="str">
        <f t="shared" si="11"/>
        <v>TT</v>
      </c>
      <c r="G126" s="59" t="str">
        <f t="shared" si="12"/>
        <v>←←</v>
      </c>
      <c r="H126" s="134"/>
      <c r="I126" s="136" t="s">
        <v>345</v>
      </c>
      <c r="J126" s="84">
        <f t="shared" si="13"/>
        <v>0</v>
      </c>
      <c r="K126" s="83"/>
      <c r="L126" s="64" t="e">
        <v>#N/A</v>
      </c>
      <c r="M126" s="121">
        <v>0</v>
      </c>
      <c r="N126" s="59" t="str">
        <v>TT</v>
      </c>
      <c r="O126" s="126" t="str">
        <v>←←</v>
      </c>
      <c r="P126" s="126">
        <v>0</v>
      </c>
      <c r="Q126" s="127" t="str">
        <v>っｔ</v>
      </c>
      <c r="R126" s="84">
        <v>0</v>
      </c>
      <c r="T126" s="100" t="e">
        <v>#N/A</v>
      </c>
      <c r="U126" s="121">
        <v>0</v>
      </c>
      <c r="V126" s="59" t="str">
        <v>TT</v>
      </c>
      <c r="W126" s="126" t="str">
        <v>←←</v>
      </c>
      <c r="X126" s="126">
        <v>0</v>
      </c>
      <c r="Y126" s="127" t="str">
        <v>っｔ</v>
      </c>
      <c r="Z126" s="90">
        <v>0</v>
      </c>
    </row>
    <row r="127" spans="1:26" x14ac:dyDescent="0.4">
      <c r="A127" s="52">
        <v>126</v>
      </c>
      <c r="B127" s="51">
        <f t="shared" si="8"/>
        <v>5</v>
      </c>
      <c r="C127" s="50">
        <f t="shared" si="9"/>
        <v>6</v>
      </c>
      <c r="D127" s="64" t="e">
        <f t="shared" si="10"/>
        <v>#N/A</v>
      </c>
      <c r="E127" s="121" cm="1">
        <f t="array" ref="E127">INDEX(InputArea,B127,C127)</f>
        <v>0</v>
      </c>
      <c r="F127" s="59" t="str">
        <f t="shared" si="11"/>
        <v>TA</v>
      </c>
      <c r="G127" s="59" t="str">
        <f t="shared" si="12"/>
        <v>←ろ</v>
      </c>
      <c r="H127" s="134"/>
      <c r="I127" s="136" t="s">
        <v>311</v>
      </c>
      <c r="J127" s="84">
        <f t="shared" si="13"/>
        <v>0</v>
      </c>
      <c r="K127" s="83"/>
      <c r="L127" s="64" t="e">
        <v>#N/A</v>
      </c>
      <c r="M127" s="121">
        <v>0</v>
      </c>
      <c r="N127" s="59" t="str">
        <v>TA</v>
      </c>
      <c r="O127" s="126" t="str">
        <v>←ろ</v>
      </c>
      <c r="P127" s="126">
        <v>0</v>
      </c>
      <c r="Q127" s="127" t="str">
        <v>た</v>
      </c>
      <c r="R127" s="84">
        <v>0</v>
      </c>
      <c r="T127" s="100" t="e">
        <v>#N/A</v>
      </c>
      <c r="U127" s="121">
        <v>0</v>
      </c>
      <c r="V127" s="59" t="str">
        <v>TA</v>
      </c>
      <c r="W127" s="126" t="str">
        <v>←ろ</v>
      </c>
      <c r="X127" s="126">
        <v>0</v>
      </c>
      <c r="Y127" s="127" t="str">
        <v>た</v>
      </c>
      <c r="Z127" s="90">
        <v>0</v>
      </c>
    </row>
    <row r="128" spans="1:26" x14ac:dyDescent="0.4">
      <c r="A128" s="52">
        <v>127</v>
      </c>
      <c r="B128" s="51">
        <f t="shared" si="8"/>
        <v>5</v>
      </c>
      <c r="C128" s="50">
        <f t="shared" si="9"/>
        <v>7</v>
      </c>
      <c r="D128" s="64" t="e">
        <f t="shared" si="10"/>
        <v>#N/A</v>
      </c>
      <c r="E128" s="121" cm="1">
        <f t="array" ref="E128">INDEX(InputArea,B128,C128)</f>
        <v>0</v>
      </c>
      <c r="F128" s="59" t="str">
        <f t="shared" si="11"/>
        <v>TS</v>
      </c>
      <c r="G128" s="59" t="str">
        <f t="shared" si="12"/>
        <v>←け</v>
      </c>
      <c r="H128" s="134"/>
      <c r="I128" s="136" t="s">
        <v>349</v>
      </c>
      <c r="J128" s="84">
        <f t="shared" si="13"/>
        <v>0</v>
      </c>
      <c r="K128" s="83"/>
      <c r="L128" s="64" t="e">
        <v>#N/A</v>
      </c>
      <c r="M128" s="121">
        <v>0</v>
      </c>
      <c r="N128" s="59" t="str">
        <v>TS</v>
      </c>
      <c r="O128" s="126" t="str">
        <v>←け</v>
      </c>
      <c r="P128" s="126">
        <v>0</v>
      </c>
      <c r="Q128" s="127" t="str">
        <v>ｔｓ</v>
      </c>
      <c r="R128" s="84">
        <v>0</v>
      </c>
      <c r="T128" s="100" t="e">
        <v>#N/A</v>
      </c>
      <c r="U128" s="121">
        <v>0</v>
      </c>
      <c r="V128" s="59" t="str">
        <v>TS</v>
      </c>
      <c r="W128" s="126" t="str">
        <v>←け</v>
      </c>
      <c r="X128" s="126">
        <v>0</v>
      </c>
      <c r="Y128" s="127" t="str">
        <v>ｔｓ</v>
      </c>
      <c r="Z128" s="90">
        <v>0</v>
      </c>
    </row>
    <row r="129" spans="1:26" x14ac:dyDescent="0.4">
      <c r="A129" s="52">
        <v>128</v>
      </c>
      <c r="B129" s="51">
        <f t="shared" si="8"/>
        <v>5</v>
      </c>
      <c r="C129" s="50">
        <f t="shared" si="9"/>
        <v>8</v>
      </c>
      <c r="D129" s="64" t="e">
        <f t="shared" si="10"/>
        <v>#N/A</v>
      </c>
      <c r="E129" s="121" cm="1">
        <f t="array" ref="E129">INDEX(InputArea,B129,C129)</f>
        <v>0</v>
      </c>
      <c r="F129" s="59" t="str">
        <f t="shared" si="11"/>
        <v>TD</v>
      </c>
      <c r="G129" s="59" t="str">
        <f t="shared" si="12"/>
        <v>←と</v>
      </c>
      <c r="H129" s="134"/>
      <c r="I129" s="135"/>
      <c r="J129" s="84">
        <f t="shared" si="13"/>
        <v>0</v>
      </c>
      <c r="K129" s="83"/>
      <c r="L129" s="64" t="e">
        <v>#N/A</v>
      </c>
      <c r="M129" s="121">
        <v>0</v>
      </c>
      <c r="N129" s="59" t="str">
        <v>TD</v>
      </c>
      <c r="O129" s="126" t="str">
        <v>←と</v>
      </c>
      <c r="P129" s="126">
        <v>0</v>
      </c>
      <c r="Q129" s="127">
        <v>0</v>
      </c>
      <c r="R129" s="84">
        <v>0</v>
      </c>
      <c r="T129" s="100" t="e">
        <v>#N/A</v>
      </c>
      <c r="U129" s="121">
        <v>0</v>
      </c>
      <c r="V129" s="59" t="str">
        <v>TD</v>
      </c>
      <c r="W129" s="126" t="str">
        <v>←と</v>
      </c>
      <c r="X129" s="126">
        <v>0</v>
      </c>
      <c r="Y129" s="127">
        <v>0</v>
      </c>
      <c r="Z129" s="90">
        <v>0</v>
      </c>
    </row>
    <row r="130" spans="1:26" x14ac:dyDescent="0.4">
      <c r="A130" s="52">
        <v>129</v>
      </c>
      <c r="B130" s="51">
        <f t="shared" ref="B130:B193" si="14">_xlfn.CEILING.MATH(A130/COLUMNS(InputArea))</f>
        <v>5</v>
      </c>
      <c r="C130" s="50">
        <f t="shared" ref="C130:C193" si="15">MOD(A130-1,COLUMNS(InputArea))+1</f>
        <v>9</v>
      </c>
      <c r="D130" s="64" t="e">
        <f t="shared" ref="D130:D193" si="16">_xlfn.RANK.EQ(E130,InputArea,1)</f>
        <v>#N/A</v>
      </c>
      <c r="E130" s="121" cm="1">
        <f t="array" ref="E130">INDEX(InputArea,B130,C130)</f>
        <v>0</v>
      </c>
      <c r="F130" s="59" t="str">
        <f t="shared" ref="F130:F193" si="17">_xlfn.CONCAT(INDEX(RowName,B130),INDEX(ColName,,C130))</f>
        <v>TF</v>
      </c>
      <c r="G130" s="59" t="str">
        <f t="shared" ref="G130:G193" si="18">_xlfn.CONCAT(INDEX(RowKana,B130),INDEX(ColKana,,C130))</f>
        <v>←か</v>
      </c>
      <c r="H130" s="134"/>
      <c r="I130" s="135"/>
      <c r="J130" s="84">
        <f t="shared" si="13"/>
        <v>0</v>
      </c>
      <c r="K130" s="83"/>
      <c r="L130" s="64" t="e">
        <v>#N/A</v>
      </c>
      <c r="M130" s="121">
        <v>0</v>
      </c>
      <c r="N130" s="59" t="str">
        <v>TF</v>
      </c>
      <c r="O130" s="126" t="str">
        <v>←か</v>
      </c>
      <c r="P130" s="126">
        <v>0</v>
      </c>
      <c r="Q130" s="127">
        <v>0</v>
      </c>
      <c r="R130" s="84">
        <v>0</v>
      </c>
      <c r="T130" s="100" t="e">
        <v>#N/A</v>
      </c>
      <c r="U130" s="121">
        <v>0</v>
      </c>
      <c r="V130" s="59" t="str">
        <v>TF</v>
      </c>
      <c r="W130" s="126" t="str">
        <v>←か</v>
      </c>
      <c r="X130" s="126">
        <v>0</v>
      </c>
      <c r="Y130" s="127">
        <v>0</v>
      </c>
      <c r="Z130" s="90">
        <v>0</v>
      </c>
    </row>
    <row r="131" spans="1:26" x14ac:dyDescent="0.4">
      <c r="A131" s="52">
        <v>130</v>
      </c>
      <c r="B131" s="51">
        <f t="shared" si="14"/>
        <v>5</v>
      </c>
      <c r="C131" s="50">
        <f t="shared" si="15"/>
        <v>10</v>
      </c>
      <c r="D131" s="64" t="e">
        <f t="shared" si="16"/>
        <v>#N/A</v>
      </c>
      <c r="E131" s="121" cm="1">
        <f t="array" ref="E131">INDEX(InputArea,B131,C131)</f>
        <v>0</v>
      </c>
      <c r="F131" s="59" t="str">
        <f t="shared" si="17"/>
        <v>TG</v>
      </c>
      <c r="G131" s="59" t="str">
        <f t="shared" si="18"/>
        <v>←っ</v>
      </c>
      <c r="H131" s="134"/>
      <c r="I131" s="135"/>
      <c r="J131" s="84">
        <f t="shared" ref="J131:J194" si="19">(_xlfn.CEILING.MATH(B131/15)-1)*2+_xlfn.CEILING.MATH(C131/15)-1</f>
        <v>0</v>
      </c>
      <c r="K131" s="83"/>
      <c r="L131" s="64" t="e">
        <v>#N/A</v>
      </c>
      <c r="M131" s="121">
        <v>0</v>
      </c>
      <c r="N131" s="59" t="str">
        <v>TG</v>
      </c>
      <c r="O131" s="126" t="str">
        <v>←っ</v>
      </c>
      <c r="P131" s="126">
        <v>0</v>
      </c>
      <c r="Q131" s="127">
        <v>0</v>
      </c>
      <c r="R131" s="84">
        <v>0</v>
      </c>
      <c r="T131" s="100" t="e">
        <v>#N/A</v>
      </c>
      <c r="U131" s="121">
        <v>0</v>
      </c>
      <c r="V131" s="59" t="str">
        <v>TG</v>
      </c>
      <c r="W131" s="126" t="str">
        <v>←っ</v>
      </c>
      <c r="X131" s="126">
        <v>0</v>
      </c>
      <c r="Y131" s="127">
        <v>0</v>
      </c>
      <c r="Z131" s="90">
        <v>0</v>
      </c>
    </row>
    <row r="132" spans="1:26" x14ac:dyDescent="0.4">
      <c r="A132" s="52">
        <v>131</v>
      </c>
      <c r="B132" s="51">
        <f t="shared" si="14"/>
        <v>5</v>
      </c>
      <c r="C132" s="50">
        <f t="shared" si="15"/>
        <v>11</v>
      </c>
      <c r="D132" s="64" t="e">
        <f t="shared" si="16"/>
        <v>#N/A</v>
      </c>
      <c r="E132" s="121" cm="1">
        <f t="array" ref="E132">INDEX(InputArea,B132,C132)</f>
        <v>0</v>
      </c>
      <c r="F132" s="59" t="str">
        <f t="shared" si="17"/>
        <v>TZ</v>
      </c>
      <c r="G132" s="59" t="str">
        <f t="shared" si="18"/>
        <v>←ほ</v>
      </c>
      <c r="H132" s="134"/>
      <c r="I132" s="135"/>
      <c r="J132" s="84">
        <f t="shared" si="19"/>
        <v>0</v>
      </c>
      <c r="K132" s="83"/>
      <c r="L132" s="64" t="e">
        <v>#N/A</v>
      </c>
      <c r="M132" s="121">
        <v>0</v>
      </c>
      <c r="N132" s="59" t="str">
        <v>TZ</v>
      </c>
      <c r="O132" s="126" t="str">
        <v>←ほ</v>
      </c>
      <c r="P132" s="126">
        <v>0</v>
      </c>
      <c r="Q132" s="127">
        <v>0</v>
      </c>
      <c r="R132" s="84">
        <v>0</v>
      </c>
      <c r="T132" s="100" t="e">
        <v>#N/A</v>
      </c>
      <c r="U132" s="121">
        <v>0</v>
      </c>
      <c r="V132" s="59" t="str">
        <v>TZ</v>
      </c>
      <c r="W132" s="126" t="str">
        <v>←ほ</v>
      </c>
      <c r="X132" s="126">
        <v>0</v>
      </c>
      <c r="Y132" s="127">
        <v>0</v>
      </c>
      <c r="Z132" s="90">
        <v>0</v>
      </c>
    </row>
    <row r="133" spans="1:26" x14ac:dyDescent="0.4">
      <c r="A133" s="52">
        <v>132</v>
      </c>
      <c r="B133" s="51">
        <f t="shared" si="14"/>
        <v>5</v>
      </c>
      <c r="C133" s="50">
        <f t="shared" si="15"/>
        <v>12</v>
      </c>
      <c r="D133" s="64" t="e">
        <f t="shared" si="16"/>
        <v>#N/A</v>
      </c>
      <c r="E133" s="121" cm="1">
        <f t="array" ref="E133">INDEX(InputArea,B133,C133)</f>
        <v>0</v>
      </c>
      <c r="F133" s="59" t="str">
        <f t="shared" si="17"/>
        <v>TX</v>
      </c>
      <c r="G133" s="59" t="str">
        <f t="shared" si="18"/>
        <v>←ひ</v>
      </c>
      <c r="H133" s="134"/>
      <c r="I133" s="135"/>
      <c r="J133" s="84">
        <f t="shared" si="19"/>
        <v>0</v>
      </c>
      <c r="K133" s="83"/>
      <c r="L133" s="64" t="e">
        <v>#N/A</v>
      </c>
      <c r="M133" s="121">
        <v>0</v>
      </c>
      <c r="N133" s="59" t="str">
        <v>TX</v>
      </c>
      <c r="O133" s="126" t="str">
        <v>←ひ</v>
      </c>
      <c r="P133" s="126">
        <v>0</v>
      </c>
      <c r="Q133" s="127">
        <v>0</v>
      </c>
      <c r="R133" s="84">
        <v>0</v>
      </c>
      <c r="T133" s="100" t="e">
        <v>#N/A</v>
      </c>
      <c r="U133" s="121">
        <v>0</v>
      </c>
      <c r="V133" s="59" t="str">
        <v>TX</v>
      </c>
      <c r="W133" s="126" t="str">
        <v>←ひ</v>
      </c>
      <c r="X133" s="126">
        <v>0</v>
      </c>
      <c r="Y133" s="127">
        <v>0</v>
      </c>
      <c r="Z133" s="90">
        <v>0</v>
      </c>
    </row>
    <row r="134" spans="1:26" x14ac:dyDescent="0.4">
      <c r="A134" s="52">
        <v>133</v>
      </c>
      <c r="B134" s="51">
        <f t="shared" si="14"/>
        <v>5</v>
      </c>
      <c r="C134" s="50">
        <f t="shared" si="15"/>
        <v>13</v>
      </c>
      <c r="D134" s="64" t="e">
        <f t="shared" si="16"/>
        <v>#N/A</v>
      </c>
      <c r="E134" s="121" cm="1">
        <f t="array" ref="E134">INDEX(InputArea,B134,C134)</f>
        <v>0</v>
      </c>
      <c r="F134" s="59" t="str">
        <f t="shared" si="17"/>
        <v>TC</v>
      </c>
      <c r="G134" s="59" t="str">
        <f t="shared" si="18"/>
        <v>←は</v>
      </c>
      <c r="H134" s="134"/>
      <c r="I134" s="135"/>
      <c r="J134" s="84">
        <f t="shared" si="19"/>
        <v>0</v>
      </c>
      <c r="K134" s="83"/>
      <c r="L134" s="64" t="e">
        <v>#N/A</v>
      </c>
      <c r="M134" s="121">
        <v>0</v>
      </c>
      <c r="N134" s="59" t="str">
        <v>TC</v>
      </c>
      <c r="O134" s="126" t="str">
        <v>←は</v>
      </c>
      <c r="P134" s="126">
        <v>0</v>
      </c>
      <c r="Q134" s="127">
        <v>0</v>
      </c>
      <c r="R134" s="84">
        <v>0</v>
      </c>
      <c r="T134" s="100" t="e">
        <v>#N/A</v>
      </c>
      <c r="U134" s="121">
        <v>0</v>
      </c>
      <c r="V134" s="59" t="str">
        <v>TC</v>
      </c>
      <c r="W134" s="126" t="str">
        <v>←は</v>
      </c>
      <c r="X134" s="126">
        <v>0</v>
      </c>
      <c r="Y134" s="127">
        <v>0</v>
      </c>
      <c r="Z134" s="90">
        <v>0</v>
      </c>
    </row>
    <row r="135" spans="1:26" x14ac:dyDescent="0.4">
      <c r="A135" s="52">
        <v>134</v>
      </c>
      <c r="B135" s="51">
        <f t="shared" si="14"/>
        <v>5</v>
      </c>
      <c r="C135" s="50">
        <f t="shared" si="15"/>
        <v>14</v>
      </c>
      <c r="D135" s="64" t="e">
        <f t="shared" si="16"/>
        <v>#N/A</v>
      </c>
      <c r="E135" s="121" cm="1">
        <f t="array" ref="E135">INDEX(InputArea,B135,C135)</f>
        <v>0</v>
      </c>
      <c r="F135" s="59" t="str">
        <f t="shared" si="17"/>
        <v>TV</v>
      </c>
      <c r="G135" s="59" t="str">
        <f t="shared" si="18"/>
        <v>←こ</v>
      </c>
      <c r="H135" s="134"/>
      <c r="I135" s="135"/>
      <c r="J135" s="84">
        <f t="shared" si="19"/>
        <v>0</v>
      </c>
      <c r="K135" s="83"/>
      <c r="L135" s="64" t="e">
        <v>#N/A</v>
      </c>
      <c r="M135" s="121">
        <v>0</v>
      </c>
      <c r="N135" s="59" t="str">
        <v>TV</v>
      </c>
      <c r="O135" s="126" t="str">
        <v>←こ</v>
      </c>
      <c r="P135" s="126">
        <v>0</v>
      </c>
      <c r="Q135" s="127">
        <v>0</v>
      </c>
      <c r="R135" s="84">
        <v>0</v>
      </c>
      <c r="T135" s="100" t="e">
        <v>#N/A</v>
      </c>
      <c r="U135" s="121">
        <v>0</v>
      </c>
      <c r="V135" s="59" t="str">
        <v>TV</v>
      </c>
      <c r="W135" s="126" t="str">
        <v>←こ</v>
      </c>
      <c r="X135" s="126">
        <v>0</v>
      </c>
      <c r="Y135" s="127">
        <v>0</v>
      </c>
      <c r="Z135" s="90">
        <v>0</v>
      </c>
    </row>
    <row r="136" spans="1:26" x14ac:dyDescent="0.4">
      <c r="A136" s="52">
        <v>135</v>
      </c>
      <c r="B136" s="51">
        <f t="shared" si="14"/>
        <v>5</v>
      </c>
      <c r="C136" s="50">
        <f t="shared" si="15"/>
        <v>15</v>
      </c>
      <c r="D136" s="64" t="e">
        <f t="shared" si="16"/>
        <v>#N/A</v>
      </c>
      <c r="E136" s="121" cm="1">
        <f t="array" ref="E136">INDEX(InputArea,B136,C136)</f>
        <v>0</v>
      </c>
      <c r="F136" s="59" t="str">
        <f t="shared" si="17"/>
        <v>TB</v>
      </c>
      <c r="G136" s="59" t="str">
        <f t="shared" si="18"/>
        <v>←そ</v>
      </c>
      <c r="H136" s="134"/>
      <c r="I136" s="135"/>
      <c r="J136" s="84">
        <f t="shared" si="19"/>
        <v>0</v>
      </c>
      <c r="K136" s="83"/>
      <c r="L136" s="64" t="e">
        <v>#N/A</v>
      </c>
      <c r="M136" s="121">
        <v>0</v>
      </c>
      <c r="N136" s="59" t="str">
        <v>TB</v>
      </c>
      <c r="O136" s="126" t="str">
        <v>←そ</v>
      </c>
      <c r="P136" s="126">
        <v>0</v>
      </c>
      <c r="Q136" s="127">
        <v>0</v>
      </c>
      <c r="R136" s="84">
        <v>0</v>
      </c>
      <c r="T136" s="100" t="e">
        <v>#N/A</v>
      </c>
      <c r="U136" s="121">
        <v>0</v>
      </c>
      <c r="V136" s="59" t="str">
        <v>TB</v>
      </c>
      <c r="W136" s="126" t="str">
        <v>←そ</v>
      </c>
      <c r="X136" s="126">
        <v>0</v>
      </c>
      <c r="Y136" s="127">
        <v>0</v>
      </c>
      <c r="Z136" s="90">
        <v>0</v>
      </c>
    </row>
    <row r="137" spans="1:26" x14ac:dyDescent="0.4">
      <c r="A137" s="52">
        <v>136</v>
      </c>
      <c r="B137" s="51">
        <f t="shared" si="14"/>
        <v>5</v>
      </c>
      <c r="C137" s="50">
        <f t="shared" si="15"/>
        <v>16</v>
      </c>
      <c r="D137" s="64" t="e">
        <f t="shared" si="16"/>
        <v>#N/A</v>
      </c>
      <c r="E137" s="121" cm="1">
        <f t="array" ref="E137">INDEX(InputArea,B137,C137)</f>
        <v>0</v>
      </c>
      <c r="F137" s="59" t="str">
        <f t="shared" si="17"/>
        <v>TY</v>
      </c>
      <c r="G137" s="59" t="str">
        <f t="shared" si="18"/>
        <v>←→</v>
      </c>
      <c r="H137" s="134"/>
      <c r="I137" s="136" t="s">
        <v>350</v>
      </c>
      <c r="J137" s="84">
        <f t="shared" si="19"/>
        <v>1</v>
      </c>
      <c r="K137" s="83"/>
      <c r="L137" s="64" t="e">
        <v>#N/A</v>
      </c>
      <c r="M137" s="121">
        <v>0</v>
      </c>
      <c r="N137" s="59" t="str">
        <v>TY</v>
      </c>
      <c r="O137" s="126" t="str">
        <v>←→</v>
      </c>
      <c r="P137" s="126">
        <v>0</v>
      </c>
      <c r="Q137" s="127" t="str">
        <v>ｔｙ</v>
      </c>
      <c r="R137" s="84">
        <v>1</v>
      </c>
      <c r="T137" s="100" t="e">
        <v>#N/A</v>
      </c>
      <c r="U137" s="121">
        <v>0</v>
      </c>
      <c r="V137" s="59" t="str">
        <v>TY</v>
      </c>
      <c r="W137" s="126" t="str">
        <v>←→</v>
      </c>
      <c r="X137" s="126">
        <v>0</v>
      </c>
      <c r="Y137" s="127" t="str">
        <v>ｔｙ</v>
      </c>
      <c r="Z137" s="90">
        <v>1</v>
      </c>
    </row>
    <row r="138" spans="1:26" x14ac:dyDescent="0.4">
      <c r="A138" s="52">
        <v>137</v>
      </c>
      <c r="B138" s="51">
        <f t="shared" si="14"/>
        <v>5</v>
      </c>
      <c r="C138" s="50">
        <f t="shared" si="15"/>
        <v>17</v>
      </c>
      <c r="D138" s="64" t="e">
        <f t="shared" si="16"/>
        <v>#N/A</v>
      </c>
      <c r="E138" s="121" cm="1">
        <f t="array" ref="E138">INDEX(InputArea,B138,C138)</f>
        <v>0</v>
      </c>
      <c r="F138" s="59" t="str">
        <f t="shared" si="17"/>
        <v>TU</v>
      </c>
      <c r="G138" s="59" t="str">
        <f t="shared" si="18"/>
        <v>←BS</v>
      </c>
      <c r="H138" s="134"/>
      <c r="I138" s="136" t="s">
        <v>314</v>
      </c>
      <c r="J138" s="84">
        <f t="shared" si="19"/>
        <v>1</v>
      </c>
      <c r="K138" s="83"/>
      <c r="L138" s="64" t="e">
        <v>#N/A</v>
      </c>
      <c r="M138" s="121">
        <v>0</v>
      </c>
      <c r="N138" s="59" t="str">
        <v>TU</v>
      </c>
      <c r="O138" s="126" t="str">
        <v>←BS</v>
      </c>
      <c r="P138" s="126">
        <v>0</v>
      </c>
      <c r="Q138" s="127" t="str">
        <v>つ</v>
      </c>
      <c r="R138" s="84">
        <v>1</v>
      </c>
      <c r="T138" s="100" t="e">
        <v>#N/A</v>
      </c>
      <c r="U138" s="121">
        <v>0</v>
      </c>
      <c r="V138" s="59" t="str">
        <v>TU</v>
      </c>
      <c r="W138" s="126" t="str">
        <v>←BS</v>
      </c>
      <c r="X138" s="126">
        <v>0</v>
      </c>
      <c r="Y138" s="127" t="str">
        <v>つ</v>
      </c>
      <c r="Z138" s="90">
        <v>1</v>
      </c>
    </row>
    <row r="139" spans="1:26" x14ac:dyDescent="0.4">
      <c r="A139" s="52">
        <v>138</v>
      </c>
      <c r="B139" s="51">
        <f t="shared" si="14"/>
        <v>5</v>
      </c>
      <c r="C139" s="50">
        <f t="shared" si="15"/>
        <v>18</v>
      </c>
      <c r="D139" s="64" t="e">
        <f t="shared" si="16"/>
        <v>#N/A</v>
      </c>
      <c r="E139" s="121" cm="1">
        <f t="array" ref="E139">INDEX(InputArea,B139,C139)</f>
        <v>0</v>
      </c>
      <c r="F139" s="59" t="str">
        <f t="shared" si="17"/>
        <v>TI</v>
      </c>
      <c r="G139" s="59" t="str">
        <f t="shared" si="18"/>
        <v>←る</v>
      </c>
      <c r="H139" s="134"/>
      <c r="I139" s="136" t="s">
        <v>312</v>
      </c>
      <c r="J139" s="84">
        <f t="shared" si="19"/>
        <v>1</v>
      </c>
      <c r="K139" s="83"/>
      <c r="L139" s="64" t="e">
        <v>#N/A</v>
      </c>
      <c r="M139" s="121">
        <v>0</v>
      </c>
      <c r="N139" s="59" t="str">
        <v>TI</v>
      </c>
      <c r="O139" s="126" t="str">
        <v>←る</v>
      </c>
      <c r="P139" s="126">
        <v>0</v>
      </c>
      <c r="Q139" s="127" t="str">
        <v>ち</v>
      </c>
      <c r="R139" s="84">
        <v>1</v>
      </c>
      <c r="T139" s="100" t="e">
        <v>#N/A</v>
      </c>
      <c r="U139" s="121">
        <v>0</v>
      </c>
      <c r="V139" s="59" t="str">
        <v>TI</v>
      </c>
      <c r="W139" s="126" t="str">
        <v>←る</v>
      </c>
      <c r="X139" s="126">
        <v>0</v>
      </c>
      <c r="Y139" s="127" t="str">
        <v>ち</v>
      </c>
      <c r="Z139" s="90">
        <v>1</v>
      </c>
    </row>
    <row r="140" spans="1:26" x14ac:dyDescent="0.4">
      <c r="A140" s="52">
        <v>139</v>
      </c>
      <c r="B140" s="51">
        <f t="shared" si="14"/>
        <v>5</v>
      </c>
      <c r="C140" s="50">
        <f t="shared" si="15"/>
        <v>19</v>
      </c>
      <c r="D140" s="64" t="e">
        <f t="shared" si="16"/>
        <v>#N/A</v>
      </c>
      <c r="E140" s="121" cm="1">
        <f t="array" ref="E140">INDEX(InputArea,B140,C140)</f>
        <v>0</v>
      </c>
      <c r="F140" s="59" t="str">
        <f t="shared" si="17"/>
        <v>TO</v>
      </c>
      <c r="G140" s="59" t="str">
        <f t="shared" si="18"/>
        <v>←す</v>
      </c>
      <c r="H140" s="134"/>
      <c r="I140" s="136" t="s">
        <v>313</v>
      </c>
      <c r="J140" s="84">
        <f t="shared" si="19"/>
        <v>1</v>
      </c>
      <c r="K140" s="83"/>
      <c r="L140" s="64" t="e">
        <v>#N/A</v>
      </c>
      <c r="M140" s="121">
        <v>0</v>
      </c>
      <c r="N140" s="59" t="str">
        <v>TO</v>
      </c>
      <c r="O140" s="126" t="str">
        <v>←す</v>
      </c>
      <c r="P140" s="126">
        <v>0</v>
      </c>
      <c r="Q140" s="127" t="str">
        <v>と</v>
      </c>
      <c r="R140" s="84">
        <v>1</v>
      </c>
      <c r="T140" s="100" t="e">
        <v>#N/A</v>
      </c>
      <c r="U140" s="121">
        <v>0</v>
      </c>
      <c r="V140" s="59" t="str">
        <v>TO</v>
      </c>
      <c r="W140" s="126" t="str">
        <v>←す</v>
      </c>
      <c r="X140" s="126">
        <v>0</v>
      </c>
      <c r="Y140" s="127" t="str">
        <v>と</v>
      </c>
      <c r="Z140" s="90">
        <v>1</v>
      </c>
    </row>
    <row r="141" spans="1:26" x14ac:dyDescent="0.4">
      <c r="A141" s="52">
        <v>140</v>
      </c>
      <c r="B141" s="51">
        <f t="shared" si="14"/>
        <v>5</v>
      </c>
      <c r="C141" s="50">
        <f t="shared" si="15"/>
        <v>20</v>
      </c>
      <c r="D141" s="64" t="e">
        <f t="shared" si="16"/>
        <v>#N/A</v>
      </c>
      <c r="E141" s="121" cm="1">
        <f t="array" ref="E141">INDEX(InputArea,B141,C141)</f>
        <v>0</v>
      </c>
      <c r="F141" s="59" t="str">
        <f t="shared" si="17"/>
        <v>TP</v>
      </c>
      <c r="G141" s="59" t="str">
        <f t="shared" si="18"/>
        <v>←へ</v>
      </c>
      <c r="H141" s="134"/>
      <c r="I141" s="135"/>
      <c r="J141" s="84">
        <f t="shared" si="19"/>
        <v>1</v>
      </c>
      <c r="K141" s="83"/>
      <c r="L141" s="64" t="e">
        <v>#N/A</v>
      </c>
      <c r="M141" s="121">
        <v>0</v>
      </c>
      <c r="N141" s="59" t="str">
        <v>TP</v>
      </c>
      <c r="O141" s="126" t="str">
        <v>←へ</v>
      </c>
      <c r="P141" s="126">
        <v>0</v>
      </c>
      <c r="Q141" s="127">
        <v>0</v>
      </c>
      <c r="R141" s="84">
        <v>1</v>
      </c>
      <c r="T141" s="100" t="e">
        <v>#N/A</v>
      </c>
      <c r="U141" s="121">
        <v>0</v>
      </c>
      <c r="V141" s="59" t="str">
        <v>TP</v>
      </c>
      <c r="W141" s="126" t="str">
        <v>←へ</v>
      </c>
      <c r="X141" s="126">
        <v>0</v>
      </c>
      <c r="Y141" s="127">
        <v>0</v>
      </c>
      <c r="Z141" s="90">
        <v>1</v>
      </c>
    </row>
    <row r="142" spans="1:26" x14ac:dyDescent="0.4">
      <c r="A142" s="52">
        <v>141</v>
      </c>
      <c r="B142" s="51">
        <f t="shared" si="14"/>
        <v>5</v>
      </c>
      <c r="C142" s="50">
        <f t="shared" si="15"/>
        <v>21</v>
      </c>
      <c r="D142" s="64" t="e">
        <f t="shared" si="16"/>
        <v>#N/A</v>
      </c>
      <c r="E142" s="121" cm="1">
        <f t="array" ref="E142">INDEX(InputArea,B142,C142)</f>
        <v>0</v>
      </c>
      <c r="F142" s="59" t="str">
        <f t="shared" si="17"/>
        <v>TH</v>
      </c>
      <c r="G142" s="59" t="str">
        <f t="shared" si="18"/>
        <v>←く</v>
      </c>
      <c r="H142" s="134"/>
      <c r="I142" s="136" t="s">
        <v>351</v>
      </c>
      <c r="J142" s="84">
        <f t="shared" si="19"/>
        <v>1</v>
      </c>
      <c r="K142" s="83"/>
      <c r="L142" s="64" t="e">
        <v>#N/A</v>
      </c>
      <c r="M142" s="121">
        <v>0</v>
      </c>
      <c r="N142" s="59" t="str">
        <v>TH</v>
      </c>
      <c r="O142" s="126" t="str">
        <v>←く</v>
      </c>
      <c r="P142" s="126">
        <v>0</v>
      </c>
      <c r="Q142" s="127" t="str">
        <v>ｔｈ</v>
      </c>
      <c r="R142" s="84">
        <v>1</v>
      </c>
      <c r="T142" s="100" t="e">
        <v>#N/A</v>
      </c>
      <c r="U142" s="121">
        <v>0</v>
      </c>
      <c r="V142" s="59" t="str">
        <v>TH</v>
      </c>
      <c r="W142" s="126" t="str">
        <v>←く</v>
      </c>
      <c r="X142" s="126">
        <v>0</v>
      </c>
      <c r="Y142" s="127" t="str">
        <v>ｔｈ</v>
      </c>
      <c r="Z142" s="90">
        <v>1</v>
      </c>
    </row>
    <row r="143" spans="1:26" x14ac:dyDescent="0.4">
      <c r="A143" s="52">
        <v>142</v>
      </c>
      <c r="B143" s="51">
        <f t="shared" si="14"/>
        <v>5</v>
      </c>
      <c r="C143" s="50">
        <f t="shared" si="15"/>
        <v>22</v>
      </c>
      <c r="D143" s="64" t="e">
        <f t="shared" si="16"/>
        <v>#N/A</v>
      </c>
      <c r="E143" s="121" cm="1">
        <f t="array" ref="E143">INDEX(InputArea,B143,C143)</f>
        <v>0</v>
      </c>
      <c r="F143" s="59" t="str">
        <f t="shared" si="17"/>
        <v>TJ</v>
      </c>
      <c r="G143" s="59" t="str">
        <f t="shared" si="18"/>
        <v>←あ</v>
      </c>
      <c r="H143" s="134"/>
      <c r="I143" s="135"/>
      <c r="J143" s="84">
        <f t="shared" si="19"/>
        <v>1</v>
      </c>
      <c r="K143" s="83"/>
      <c r="L143" s="64" t="e">
        <v>#N/A</v>
      </c>
      <c r="M143" s="121">
        <v>0</v>
      </c>
      <c r="N143" s="59" t="str">
        <v>TJ</v>
      </c>
      <c r="O143" s="126" t="str">
        <v>←あ</v>
      </c>
      <c r="P143" s="126">
        <v>0</v>
      </c>
      <c r="Q143" s="127">
        <v>0</v>
      </c>
      <c r="R143" s="84">
        <v>1</v>
      </c>
      <c r="T143" s="100" t="e">
        <v>#N/A</v>
      </c>
      <c r="U143" s="121">
        <v>0</v>
      </c>
      <c r="V143" s="59" t="str">
        <v>TJ</v>
      </c>
      <c r="W143" s="126" t="str">
        <v>←あ</v>
      </c>
      <c r="X143" s="126">
        <v>0</v>
      </c>
      <c r="Y143" s="127">
        <v>0</v>
      </c>
      <c r="Z143" s="90">
        <v>1</v>
      </c>
    </row>
    <row r="144" spans="1:26" x14ac:dyDescent="0.4">
      <c r="A144" s="52">
        <v>143</v>
      </c>
      <c r="B144" s="51">
        <f t="shared" si="14"/>
        <v>5</v>
      </c>
      <c r="C144" s="50">
        <f t="shared" si="15"/>
        <v>23</v>
      </c>
      <c r="D144" s="64" t="e">
        <f t="shared" si="16"/>
        <v>#N/A</v>
      </c>
      <c r="E144" s="121" cm="1">
        <f t="array" ref="E144">INDEX(InputArea,B144,C144)</f>
        <v>0</v>
      </c>
      <c r="F144" s="59" t="str">
        <f t="shared" si="17"/>
        <v>TK</v>
      </c>
      <c r="G144" s="59" t="str">
        <f t="shared" si="18"/>
        <v>←い</v>
      </c>
      <c r="H144" s="134"/>
      <c r="I144" s="135"/>
      <c r="J144" s="84">
        <f t="shared" si="19"/>
        <v>1</v>
      </c>
      <c r="K144" s="83"/>
      <c r="L144" s="64" t="e">
        <v>#N/A</v>
      </c>
      <c r="M144" s="121">
        <v>0</v>
      </c>
      <c r="N144" s="59" t="str">
        <v>TK</v>
      </c>
      <c r="O144" s="126" t="str">
        <v>←い</v>
      </c>
      <c r="P144" s="126">
        <v>0</v>
      </c>
      <c r="Q144" s="127">
        <v>0</v>
      </c>
      <c r="R144" s="84">
        <v>1</v>
      </c>
      <c r="T144" s="100" t="e">
        <v>#N/A</v>
      </c>
      <c r="U144" s="121">
        <v>0</v>
      </c>
      <c r="V144" s="59" t="str">
        <v>TK</v>
      </c>
      <c r="W144" s="126" t="str">
        <v>←い</v>
      </c>
      <c r="X144" s="126">
        <v>0</v>
      </c>
      <c r="Y144" s="127">
        <v>0</v>
      </c>
      <c r="Z144" s="90">
        <v>1</v>
      </c>
    </row>
    <row r="145" spans="1:26" x14ac:dyDescent="0.4">
      <c r="A145" s="52">
        <v>144</v>
      </c>
      <c r="B145" s="51">
        <f t="shared" si="14"/>
        <v>5</v>
      </c>
      <c r="C145" s="50">
        <f t="shared" si="15"/>
        <v>24</v>
      </c>
      <c r="D145" s="64" t="e">
        <f t="shared" si="16"/>
        <v>#N/A</v>
      </c>
      <c r="E145" s="121" cm="1">
        <f t="array" ref="E145">INDEX(InputArea,B145,C145)</f>
        <v>0</v>
      </c>
      <c r="F145" s="59" t="str">
        <f t="shared" si="17"/>
        <v>TL</v>
      </c>
      <c r="G145" s="59" t="str">
        <f t="shared" si="18"/>
        <v>←う</v>
      </c>
      <c r="H145" s="134"/>
      <c r="I145" s="135"/>
      <c r="J145" s="84">
        <f t="shared" si="19"/>
        <v>1</v>
      </c>
      <c r="K145" s="83"/>
      <c r="L145" s="64" t="e">
        <v>#N/A</v>
      </c>
      <c r="M145" s="121">
        <v>0</v>
      </c>
      <c r="N145" s="59" t="str">
        <v>TL</v>
      </c>
      <c r="O145" s="126" t="str">
        <v>←う</v>
      </c>
      <c r="P145" s="126">
        <v>0</v>
      </c>
      <c r="Q145" s="127">
        <v>0</v>
      </c>
      <c r="R145" s="84">
        <v>1</v>
      </c>
      <c r="T145" s="100" t="e">
        <v>#N/A</v>
      </c>
      <c r="U145" s="121">
        <v>0</v>
      </c>
      <c r="V145" s="59" t="str">
        <v>TL</v>
      </c>
      <c r="W145" s="126" t="str">
        <v>←う</v>
      </c>
      <c r="X145" s="126">
        <v>0</v>
      </c>
      <c r="Y145" s="127">
        <v>0</v>
      </c>
      <c r="Z145" s="90">
        <v>1</v>
      </c>
    </row>
    <row r="146" spans="1:26" x14ac:dyDescent="0.4">
      <c r="A146" s="52">
        <v>145</v>
      </c>
      <c r="B146" s="51">
        <f t="shared" si="14"/>
        <v>5</v>
      </c>
      <c r="C146" s="50">
        <f t="shared" si="15"/>
        <v>25</v>
      </c>
      <c r="D146" s="64" t="e">
        <f t="shared" si="16"/>
        <v>#N/A</v>
      </c>
      <c r="E146" s="121" cm="1">
        <f t="array" ref="E146">INDEX(InputArea,B146,C146)</f>
        <v>0</v>
      </c>
      <c r="F146" s="59" t="str">
        <f t="shared" si="17"/>
        <v>T;</v>
      </c>
      <c r="G146" s="59" t="str">
        <f t="shared" si="18"/>
        <v>←ー</v>
      </c>
      <c r="H146" s="134"/>
      <c r="I146" s="135"/>
      <c r="J146" s="84">
        <f t="shared" si="19"/>
        <v>1</v>
      </c>
      <c r="K146" s="83"/>
      <c r="L146" s="64" t="e">
        <v>#N/A</v>
      </c>
      <c r="M146" s="121">
        <v>0</v>
      </c>
      <c r="N146" s="59" t="str">
        <v>T;</v>
      </c>
      <c r="O146" s="126" t="str">
        <v>←ー</v>
      </c>
      <c r="P146" s="126">
        <v>0</v>
      </c>
      <c r="Q146" s="127">
        <v>0</v>
      </c>
      <c r="R146" s="84">
        <v>1</v>
      </c>
      <c r="T146" s="100" t="e">
        <v>#N/A</v>
      </c>
      <c r="U146" s="121">
        <v>0</v>
      </c>
      <c r="V146" s="59" t="str">
        <v>T;</v>
      </c>
      <c r="W146" s="126" t="str">
        <v>←ー</v>
      </c>
      <c r="X146" s="126">
        <v>0</v>
      </c>
      <c r="Y146" s="127">
        <v>0</v>
      </c>
      <c r="Z146" s="90">
        <v>1</v>
      </c>
    </row>
    <row r="147" spans="1:26" x14ac:dyDescent="0.4">
      <c r="A147" s="52">
        <v>146</v>
      </c>
      <c r="B147" s="51">
        <f t="shared" si="14"/>
        <v>5</v>
      </c>
      <c r="C147" s="50">
        <f t="shared" si="15"/>
        <v>26</v>
      </c>
      <c r="D147" s="64" t="e">
        <f t="shared" si="16"/>
        <v>#N/A</v>
      </c>
      <c r="E147" s="121" cm="1">
        <f t="array" ref="E147">INDEX(InputArea,B147,C147)</f>
        <v>0</v>
      </c>
      <c r="F147" s="59" t="str">
        <f t="shared" si="17"/>
        <v>TN</v>
      </c>
      <c r="G147" s="59" t="str">
        <f t="shared" si="18"/>
        <v>←た</v>
      </c>
      <c r="H147" s="134"/>
      <c r="I147" s="135"/>
      <c r="J147" s="84">
        <f t="shared" si="19"/>
        <v>1</v>
      </c>
      <c r="K147" s="83"/>
      <c r="L147" s="64" t="e">
        <v>#N/A</v>
      </c>
      <c r="M147" s="121">
        <v>0</v>
      </c>
      <c r="N147" s="59" t="str">
        <v>TN</v>
      </c>
      <c r="O147" s="126" t="str">
        <v>←た</v>
      </c>
      <c r="P147" s="126">
        <v>0</v>
      </c>
      <c r="Q147" s="127">
        <v>0</v>
      </c>
      <c r="R147" s="84">
        <v>1</v>
      </c>
      <c r="T147" s="100" t="e">
        <v>#N/A</v>
      </c>
      <c r="U147" s="121">
        <v>0</v>
      </c>
      <c r="V147" s="59" t="str">
        <v>TN</v>
      </c>
      <c r="W147" s="126" t="str">
        <v>←た</v>
      </c>
      <c r="X147" s="126">
        <v>0</v>
      </c>
      <c r="Y147" s="127">
        <v>0</v>
      </c>
      <c r="Z147" s="90">
        <v>1</v>
      </c>
    </row>
    <row r="148" spans="1:26" x14ac:dyDescent="0.4">
      <c r="A148" s="52">
        <v>147</v>
      </c>
      <c r="B148" s="51">
        <f t="shared" si="14"/>
        <v>5</v>
      </c>
      <c r="C148" s="50">
        <f t="shared" si="15"/>
        <v>27</v>
      </c>
      <c r="D148" s="64" t="e">
        <f t="shared" si="16"/>
        <v>#N/A</v>
      </c>
      <c r="E148" s="121" cm="1">
        <f t="array" ref="E148">INDEX(InputArea,B148,C148)</f>
        <v>0</v>
      </c>
      <c r="F148" s="59" t="str">
        <f t="shared" si="17"/>
        <v>TM</v>
      </c>
      <c r="G148" s="59" t="str">
        <f t="shared" si="18"/>
        <v>←な</v>
      </c>
      <c r="H148" s="134"/>
      <c r="I148" s="135"/>
      <c r="J148" s="84">
        <f t="shared" si="19"/>
        <v>1</v>
      </c>
      <c r="K148" s="83"/>
      <c r="L148" s="64" t="e">
        <v>#N/A</v>
      </c>
      <c r="M148" s="121">
        <v>0</v>
      </c>
      <c r="N148" s="59" t="str">
        <v>TM</v>
      </c>
      <c r="O148" s="126" t="str">
        <v>←な</v>
      </c>
      <c r="P148" s="126">
        <v>0</v>
      </c>
      <c r="Q148" s="127">
        <v>0</v>
      </c>
      <c r="R148" s="84">
        <v>1</v>
      </c>
      <c r="T148" s="100" t="e">
        <v>#N/A</v>
      </c>
      <c r="U148" s="121">
        <v>0</v>
      </c>
      <c r="V148" s="59" t="str">
        <v>TM</v>
      </c>
      <c r="W148" s="126" t="str">
        <v>←な</v>
      </c>
      <c r="X148" s="126">
        <v>0</v>
      </c>
      <c r="Y148" s="127">
        <v>0</v>
      </c>
      <c r="Z148" s="90">
        <v>1</v>
      </c>
    </row>
    <row r="149" spans="1:26" x14ac:dyDescent="0.4">
      <c r="A149" s="52">
        <v>148</v>
      </c>
      <c r="B149" s="51">
        <f t="shared" si="14"/>
        <v>5</v>
      </c>
      <c r="C149" s="50">
        <f t="shared" si="15"/>
        <v>28</v>
      </c>
      <c r="D149" s="64" t="e">
        <f t="shared" si="16"/>
        <v>#N/A</v>
      </c>
      <c r="E149" s="121" cm="1">
        <f t="array" ref="E149">INDEX(InputArea,B149,C149)</f>
        <v>0</v>
      </c>
      <c r="F149" s="59" t="str">
        <f t="shared" si="17"/>
        <v>T,</v>
      </c>
      <c r="G149" s="59" t="str">
        <f t="shared" si="18"/>
        <v>←ん</v>
      </c>
      <c r="H149" s="134"/>
      <c r="I149" s="135"/>
      <c r="J149" s="84">
        <f t="shared" si="19"/>
        <v>1</v>
      </c>
      <c r="K149" s="83"/>
      <c r="L149" s="64" t="e">
        <v>#N/A</v>
      </c>
      <c r="M149" s="121">
        <v>0</v>
      </c>
      <c r="N149" s="59" t="str">
        <v>T,</v>
      </c>
      <c r="O149" s="126" t="str">
        <v>←ん</v>
      </c>
      <c r="P149" s="126">
        <v>0</v>
      </c>
      <c r="Q149" s="127">
        <v>0</v>
      </c>
      <c r="R149" s="84">
        <v>1</v>
      </c>
      <c r="T149" s="100" t="e">
        <v>#N/A</v>
      </c>
      <c r="U149" s="121">
        <v>0</v>
      </c>
      <c r="V149" s="59" t="str">
        <v>T,</v>
      </c>
      <c r="W149" s="126" t="str">
        <v>←ん</v>
      </c>
      <c r="X149" s="126">
        <v>0</v>
      </c>
      <c r="Y149" s="127">
        <v>0</v>
      </c>
      <c r="Z149" s="90">
        <v>1</v>
      </c>
    </row>
    <row r="150" spans="1:26" x14ac:dyDescent="0.4">
      <c r="A150" s="52">
        <v>149</v>
      </c>
      <c r="B150" s="51">
        <f t="shared" si="14"/>
        <v>5</v>
      </c>
      <c r="C150" s="50">
        <f t="shared" si="15"/>
        <v>29</v>
      </c>
      <c r="D150" s="64" t="e">
        <f t="shared" si="16"/>
        <v>#N/A</v>
      </c>
      <c r="E150" s="121" cm="1">
        <f t="array" ref="E150">INDEX(InputArea,B150,C150)</f>
        <v>0</v>
      </c>
      <c r="F150" s="59" t="str">
        <f t="shared" si="17"/>
        <v>T.</v>
      </c>
      <c r="G150" s="59" t="str">
        <f t="shared" si="18"/>
        <v>←ら</v>
      </c>
      <c r="H150" s="134"/>
      <c r="I150" s="135"/>
      <c r="J150" s="84">
        <f t="shared" si="19"/>
        <v>1</v>
      </c>
      <c r="K150" s="83"/>
      <c r="L150" s="64" t="e">
        <v>#N/A</v>
      </c>
      <c r="M150" s="121">
        <v>0</v>
      </c>
      <c r="N150" s="59" t="str">
        <v>T.</v>
      </c>
      <c r="O150" s="126" t="str">
        <v>←ら</v>
      </c>
      <c r="P150" s="126">
        <v>0</v>
      </c>
      <c r="Q150" s="127">
        <v>0</v>
      </c>
      <c r="R150" s="84">
        <v>1</v>
      </c>
      <c r="T150" s="100" t="e">
        <v>#N/A</v>
      </c>
      <c r="U150" s="121">
        <v>0</v>
      </c>
      <c r="V150" s="59" t="str">
        <v>T.</v>
      </c>
      <c r="W150" s="126" t="str">
        <v>←ら</v>
      </c>
      <c r="X150" s="126">
        <v>0</v>
      </c>
      <c r="Y150" s="127">
        <v>0</v>
      </c>
      <c r="Z150" s="90">
        <v>1</v>
      </c>
    </row>
    <row r="151" spans="1:26" x14ac:dyDescent="0.4">
      <c r="A151" s="52">
        <v>150</v>
      </c>
      <c r="B151" s="51">
        <f t="shared" si="14"/>
        <v>5</v>
      </c>
      <c r="C151" s="50">
        <f t="shared" si="15"/>
        <v>30</v>
      </c>
      <c r="D151" s="64" t="e">
        <f t="shared" si="16"/>
        <v>#N/A</v>
      </c>
      <c r="E151" s="121" cm="1">
        <f t="array" ref="E151">INDEX(InputArea,B151,C151)</f>
        <v>0</v>
      </c>
      <c r="F151" s="59" t="str">
        <f t="shared" si="17"/>
        <v>T/</v>
      </c>
      <c r="G151" s="59" t="str">
        <f t="shared" si="18"/>
        <v>←れ</v>
      </c>
      <c r="H151" s="134"/>
      <c r="I151" s="135"/>
      <c r="J151" s="84">
        <f t="shared" si="19"/>
        <v>1</v>
      </c>
      <c r="K151" s="83"/>
      <c r="L151" s="64" t="e">
        <v>#N/A</v>
      </c>
      <c r="M151" s="121">
        <v>0</v>
      </c>
      <c r="N151" s="59" t="str">
        <v>T/</v>
      </c>
      <c r="O151" s="126" t="str">
        <v>←れ</v>
      </c>
      <c r="P151" s="126">
        <v>0</v>
      </c>
      <c r="Q151" s="127">
        <v>0</v>
      </c>
      <c r="R151" s="84">
        <v>1</v>
      </c>
      <c r="T151" s="100" t="e">
        <v>#N/A</v>
      </c>
      <c r="U151" s="121">
        <v>0</v>
      </c>
      <c r="V151" s="59" t="str">
        <v>T/</v>
      </c>
      <c r="W151" s="126" t="str">
        <v>←れ</v>
      </c>
      <c r="X151" s="126">
        <v>0</v>
      </c>
      <c r="Y151" s="127">
        <v>0</v>
      </c>
      <c r="Z151" s="90">
        <v>1</v>
      </c>
    </row>
    <row r="152" spans="1:26" x14ac:dyDescent="0.4">
      <c r="A152" s="52">
        <v>151</v>
      </c>
      <c r="B152" s="51">
        <f t="shared" si="14"/>
        <v>6</v>
      </c>
      <c r="C152" s="50">
        <f t="shared" si="15"/>
        <v>1</v>
      </c>
      <c r="D152" s="64" t="e">
        <f t="shared" si="16"/>
        <v>#N/A</v>
      </c>
      <c r="E152" s="121" cm="1">
        <f t="array" ref="E152">INDEX(InputArea,B152,C152)</f>
        <v>0</v>
      </c>
      <c r="F152" s="59" t="str">
        <f t="shared" si="17"/>
        <v>AQ</v>
      </c>
      <c r="G152" s="59" t="str">
        <f t="shared" si="18"/>
        <v>ろヴ</v>
      </c>
      <c r="H152" s="134"/>
      <c r="I152" s="136" t="s">
        <v>352</v>
      </c>
      <c r="J152" s="84">
        <f t="shared" si="19"/>
        <v>0</v>
      </c>
      <c r="K152" s="83"/>
      <c r="L152" s="64" t="e">
        <v>#N/A</v>
      </c>
      <c r="M152" s="121">
        <v>0</v>
      </c>
      <c r="N152" s="59" t="str">
        <v>AQ</v>
      </c>
      <c r="O152" s="126" t="str">
        <v>ろヴ</v>
      </c>
      <c r="P152" s="126">
        <v>0</v>
      </c>
      <c r="Q152" s="127" t="str">
        <v>あｑ</v>
      </c>
      <c r="R152" s="84">
        <v>0</v>
      </c>
      <c r="T152" s="100" t="e">
        <v>#N/A</v>
      </c>
      <c r="U152" s="121">
        <v>0</v>
      </c>
      <c r="V152" s="59" t="str">
        <v>AQ</v>
      </c>
      <c r="W152" s="126" t="str">
        <v>ろヴ</v>
      </c>
      <c r="X152" s="126">
        <v>0</v>
      </c>
      <c r="Y152" s="127" t="str">
        <v>あｑ</v>
      </c>
      <c r="Z152" s="90">
        <v>0</v>
      </c>
    </row>
    <row r="153" spans="1:26" x14ac:dyDescent="0.4">
      <c r="A153" s="52">
        <v>152</v>
      </c>
      <c r="B153" s="51">
        <f t="shared" si="14"/>
        <v>6</v>
      </c>
      <c r="C153" s="50">
        <f t="shared" si="15"/>
        <v>2</v>
      </c>
      <c r="D153" s="64" t="e">
        <f t="shared" si="16"/>
        <v>#N/A</v>
      </c>
      <c r="E153" s="121" cm="1">
        <f t="array" ref="E153">INDEX(InputArea,B153,C153)</f>
        <v>0</v>
      </c>
      <c r="F153" s="59" t="str">
        <f t="shared" si="17"/>
        <v>AW</v>
      </c>
      <c r="G153" s="59" t="str">
        <f t="shared" si="18"/>
        <v>ろき</v>
      </c>
      <c r="H153" s="134"/>
      <c r="I153" s="136" t="s">
        <v>353</v>
      </c>
      <c r="J153" s="84">
        <f t="shared" si="19"/>
        <v>0</v>
      </c>
      <c r="K153" s="83"/>
      <c r="L153" s="64" t="e">
        <v>#N/A</v>
      </c>
      <c r="M153" s="121">
        <v>0</v>
      </c>
      <c r="N153" s="59" t="str">
        <v>AW</v>
      </c>
      <c r="O153" s="126" t="str">
        <v>ろき</v>
      </c>
      <c r="P153" s="126">
        <v>0</v>
      </c>
      <c r="Q153" s="127" t="str">
        <v>あｗ</v>
      </c>
      <c r="R153" s="84">
        <v>0</v>
      </c>
      <c r="T153" s="100" t="e">
        <v>#N/A</v>
      </c>
      <c r="U153" s="121">
        <v>0</v>
      </c>
      <c r="V153" s="59" t="str">
        <v>AW</v>
      </c>
      <c r="W153" s="126" t="str">
        <v>ろき</v>
      </c>
      <c r="X153" s="126">
        <v>0</v>
      </c>
      <c r="Y153" s="127" t="str">
        <v>あｗ</v>
      </c>
      <c r="Z153" s="90">
        <v>0</v>
      </c>
    </row>
    <row r="154" spans="1:26" x14ac:dyDescent="0.4">
      <c r="A154" s="52">
        <v>153</v>
      </c>
      <c r="B154" s="51">
        <f t="shared" si="14"/>
        <v>6</v>
      </c>
      <c r="C154" s="50">
        <f t="shared" si="15"/>
        <v>3</v>
      </c>
      <c r="D154" s="64" t="e">
        <f t="shared" si="16"/>
        <v>#N/A</v>
      </c>
      <c r="E154" s="121" cm="1">
        <f t="array" ref="E154">INDEX(InputArea,B154,C154)</f>
        <v>0</v>
      </c>
      <c r="F154" s="59" t="str">
        <f t="shared" si="17"/>
        <v>AE</v>
      </c>
      <c r="G154" s="59" t="str">
        <f t="shared" si="18"/>
        <v>ろて</v>
      </c>
      <c r="H154" s="134"/>
      <c r="I154" s="136" t="s">
        <v>354</v>
      </c>
      <c r="J154" s="84">
        <f t="shared" si="19"/>
        <v>0</v>
      </c>
      <c r="K154" s="83"/>
      <c r="L154" s="64" t="e">
        <v>#N/A</v>
      </c>
      <c r="M154" s="121">
        <v>0</v>
      </c>
      <c r="N154" s="59" t="str">
        <v>AE</v>
      </c>
      <c r="O154" s="126" t="str">
        <v>ろて</v>
      </c>
      <c r="P154" s="126">
        <v>0</v>
      </c>
      <c r="Q154" s="127" t="str">
        <v>あえ</v>
      </c>
      <c r="R154" s="84">
        <v>0</v>
      </c>
      <c r="T154" s="100" t="e">
        <v>#N/A</v>
      </c>
      <c r="U154" s="121">
        <v>0</v>
      </c>
      <c r="V154" s="59" t="str">
        <v>AE</v>
      </c>
      <c r="W154" s="126" t="str">
        <v>ろて</v>
      </c>
      <c r="X154" s="126">
        <v>0</v>
      </c>
      <c r="Y154" s="127" t="str">
        <v>あえ</v>
      </c>
      <c r="Z154" s="90">
        <v>0</v>
      </c>
    </row>
    <row r="155" spans="1:26" x14ac:dyDescent="0.4">
      <c r="A155" s="52">
        <v>154</v>
      </c>
      <c r="B155" s="51">
        <f t="shared" si="14"/>
        <v>6</v>
      </c>
      <c r="C155" s="50">
        <f t="shared" si="15"/>
        <v>4</v>
      </c>
      <c r="D155" s="64" t="e">
        <f t="shared" si="16"/>
        <v>#N/A</v>
      </c>
      <c r="E155" s="121" cm="1">
        <f t="array" ref="E155">INDEX(InputArea,B155,C155)</f>
        <v>0</v>
      </c>
      <c r="F155" s="59" t="str">
        <f t="shared" si="17"/>
        <v>AR</v>
      </c>
      <c r="G155" s="59" t="str">
        <f t="shared" si="18"/>
        <v>ろし</v>
      </c>
      <c r="H155" s="134"/>
      <c r="I155" s="136" t="s">
        <v>355</v>
      </c>
      <c r="J155" s="84">
        <f t="shared" si="19"/>
        <v>0</v>
      </c>
      <c r="K155" s="83"/>
      <c r="L155" s="64" t="e">
        <v>#N/A</v>
      </c>
      <c r="M155" s="121">
        <v>0</v>
      </c>
      <c r="N155" s="59" t="str">
        <v>AR</v>
      </c>
      <c r="O155" s="126" t="str">
        <v>ろし</v>
      </c>
      <c r="P155" s="126">
        <v>0</v>
      </c>
      <c r="Q155" s="127" t="str">
        <v>あｒ</v>
      </c>
      <c r="R155" s="84">
        <v>0</v>
      </c>
      <c r="T155" s="100" t="e">
        <v>#N/A</v>
      </c>
      <c r="U155" s="121">
        <v>0</v>
      </c>
      <c r="V155" s="59" t="str">
        <v>AR</v>
      </c>
      <c r="W155" s="126" t="str">
        <v>ろし</v>
      </c>
      <c r="X155" s="126">
        <v>0</v>
      </c>
      <c r="Y155" s="127" t="str">
        <v>あｒ</v>
      </c>
      <c r="Z155" s="90">
        <v>0</v>
      </c>
    </row>
    <row r="156" spans="1:26" x14ac:dyDescent="0.4">
      <c r="A156" s="52">
        <v>155</v>
      </c>
      <c r="B156" s="51">
        <f t="shared" si="14"/>
        <v>6</v>
      </c>
      <c r="C156" s="50">
        <f t="shared" si="15"/>
        <v>5</v>
      </c>
      <c r="D156" s="64" t="e">
        <f t="shared" si="16"/>
        <v>#N/A</v>
      </c>
      <c r="E156" s="121" cm="1">
        <f t="array" ref="E156">INDEX(InputArea,B156,C156)</f>
        <v>0</v>
      </c>
      <c r="F156" s="59" t="str">
        <f t="shared" si="17"/>
        <v>AT</v>
      </c>
      <c r="G156" s="59" t="str">
        <f t="shared" si="18"/>
        <v>ろ←</v>
      </c>
      <c r="H156" s="134"/>
      <c r="I156" s="136" t="s">
        <v>356</v>
      </c>
      <c r="J156" s="84">
        <f t="shared" si="19"/>
        <v>0</v>
      </c>
      <c r="K156" s="83"/>
      <c r="L156" s="64" t="e">
        <v>#N/A</v>
      </c>
      <c r="M156" s="121">
        <v>0</v>
      </c>
      <c r="N156" s="59" t="str">
        <v>AT</v>
      </c>
      <c r="O156" s="126" t="str">
        <v>ろ←</v>
      </c>
      <c r="P156" s="126">
        <v>0</v>
      </c>
      <c r="Q156" s="127" t="str">
        <v>あｔ</v>
      </c>
      <c r="R156" s="84">
        <v>0</v>
      </c>
      <c r="T156" s="100" t="e">
        <v>#N/A</v>
      </c>
      <c r="U156" s="121">
        <v>0</v>
      </c>
      <c r="V156" s="59" t="str">
        <v>AT</v>
      </c>
      <c r="W156" s="126" t="str">
        <v>ろ←</v>
      </c>
      <c r="X156" s="126">
        <v>0</v>
      </c>
      <c r="Y156" s="127" t="str">
        <v>あｔ</v>
      </c>
      <c r="Z156" s="90">
        <v>0</v>
      </c>
    </row>
    <row r="157" spans="1:26" x14ac:dyDescent="0.4">
      <c r="A157" s="52">
        <v>156</v>
      </c>
      <c r="B157" s="51">
        <f t="shared" si="14"/>
        <v>6</v>
      </c>
      <c r="C157" s="50">
        <f t="shared" si="15"/>
        <v>6</v>
      </c>
      <c r="D157" s="64" t="e">
        <f t="shared" si="16"/>
        <v>#N/A</v>
      </c>
      <c r="E157" s="121" cm="1">
        <f t="array" ref="E157">INDEX(InputArea,B157,C157)</f>
        <v>0</v>
      </c>
      <c r="F157" s="59" t="str">
        <f t="shared" si="17"/>
        <v>AA</v>
      </c>
      <c r="G157" s="59" t="str">
        <f t="shared" si="18"/>
        <v>ろろ</v>
      </c>
      <c r="H157" s="134"/>
      <c r="I157" s="136" t="s">
        <v>357</v>
      </c>
      <c r="J157" s="84">
        <f t="shared" si="19"/>
        <v>0</v>
      </c>
      <c r="K157" s="83"/>
      <c r="L157" s="64" t="e">
        <v>#N/A</v>
      </c>
      <c r="M157" s="121">
        <v>0</v>
      </c>
      <c r="N157" s="59" t="str">
        <v>AA</v>
      </c>
      <c r="O157" s="126" t="str">
        <v>ろろ</v>
      </c>
      <c r="P157" s="126">
        <v>0</v>
      </c>
      <c r="Q157" s="127" t="str">
        <v>ああ</v>
      </c>
      <c r="R157" s="84">
        <v>0</v>
      </c>
      <c r="T157" s="100" t="e">
        <v>#N/A</v>
      </c>
      <c r="U157" s="121">
        <v>0</v>
      </c>
      <c r="V157" s="59" t="str">
        <v>AA</v>
      </c>
      <c r="W157" s="126" t="str">
        <v>ろろ</v>
      </c>
      <c r="X157" s="126">
        <v>0</v>
      </c>
      <c r="Y157" s="127" t="str">
        <v>ああ</v>
      </c>
      <c r="Z157" s="90">
        <v>0</v>
      </c>
    </row>
    <row r="158" spans="1:26" x14ac:dyDescent="0.4">
      <c r="A158" s="52">
        <v>157</v>
      </c>
      <c r="B158" s="51">
        <f t="shared" si="14"/>
        <v>6</v>
      </c>
      <c r="C158" s="50">
        <f t="shared" si="15"/>
        <v>7</v>
      </c>
      <c r="D158" s="64" t="e">
        <f t="shared" si="16"/>
        <v>#N/A</v>
      </c>
      <c r="E158" s="121" cm="1">
        <f t="array" ref="E158">INDEX(InputArea,B158,C158)</f>
        <v>0</v>
      </c>
      <c r="F158" s="59" t="str">
        <f t="shared" si="17"/>
        <v>AS</v>
      </c>
      <c r="G158" s="59" t="str">
        <f t="shared" si="18"/>
        <v>ろけ</v>
      </c>
      <c r="H158" s="134"/>
      <c r="I158" s="136" t="s">
        <v>358</v>
      </c>
      <c r="J158" s="84">
        <f t="shared" si="19"/>
        <v>0</v>
      </c>
      <c r="K158" s="83"/>
      <c r="L158" s="64" t="e">
        <v>#N/A</v>
      </c>
      <c r="M158" s="121">
        <v>0</v>
      </c>
      <c r="N158" s="59" t="str">
        <v>AS</v>
      </c>
      <c r="O158" s="126" t="str">
        <v>ろけ</v>
      </c>
      <c r="P158" s="126">
        <v>0</v>
      </c>
      <c r="Q158" s="127" t="str">
        <v>あｓ</v>
      </c>
      <c r="R158" s="84">
        <v>0</v>
      </c>
      <c r="T158" s="100" t="e">
        <v>#N/A</v>
      </c>
      <c r="U158" s="121">
        <v>0</v>
      </c>
      <c r="V158" s="59" t="str">
        <v>AS</v>
      </c>
      <c r="W158" s="126" t="str">
        <v>ろけ</v>
      </c>
      <c r="X158" s="126">
        <v>0</v>
      </c>
      <c r="Y158" s="127" t="str">
        <v>あｓ</v>
      </c>
      <c r="Z158" s="90">
        <v>0</v>
      </c>
    </row>
    <row r="159" spans="1:26" x14ac:dyDescent="0.4">
      <c r="A159" s="52">
        <v>158</v>
      </c>
      <c r="B159" s="51">
        <f t="shared" si="14"/>
        <v>6</v>
      </c>
      <c r="C159" s="50">
        <f t="shared" si="15"/>
        <v>8</v>
      </c>
      <c r="D159" s="64" t="e">
        <f t="shared" si="16"/>
        <v>#N/A</v>
      </c>
      <c r="E159" s="121" cm="1">
        <f t="array" ref="E159">INDEX(InputArea,B159,C159)</f>
        <v>0</v>
      </c>
      <c r="F159" s="59" t="str">
        <f t="shared" si="17"/>
        <v>AD</v>
      </c>
      <c r="G159" s="59" t="str">
        <f t="shared" si="18"/>
        <v>ろと</v>
      </c>
      <c r="H159" s="134"/>
      <c r="I159" s="136" t="s">
        <v>359</v>
      </c>
      <c r="J159" s="84">
        <f t="shared" si="19"/>
        <v>0</v>
      </c>
      <c r="K159" s="83"/>
      <c r="L159" s="64" t="e">
        <v>#N/A</v>
      </c>
      <c r="M159" s="121">
        <v>0</v>
      </c>
      <c r="N159" s="59" t="str">
        <v>AD</v>
      </c>
      <c r="O159" s="126" t="str">
        <v>ろと</v>
      </c>
      <c r="P159" s="126">
        <v>0</v>
      </c>
      <c r="Q159" s="127" t="str">
        <v>あｄ</v>
      </c>
      <c r="R159" s="84">
        <v>0</v>
      </c>
      <c r="T159" s="100" t="e">
        <v>#N/A</v>
      </c>
      <c r="U159" s="121">
        <v>0</v>
      </c>
      <c r="V159" s="59" t="str">
        <v>AD</v>
      </c>
      <c r="W159" s="126" t="str">
        <v>ろと</v>
      </c>
      <c r="X159" s="126">
        <v>0</v>
      </c>
      <c r="Y159" s="127" t="str">
        <v>あｄ</v>
      </c>
      <c r="Z159" s="90">
        <v>0</v>
      </c>
    </row>
    <row r="160" spans="1:26" x14ac:dyDescent="0.4">
      <c r="A160" s="52">
        <v>159</v>
      </c>
      <c r="B160" s="51">
        <f t="shared" si="14"/>
        <v>6</v>
      </c>
      <c r="C160" s="50">
        <f t="shared" si="15"/>
        <v>9</v>
      </c>
      <c r="D160" s="64" t="e">
        <f t="shared" si="16"/>
        <v>#N/A</v>
      </c>
      <c r="E160" s="121" cm="1">
        <f t="array" ref="E160">INDEX(InputArea,B160,C160)</f>
        <v>0</v>
      </c>
      <c r="F160" s="59" t="str">
        <f t="shared" si="17"/>
        <v>AF</v>
      </c>
      <c r="G160" s="59" t="str">
        <f t="shared" si="18"/>
        <v>ろか</v>
      </c>
      <c r="H160" s="134"/>
      <c r="I160" s="136" t="s">
        <v>360</v>
      </c>
      <c r="J160" s="84">
        <f t="shared" si="19"/>
        <v>0</v>
      </c>
      <c r="K160" s="83"/>
      <c r="L160" s="64" t="e">
        <v>#N/A</v>
      </c>
      <c r="M160" s="121">
        <v>0</v>
      </c>
      <c r="N160" s="59" t="str">
        <v>AF</v>
      </c>
      <c r="O160" s="126" t="str">
        <v>ろか</v>
      </c>
      <c r="P160" s="126">
        <v>0</v>
      </c>
      <c r="Q160" s="127" t="str">
        <v>あｆ</v>
      </c>
      <c r="R160" s="84">
        <v>0</v>
      </c>
      <c r="T160" s="100" t="e">
        <v>#N/A</v>
      </c>
      <c r="U160" s="121">
        <v>0</v>
      </c>
      <c r="V160" s="59" t="str">
        <v>AF</v>
      </c>
      <c r="W160" s="126" t="str">
        <v>ろか</v>
      </c>
      <c r="X160" s="126">
        <v>0</v>
      </c>
      <c r="Y160" s="127" t="str">
        <v>あｆ</v>
      </c>
      <c r="Z160" s="90">
        <v>0</v>
      </c>
    </row>
    <row r="161" spans="1:26" x14ac:dyDescent="0.4">
      <c r="A161" s="52">
        <v>160</v>
      </c>
      <c r="B161" s="51">
        <f t="shared" si="14"/>
        <v>6</v>
      </c>
      <c r="C161" s="50">
        <f t="shared" si="15"/>
        <v>10</v>
      </c>
      <c r="D161" s="64" t="e">
        <f t="shared" si="16"/>
        <v>#N/A</v>
      </c>
      <c r="E161" s="121" cm="1">
        <f t="array" ref="E161">INDEX(InputArea,B161,C161)</f>
        <v>0</v>
      </c>
      <c r="F161" s="59" t="str">
        <f t="shared" si="17"/>
        <v>AG</v>
      </c>
      <c r="G161" s="59" t="str">
        <f t="shared" si="18"/>
        <v>ろっ</v>
      </c>
      <c r="H161" s="134"/>
      <c r="I161" s="136" t="s">
        <v>361</v>
      </c>
      <c r="J161" s="84">
        <f t="shared" si="19"/>
        <v>0</v>
      </c>
      <c r="K161" s="83"/>
      <c r="L161" s="64" t="e">
        <v>#N/A</v>
      </c>
      <c r="M161" s="121">
        <v>0</v>
      </c>
      <c r="N161" s="59" t="str">
        <v>AG</v>
      </c>
      <c r="O161" s="126" t="str">
        <v>ろっ</v>
      </c>
      <c r="P161" s="126">
        <v>0</v>
      </c>
      <c r="Q161" s="127" t="str">
        <v>あｇ</v>
      </c>
      <c r="R161" s="84">
        <v>0</v>
      </c>
      <c r="T161" s="100" t="e">
        <v>#N/A</v>
      </c>
      <c r="U161" s="121">
        <v>0</v>
      </c>
      <c r="V161" s="59" t="str">
        <v>AG</v>
      </c>
      <c r="W161" s="126" t="str">
        <v>ろっ</v>
      </c>
      <c r="X161" s="126">
        <v>0</v>
      </c>
      <c r="Y161" s="127" t="str">
        <v>あｇ</v>
      </c>
      <c r="Z161" s="90">
        <v>0</v>
      </c>
    </row>
    <row r="162" spans="1:26" x14ac:dyDescent="0.4">
      <c r="A162" s="52">
        <v>161</v>
      </c>
      <c r="B162" s="51">
        <f t="shared" si="14"/>
        <v>6</v>
      </c>
      <c r="C162" s="50">
        <f t="shared" si="15"/>
        <v>11</v>
      </c>
      <c r="D162" s="64" t="e">
        <f t="shared" si="16"/>
        <v>#N/A</v>
      </c>
      <c r="E162" s="121" cm="1">
        <f t="array" ref="E162">INDEX(InputArea,B162,C162)</f>
        <v>0</v>
      </c>
      <c r="F162" s="59" t="str">
        <f t="shared" si="17"/>
        <v>AZ</v>
      </c>
      <c r="G162" s="59" t="str">
        <f t="shared" si="18"/>
        <v>ろほ</v>
      </c>
      <c r="H162" s="134"/>
      <c r="I162" s="136" t="s">
        <v>362</v>
      </c>
      <c r="J162" s="84">
        <f t="shared" si="19"/>
        <v>0</v>
      </c>
      <c r="K162" s="83"/>
      <c r="L162" s="64" t="e">
        <v>#N/A</v>
      </c>
      <c r="M162" s="121">
        <v>0</v>
      </c>
      <c r="N162" s="59" t="str">
        <v>AZ</v>
      </c>
      <c r="O162" s="126" t="str">
        <v>ろほ</v>
      </c>
      <c r="P162" s="126">
        <v>0</v>
      </c>
      <c r="Q162" s="127" t="str">
        <v>あｚ</v>
      </c>
      <c r="R162" s="84">
        <v>0</v>
      </c>
      <c r="T162" s="100" t="e">
        <v>#N/A</v>
      </c>
      <c r="U162" s="121">
        <v>0</v>
      </c>
      <c r="V162" s="59" t="str">
        <v>AZ</v>
      </c>
      <c r="W162" s="126" t="str">
        <v>ろほ</v>
      </c>
      <c r="X162" s="126">
        <v>0</v>
      </c>
      <c r="Y162" s="127" t="str">
        <v>あｚ</v>
      </c>
      <c r="Z162" s="90">
        <v>0</v>
      </c>
    </row>
    <row r="163" spans="1:26" x14ac:dyDescent="0.4">
      <c r="A163" s="52">
        <v>162</v>
      </c>
      <c r="B163" s="51">
        <f t="shared" si="14"/>
        <v>6</v>
      </c>
      <c r="C163" s="50">
        <f t="shared" si="15"/>
        <v>12</v>
      </c>
      <c r="D163" s="64" t="e">
        <f t="shared" si="16"/>
        <v>#N/A</v>
      </c>
      <c r="E163" s="121" cm="1">
        <f t="array" ref="E163">INDEX(InputArea,B163,C163)</f>
        <v>0</v>
      </c>
      <c r="F163" s="59" t="str">
        <f t="shared" si="17"/>
        <v>AX</v>
      </c>
      <c r="G163" s="59" t="str">
        <f t="shared" si="18"/>
        <v>ろひ</v>
      </c>
      <c r="H163" s="134"/>
      <c r="I163" s="136" t="s">
        <v>363</v>
      </c>
      <c r="J163" s="84">
        <f t="shared" si="19"/>
        <v>0</v>
      </c>
      <c r="K163" s="83"/>
      <c r="L163" s="64" t="e">
        <v>#N/A</v>
      </c>
      <c r="M163" s="121">
        <v>0</v>
      </c>
      <c r="N163" s="59" t="str">
        <v>AX</v>
      </c>
      <c r="O163" s="126" t="str">
        <v>ろひ</v>
      </c>
      <c r="P163" s="126">
        <v>0</v>
      </c>
      <c r="Q163" s="127" t="str">
        <v>あｘ</v>
      </c>
      <c r="R163" s="84">
        <v>0</v>
      </c>
      <c r="T163" s="100" t="e">
        <v>#N/A</v>
      </c>
      <c r="U163" s="121">
        <v>0</v>
      </c>
      <c r="V163" s="59" t="str">
        <v>AX</v>
      </c>
      <c r="W163" s="126" t="str">
        <v>ろひ</v>
      </c>
      <c r="X163" s="126">
        <v>0</v>
      </c>
      <c r="Y163" s="127" t="str">
        <v>あｘ</v>
      </c>
      <c r="Z163" s="90">
        <v>0</v>
      </c>
    </row>
    <row r="164" spans="1:26" x14ac:dyDescent="0.4">
      <c r="A164" s="52">
        <v>163</v>
      </c>
      <c r="B164" s="51">
        <f t="shared" si="14"/>
        <v>6</v>
      </c>
      <c r="C164" s="50">
        <f t="shared" si="15"/>
        <v>13</v>
      </c>
      <c r="D164" s="64" t="e">
        <f t="shared" si="16"/>
        <v>#N/A</v>
      </c>
      <c r="E164" s="121" cm="1">
        <f t="array" ref="E164">INDEX(InputArea,B164,C164)</f>
        <v>0</v>
      </c>
      <c r="F164" s="59" t="str">
        <f t="shared" si="17"/>
        <v>AC</v>
      </c>
      <c r="G164" s="59" t="str">
        <f t="shared" si="18"/>
        <v>ろは</v>
      </c>
      <c r="H164" s="134"/>
      <c r="I164" s="135"/>
      <c r="J164" s="84">
        <f t="shared" si="19"/>
        <v>0</v>
      </c>
      <c r="K164" s="83"/>
      <c r="L164" s="64" t="e">
        <v>#N/A</v>
      </c>
      <c r="M164" s="121">
        <v>0</v>
      </c>
      <c r="N164" s="59" t="str">
        <v>AC</v>
      </c>
      <c r="O164" s="126" t="str">
        <v>ろは</v>
      </c>
      <c r="P164" s="126">
        <v>0</v>
      </c>
      <c r="Q164" s="127">
        <v>0</v>
      </c>
      <c r="R164" s="84">
        <v>0</v>
      </c>
      <c r="T164" s="100" t="e">
        <v>#N/A</v>
      </c>
      <c r="U164" s="121">
        <v>0</v>
      </c>
      <c r="V164" s="59" t="str">
        <v>AC</v>
      </c>
      <c r="W164" s="126" t="str">
        <v>ろは</v>
      </c>
      <c r="X164" s="126">
        <v>0</v>
      </c>
      <c r="Y164" s="127">
        <v>0</v>
      </c>
      <c r="Z164" s="90">
        <v>0</v>
      </c>
    </row>
    <row r="165" spans="1:26" x14ac:dyDescent="0.4">
      <c r="A165" s="52">
        <v>164</v>
      </c>
      <c r="B165" s="51">
        <f t="shared" si="14"/>
        <v>6</v>
      </c>
      <c r="C165" s="50">
        <f t="shared" si="15"/>
        <v>14</v>
      </c>
      <c r="D165" s="64" t="e">
        <f t="shared" si="16"/>
        <v>#N/A</v>
      </c>
      <c r="E165" s="121" cm="1">
        <f t="array" ref="E165">INDEX(InputArea,B165,C165)</f>
        <v>0</v>
      </c>
      <c r="F165" s="59" t="str">
        <f t="shared" si="17"/>
        <v>AV</v>
      </c>
      <c r="G165" s="59" t="str">
        <f t="shared" si="18"/>
        <v>ろこ</v>
      </c>
      <c r="H165" s="134"/>
      <c r="I165" s="136" t="s">
        <v>364</v>
      </c>
      <c r="J165" s="84">
        <f t="shared" si="19"/>
        <v>0</v>
      </c>
      <c r="K165" s="83"/>
      <c r="L165" s="64" t="e">
        <v>#N/A</v>
      </c>
      <c r="M165" s="121">
        <v>0</v>
      </c>
      <c r="N165" s="59" t="str">
        <v>AV</v>
      </c>
      <c r="O165" s="126" t="str">
        <v>ろこ</v>
      </c>
      <c r="P165" s="126">
        <v>0</v>
      </c>
      <c r="Q165" s="127" t="str">
        <v>あｖ</v>
      </c>
      <c r="R165" s="84">
        <v>0</v>
      </c>
      <c r="T165" s="100" t="e">
        <v>#N/A</v>
      </c>
      <c r="U165" s="121">
        <v>0</v>
      </c>
      <c r="V165" s="59" t="str">
        <v>AV</v>
      </c>
      <c r="W165" s="126" t="str">
        <v>ろこ</v>
      </c>
      <c r="X165" s="126">
        <v>0</v>
      </c>
      <c r="Y165" s="127" t="str">
        <v>あｖ</v>
      </c>
      <c r="Z165" s="90">
        <v>0</v>
      </c>
    </row>
    <row r="166" spans="1:26" x14ac:dyDescent="0.4">
      <c r="A166" s="52">
        <v>165</v>
      </c>
      <c r="B166" s="51">
        <f t="shared" si="14"/>
        <v>6</v>
      </c>
      <c r="C166" s="50">
        <f t="shared" si="15"/>
        <v>15</v>
      </c>
      <c r="D166" s="64" t="e">
        <f t="shared" si="16"/>
        <v>#N/A</v>
      </c>
      <c r="E166" s="121" cm="1">
        <f t="array" ref="E166">INDEX(InputArea,B166,C166)</f>
        <v>0</v>
      </c>
      <c r="F166" s="59" t="str">
        <f t="shared" si="17"/>
        <v>AB</v>
      </c>
      <c r="G166" s="59" t="str">
        <f t="shared" si="18"/>
        <v>ろそ</v>
      </c>
      <c r="H166" s="134"/>
      <c r="I166" s="136" t="s">
        <v>365</v>
      </c>
      <c r="J166" s="84">
        <f t="shared" si="19"/>
        <v>0</v>
      </c>
      <c r="K166" s="83"/>
      <c r="L166" s="64" t="e">
        <v>#N/A</v>
      </c>
      <c r="M166" s="121">
        <v>0</v>
      </c>
      <c r="N166" s="59" t="str">
        <v>AB</v>
      </c>
      <c r="O166" s="126" t="str">
        <v>ろそ</v>
      </c>
      <c r="P166" s="126">
        <v>0</v>
      </c>
      <c r="Q166" s="127" t="str">
        <v>あｂ</v>
      </c>
      <c r="R166" s="84">
        <v>0</v>
      </c>
      <c r="T166" s="100" t="e">
        <v>#N/A</v>
      </c>
      <c r="U166" s="121">
        <v>0</v>
      </c>
      <c r="V166" s="59" t="str">
        <v>AB</v>
      </c>
      <c r="W166" s="126" t="str">
        <v>ろそ</v>
      </c>
      <c r="X166" s="126">
        <v>0</v>
      </c>
      <c r="Y166" s="127" t="str">
        <v>あｂ</v>
      </c>
      <c r="Z166" s="90">
        <v>0</v>
      </c>
    </row>
    <row r="167" spans="1:26" x14ac:dyDescent="0.4">
      <c r="A167" s="52">
        <v>166</v>
      </c>
      <c r="B167" s="51">
        <f t="shared" si="14"/>
        <v>6</v>
      </c>
      <c r="C167" s="50">
        <f t="shared" si="15"/>
        <v>16</v>
      </c>
      <c r="D167" s="64" t="e">
        <f t="shared" si="16"/>
        <v>#N/A</v>
      </c>
      <c r="E167" s="121" cm="1">
        <f t="array" ref="E167">INDEX(InputArea,B167,C167)</f>
        <v>0</v>
      </c>
      <c r="F167" s="59" t="str">
        <f t="shared" si="17"/>
        <v>AY</v>
      </c>
      <c r="G167" s="59" t="str">
        <f t="shared" si="18"/>
        <v>ろ→</v>
      </c>
      <c r="H167" s="134"/>
      <c r="I167" s="136" t="s">
        <v>366</v>
      </c>
      <c r="J167" s="84">
        <f t="shared" si="19"/>
        <v>1</v>
      </c>
      <c r="K167" s="83"/>
      <c r="L167" s="64" t="e">
        <v>#N/A</v>
      </c>
      <c r="M167" s="121">
        <v>0</v>
      </c>
      <c r="N167" s="59" t="str">
        <v>AY</v>
      </c>
      <c r="O167" s="126" t="str">
        <v>ろ→</v>
      </c>
      <c r="P167" s="126">
        <v>0</v>
      </c>
      <c r="Q167" s="127" t="str">
        <v>あｙ</v>
      </c>
      <c r="R167" s="84">
        <v>1</v>
      </c>
      <c r="T167" s="100" t="e">
        <v>#N/A</v>
      </c>
      <c r="U167" s="121">
        <v>0</v>
      </c>
      <c r="V167" s="59" t="str">
        <v>AY</v>
      </c>
      <c r="W167" s="126" t="str">
        <v>ろ→</v>
      </c>
      <c r="X167" s="126">
        <v>0</v>
      </c>
      <c r="Y167" s="127" t="str">
        <v>あｙ</v>
      </c>
      <c r="Z167" s="90">
        <v>1</v>
      </c>
    </row>
    <row r="168" spans="1:26" x14ac:dyDescent="0.4">
      <c r="A168" s="52">
        <v>167</v>
      </c>
      <c r="B168" s="51">
        <f t="shared" si="14"/>
        <v>6</v>
      </c>
      <c r="C168" s="50">
        <f t="shared" si="15"/>
        <v>17</v>
      </c>
      <c r="D168" s="64" t="e">
        <f t="shared" si="16"/>
        <v>#N/A</v>
      </c>
      <c r="E168" s="121" cm="1">
        <f t="array" ref="E168">INDEX(InputArea,B168,C168)</f>
        <v>0</v>
      </c>
      <c r="F168" s="59" t="str">
        <f t="shared" si="17"/>
        <v>AU</v>
      </c>
      <c r="G168" s="59" t="str">
        <f t="shared" si="18"/>
        <v>ろBS</v>
      </c>
      <c r="H168" s="134"/>
      <c r="I168" s="136" t="s">
        <v>367</v>
      </c>
      <c r="J168" s="84">
        <f t="shared" si="19"/>
        <v>1</v>
      </c>
      <c r="K168" s="83"/>
      <c r="L168" s="64" t="e">
        <v>#N/A</v>
      </c>
      <c r="M168" s="121">
        <v>0</v>
      </c>
      <c r="N168" s="59" t="str">
        <v>AU</v>
      </c>
      <c r="O168" s="126" t="str">
        <v>ろBS</v>
      </c>
      <c r="P168" s="126">
        <v>0</v>
      </c>
      <c r="Q168" s="127" t="str">
        <v>あう</v>
      </c>
      <c r="R168" s="84">
        <v>1</v>
      </c>
      <c r="T168" s="100" t="e">
        <v>#N/A</v>
      </c>
      <c r="U168" s="121">
        <v>0</v>
      </c>
      <c r="V168" s="59" t="str">
        <v>AU</v>
      </c>
      <c r="W168" s="126" t="str">
        <v>ろBS</v>
      </c>
      <c r="X168" s="126">
        <v>0</v>
      </c>
      <c r="Y168" s="127" t="str">
        <v>あう</v>
      </c>
      <c r="Z168" s="90">
        <v>1</v>
      </c>
    </row>
    <row r="169" spans="1:26" x14ac:dyDescent="0.4">
      <c r="A169" s="52">
        <v>168</v>
      </c>
      <c r="B169" s="51">
        <f t="shared" si="14"/>
        <v>6</v>
      </c>
      <c r="C169" s="50">
        <f t="shared" si="15"/>
        <v>18</v>
      </c>
      <c r="D169" s="64" t="e">
        <f t="shared" si="16"/>
        <v>#N/A</v>
      </c>
      <c r="E169" s="121" cm="1">
        <f t="array" ref="E169">INDEX(InputArea,B169,C169)</f>
        <v>0</v>
      </c>
      <c r="F169" s="59" t="str">
        <f t="shared" si="17"/>
        <v>AI</v>
      </c>
      <c r="G169" s="59" t="str">
        <f t="shared" si="18"/>
        <v>ろる</v>
      </c>
      <c r="H169" s="134"/>
      <c r="I169" s="136" t="s">
        <v>368</v>
      </c>
      <c r="J169" s="84">
        <f t="shared" si="19"/>
        <v>1</v>
      </c>
      <c r="K169" s="83"/>
      <c r="L169" s="64" t="e">
        <v>#N/A</v>
      </c>
      <c r="M169" s="121">
        <v>0</v>
      </c>
      <c r="N169" s="59" t="str">
        <v>AI</v>
      </c>
      <c r="O169" s="126" t="str">
        <v>ろる</v>
      </c>
      <c r="P169" s="126">
        <v>0</v>
      </c>
      <c r="Q169" s="127" t="str">
        <v>あい</v>
      </c>
      <c r="R169" s="84">
        <v>1</v>
      </c>
      <c r="T169" s="100" t="e">
        <v>#N/A</v>
      </c>
      <c r="U169" s="121">
        <v>0</v>
      </c>
      <c r="V169" s="59" t="str">
        <v>AI</v>
      </c>
      <c r="W169" s="126" t="str">
        <v>ろる</v>
      </c>
      <c r="X169" s="126">
        <v>0</v>
      </c>
      <c r="Y169" s="127" t="str">
        <v>あい</v>
      </c>
      <c r="Z169" s="90">
        <v>1</v>
      </c>
    </row>
    <row r="170" spans="1:26" x14ac:dyDescent="0.4">
      <c r="A170" s="52">
        <v>169</v>
      </c>
      <c r="B170" s="51">
        <f t="shared" si="14"/>
        <v>6</v>
      </c>
      <c r="C170" s="50">
        <f t="shared" si="15"/>
        <v>19</v>
      </c>
      <c r="D170" s="64" t="e">
        <f t="shared" si="16"/>
        <v>#N/A</v>
      </c>
      <c r="E170" s="121" cm="1">
        <f t="array" ref="E170">INDEX(InputArea,B170,C170)</f>
        <v>0</v>
      </c>
      <c r="F170" s="59" t="str">
        <f t="shared" si="17"/>
        <v>AO</v>
      </c>
      <c r="G170" s="59" t="str">
        <f t="shared" si="18"/>
        <v>ろす</v>
      </c>
      <c r="H170" s="134"/>
      <c r="I170" s="136" t="s">
        <v>369</v>
      </c>
      <c r="J170" s="84">
        <f t="shared" si="19"/>
        <v>1</v>
      </c>
      <c r="K170" s="83"/>
      <c r="L170" s="64" t="e">
        <v>#N/A</v>
      </c>
      <c r="M170" s="121">
        <v>0</v>
      </c>
      <c r="N170" s="59" t="str">
        <v>AO</v>
      </c>
      <c r="O170" s="126" t="str">
        <v>ろす</v>
      </c>
      <c r="P170" s="126">
        <v>0</v>
      </c>
      <c r="Q170" s="127" t="str">
        <v>あお</v>
      </c>
      <c r="R170" s="84">
        <v>1</v>
      </c>
      <c r="T170" s="100" t="e">
        <v>#N/A</v>
      </c>
      <c r="U170" s="121">
        <v>0</v>
      </c>
      <c r="V170" s="59" t="str">
        <v>AO</v>
      </c>
      <c r="W170" s="126" t="str">
        <v>ろす</v>
      </c>
      <c r="X170" s="126">
        <v>0</v>
      </c>
      <c r="Y170" s="127" t="str">
        <v>あお</v>
      </c>
      <c r="Z170" s="90">
        <v>1</v>
      </c>
    </row>
    <row r="171" spans="1:26" x14ac:dyDescent="0.4">
      <c r="A171" s="52">
        <v>170</v>
      </c>
      <c r="B171" s="51">
        <f t="shared" si="14"/>
        <v>6</v>
      </c>
      <c r="C171" s="50">
        <f t="shared" si="15"/>
        <v>20</v>
      </c>
      <c r="D171" s="64" t="e">
        <f t="shared" si="16"/>
        <v>#N/A</v>
      </c>
      <c r="E171" s="121" cm="1">
        <f t="array" ref="E171">INDEX(InputArea,B171,C171)</f>
        <v>0</v>
      </c>
      <c r="F171" s="59" t="str">
        <f t="shared" si="17"/>
        <v>AP</v>
      </c>
      <c r="G171" s="59" t="str">
        <f t="shared" si="18"/>
        <v>ろへ</v>
      </c>
      <c r="H171" s="134"/>
      <c r="I171" s="136" t="s">
        <v>370</v>
      </c>
      <c r="J171" s="84">
        <f t="shared" si="19"/>
        <v>1</v>
      </c>
      <c r="K171" s="83"/>
      <c r="L171" s="64" t="e">
        <v>#N/A</v>
      </c>
      <c r="M171" s="121">
        <v>0</v>
      </c>
      <c r="N171" s="59" t="str">
        <v>AP</v>
      </c>
      <c r="O171" s="126" t="str">
        <v>ろへ</v>
      </c>
      <c r="P171" s="126">
        <v>0</v>
      </c>
      <c r="Q171" s="127" t="str">
        <v>あｐ</v>
      </c>
      <c r="R171" s="84">
        <v>1</v>
      </c>
      <c r="T171" s="100" t="e">
        <v>#N/A</v>
      </c>
      <c r="U171" s="121">
        <v>0</v>
      </c>
      <c r="V171" s="59" t="str">
        <v>AP</v>
      </c>
      <c r="W171" s="126" t="str">
        <v>ろへ</v>
      </c>
      <c r="X171" s="126">
        <v>0</v>
      </c>
      <c r="Y171" s="127" t="str">
        <v>あｐ</v>
      </c>
      <c r="Z171" s="90">
        <v>1</v>
      </c>
    </row>
    <row r="172" spans="1:26" x14ac:dyDescent="0.4">
      <c r="A172" s="52">
        <v>171</v>
      </c>
      <c r="B172" s="51">
        <f t="shared" si="14"/>
        <v>6</v>
      </c>
      <c r="C172" s="50">
        <f t="shared" si="15"/>
        <v>21</v>
      </c>
      <c r="D172" s="64" t="e">
        <f t="shared" si="16"/>
        <v>#N/A</v>
      </c>
      <c r="E172" s="121" cm="1">
        <f t="array" ref="E172">INDEX(InputArea,B172,C172)</f>
        <v>0</v>
      </c>
      <c r="F172" s="59" t="str">
        <f t="shared" si="17"/>
        <v>AH</v>
      </c>
      <c r="G172" s="59" t="str">
        <f t="shared" si="18"/>
        <v>ろく</v>
      </c>
      <c r="H172" s="134"/>
      <c r="I172" s="136" t="s">
        <v>371</v>
      </c>
      <c r="J172" s="84">
        <f t="shared" si="19"/>
        <v>1</v>
      </c>
      <c r="K172" s="83"/>
      <c r="L172" s="64" t="e">
        <v>#N/A</v>
      </c>
      <c r="M172" s="121">
        <v>0</v>
      </c>
      <c r="N172" s="59" t="str">
        <v>AH</v>
      </c>
      <c r="O172" s="126" t="str">
        <v>ろく</v>
      </c>
      <c r="P172" s="126">
        <v>0</v>
      </c>
      <c r="Q172" s="127" t="str">
        <v>あｈ</v>
      </c>
      <c r="R172" s="84">
        <v>1</v>
      </c>
      <c r="T172" s="100" t="e">
        <v>#N/A</v>
      </c>
      <c r="U172" s="121">
        <v>0</v>
      </c>
      <c r="V172" s="59" t="str">
        <v>AH</v>
      </c>
      <c r="W172" s="126" t="str">
        <v>ろく</v>
      </c>
      <c r="X172" s="126">
        <v>0</v>
      </c>
      <c r="Y172" s="127" t="str">
        <v>あｈ</v>
      </c>
      <c r="Z172" s="90">
        <v>1</v>
      </c>
    </row>
    <row r="173" spans="1:26" x14ac:dyDescent="0.4">
      <c r="A173" s="52">
        <v>172</v>
      </c>
      <c r="B173" s="51">
        <f t="shared" si="14"/>
        <v>6</v>
      </c>
      <c r="C173" s="50">
        <f t="shared" si="15"/>
        <v>22</v>
      </c>
      <c r="D173" s="64" t="e">
        <f t="shared" si="16"/>
        <v>#N/A</v>
      </c>
      <c r="E173" s="121" cm="1">
        <f t="array" ref="E173">INDEX(InputArea,B173,C173)</f>
        <v>0</v>
      </c>
      <c r="F173" s="59" t="str">
        <f t="shared" si="17"/>
        <v>AJ</v>
      </c>
      <c r="G173" s="59" t="str">
        <f t="shared" si="18"/>
        <v>ろあ</v>
      </c>
      <c r="H173" s="137" t="s">
        <v>257</v>
      </c>
      <c r="I173" s="136" t="s">
        <v>372</v>
      </c>
      <c r="J173" s="84">
        <f t="shared" si="19"/>
        <v>1</v>
      </c>
      <c r="K173" s="83"/>
      <c r="L173" s="64" t="e">
        <v>#N/A</v>
      </c>
      <c r="M173" s="121">
        <v>0</v>
      </c>
      <c r="N173" s="59" t="str">
        <v>AJ</v>
      </c>
      <c r="O173" s="126" t="str">
        <v>ろあ</v>
      </c>
      <c r="P173" s="126" t="str">
        <v>ぶ</v>
      </c>
      <c r="Q173" s="127" t="str">
        <v>あｊ</v>
      </c>
      <c r="R173" s="84">
        <v>1</v>
      </c>
      <c r="T173" s="100" t="e">
        <v>#N/A</v>
      </c>
      <c r="U173" s="121">
        <v>0</v>
      </c>
      <c r="V173" s="59" t="str">
        <v>AJ</v>
      </c>
      <c r="W173" s="126" t="str">
        <v>ろあ</v>
      </c>
      <c r="X173" s="126" t="str">
        <v>ぶ</v>
      </c>
      <c r="Y173" s="127" t="str">
        <v>あｊ</v>
      </c>
      <c r="Z173" s="90">
        <v>1</v>
      </c>
    </row>
    <row r="174" spans="1:26" x14ac:dyDescent="0.4">
      <c r="A174" s="52">
        <v>173</v>
      </c>
      <c r="B174" s="51">
        <f t="shared" si="14"/>
        <v>6</v>
      </c>
      <c r="C174" s="50">
        <f t="shared" si="15"/>
        <v>23</v>
      </c>
      <c r="D174" s="64" t="e">
        <f t="shared" si="16"/>
        <v>#N/A</v>
      </c>
      <c r="E174" s="121" cm="1">
        <f t="array" ref="E174">INDEX(InputArea,B174,C174)</f>
        <v>0</v>
      </c>
      <c r="F174" s="59" t="str">
        <f t="shared" si="17"/>
        <v>AK</v>
      </c>
      <c r="G174" s="59" t="str">
        <f t="shared" si="18"/>
        <v>ろい</v>
      </c>
      <c r="H174" s="134"/>
      <c r="I174" s="136" t="s">
        <v>373</v>
      </c>
      <c r="J174" s="84">
        <f t="shared" si="19"/>
        <v>1</v>
      </c>
      <c r="K174" s="83"/>
      <c r="L174" s="64" t="e">
        <v>#N/A</v>
      </c>
      <c r="M174" s="121">
        <v>0</v>
      </c>
      <c r="N174" s="59" t="str">
        <v>AK</v>
      </c>
      <c r="O174" s="126" t="str">
        <v>ろい</v>
      </c>
      <c r="P174" s="126">
        <v>0</v>
      </c>
      <c r="Q174" s="127" t="str">
        <v>あｋ</v>
      </c>
      <c r="R174" s="84">
        <v>1</v>
      </c>
      <c r="T174" s="100" t="e">
        <v>#N/A</v>
      </c>
      <c r="U174" s="121">
        <v>0</v>
      </c>
      <c r="V174" s="59" t="str">
        <v>AK</v>
      </c>
      <c r="W174" s="126" t="str">
        <v>ろい</v>
      </c>
      <c r="X174" s="126">
        <v>0</v>
      </c>
      <c r="Y174" s="127" t="str">
        <v>あｋ</v>
      </c>
      <c r="Z174" s="90">
        <v>1</v>
      </c>
    </row>
    <row r="175" spans="1:26" x14ac:dyDescent="0.4">
      <c r="A175" s="52">
        <v>174</v>
      </c>
      <c r="B175" s="51">
        <f t="shared" si="14"/>
        <v>6</v>
      </c>
      <c r="C175" s="50">
        <f t="shared" si="15"/>
        <v>24</v>
      </c>
      <c r="D175" s="64" t="e">
        <f t="shared" si="16"/>
        <v>#N/A</v>
      </c>
      <c r="E175" s="121" cm="1">
        <f t="array" ref="E175">INDEX(InputArea,B175,C175)</f>
        <v>0</v>
      </c>
      <c r="F175" s="59" t="str">
        <f t="shared" si="17"/>
        <v>AL</v>
      </c>
      <c r="G175" s="59" t="str">
        <f t="shared" si="18"/>
        <v>ろう</v>
      </c>
      <c r="H175" s="134"/>
      <c r="I175" s="136" t="s">
        <v>374</v>
      </c>
      <c r="J175" s="84">
        <f t="shared" si="19"/>
        <v>1</v>
      </c>
      <c r="K175" s="83"/>
      <c r="L175" s="64" t="e">
        <v>#N/A</v>
      </c>
      <c r="M175" s="121">
        <v>0</v>
      </c>
      <c r="N175" s="59" t="str">
        <v>AL</v>
      </c>
      <c r="O175" s="126" t="str">
        <v>ろう</v>
      </c>
      <c r="P175" s="126">
        <v>0</v>
      </c>
      <c r="Q175" s="127" t="str">
        <v>あｌ</v>
      </c>
      <c r="R175" s="84">
        <v>1</v>
      </c>
      <c r="T175" s="100" t="e">
        <v>#N/A</v>
      </c>
      <c r="U175" s="121">
        <v>0</v>
      </c>
      <c r="V175" s="59" t="str">
        <v>AL</v>
      </c>
      <c r="W175" s="126" t="str">
        <v>ろう</v>
      </c>
      <c r="X175" s="126">
        <v>0</v>
      </c>
      <c r="Y175" s="127" t="str">
        <v>あｌ</v>
      </c>
      <c r="Z175" s="90">
        <v>1</v>
      </c>
    </row>
    <row r="176" spans="1:26" x14ac:dyDescent="0.4">
      <c r="A176" s="52">
        <v>175</v>
      </c>
      <c r="B176" s="51">
        <f t="shared" si="14"/>
        <v>6</v>
      </c>
      <c r="C176" s="50">
        <f t="shared" si="15"/>
        <v>25</v>
      </c>
      <c r="D176" s="64" t="e">
        <f t="shared" si="16"/>
        <v>#N/A</v>
      </c>
      <c r="E176" s="121" cm="1">
        <f t="array" ref="E176">INDEX(InputArea,B176,C176)</f>
        <v>0</v>
      </c>
      <c r="F176" s="59" t="str">
        <f t="shared" si="17"/>
        <v>A;</v>
      </c>
      <c r="G176" s="59" t="str">
        <f t="shared" si="18"/>
        <v>ろー</v>
      </c>
      <c r="H176" s="134"/>
      <c r="I176" s="135"/>
      <c r="J176" s="84">
        <f t="shared" si="19"/>
        <v>1</v>
      </c>
      <c r="K176" s="83"/>
      <c r="L176" s="64" t="e">
        <v>#N/A</v>
      </c>
      <c r="M176" s="121">
        <v>0</v>
      </c>
      <c r="N176" s="59" t="str">
        <v>A;</v>
      </c>
      <c r="O176" s="126" t="str">
        <v>ろー</v>
      </c>
      <c r="P176" s="126">
        <v>0</v>
      </c>
      <c r="Q176" s="127">
        <v>0</v>
      </c>
      <c r="R176" s="84">
        <v>1</v>
      </c>
      <c r="T176" s="100" t="e">
        <v>#N/A</v>
      </c>
      <c r="U176" s="121">
        <v>0</v>
      </c>
      <c r="V176" s="59" t="str">
        <v>A;</v>
      </c>
      <c r="W176" s="126" t="str">
        <v>ろー</v>
      </c>
      <c r="X176" s="126">
        <v>0</v>
      </c>
      <c r="Y176" s="127">
        <v>0</v>
      </c>
      <c r="Z176" s="90">
        <v>1</v>
      </c>
    </row>
    <row r="177" spans="1:26" x14ac:dyDescent="0.4">
      <c r="A177" s="52">
        <v>176</v>
      </c>
      <c r="B177" s="51">
        <f t="shared" si="14"/>
        <v>6</v>
      </c>
      <c r="C177" s="50">
        <f t="shared" si="15"/>
        <v>26</v>
      </c>
      <c r="D177" s="64" t="e">
        <f t="shared" si="16"/>
        <v>#N/A</v>
      </c>
      <c r="E177" s="121" cm="1">
        <f t="array" ref="E177">INDEX(InputArea,B177,C177)</f>
        <v>0</v>
      </c>
      <c r="F177" s="59" t="str">
        <f t="shared" si="17"/>
        <v>AN</v>
      </c>
      <c r="G177" s="59" t="str">
        <f t="shared" si="18"/>
        <v>ろた</v>
      </c>
      <c r="H177" s="134"/>
      <c r="I177" s="136" t="s">
        <v>375</v>
      </c>
      <c r="J177" s="84">
        <f t="shared" si="19"/>
        <v>1</v>
      </c>
      <c r="K177" s="83"/>
      <c r="L177" s="64" t="e">
        <v>#N/A</v>
      </c>
      <c r="M177" s="121">
        <v>0</v>
      </c>
      <c r="N177" s="59" t="str">
        <v>AN</v>
      </c>
      <c r="O177" s="126" t="str">
        <v>ろた</v>
      </c>
      <c r="P177" s="126">
        <v>0</v>
      </c>
      <c r="Q177" s="127" t="str">
        <v>あｎ</v>
      </c>
      <c r="R177" s="84">
        <v>1</v>
      </c>
      <c r="T177" s="100" t="e">
        <v>#N/A</v>
      </c>
      <c r="U177" s="121">
        <v>0</v>
      </c>
      <c r="V177" s="59" t="str">
        <v>AN</v>
      </c>
      <c r="W177" s="126" t="str">
        <v>ろた</v>
      </c>
      <c r="X177" s="126">
        <v>0</v>
      </c>
      <c r="Y177" s="127" t="str">
        <v>あｎ</v>
      </c>
      <c r="Z177" s="90">
        <v>1</v>
      </c>
    </row>
    <row r="178" spans="1:26" x14ac:dyDescent="0.4">
      <c r="A178" s="52">
        <v>177</v>
      </c>
      <c r="B178" s="51">
        <f t="shared" si="14"/>
        <v>6</v>
      </c>
      <c r="C178" s="50">
        <f t="shared" si="15"/>
        <v>27</v>
      </c>
      <c r="D178" s="64" t="e">
        <f t="shared" si="16"/>
        <v>#N/A</v>
      </c>
      <c r="E178" s="121" cm="1">
        <f t="array" ref="E178">INDEX(InputArea,B178,C178)</f>
        <v>0</v>
      </c>
      <c r="F178" s="59" t="str">
        <f t="shared" si="17"/>
        <v>AM</v>
      </c>
      <c r="G178" s="59" t="str">
        <f t="shared" si="18"/>
        <v>ろな</v>
      </c>
      <c r="H178" s="134"/>
      <c r="I178" s="136" t="s">
        <v>376</v>
      </c>
      <c r="J178" s="84">
        <f t="shared" si="19"/>
        <v>1</v>
      </c>
      <c r="K178" s="83"/>
      <c r="L178" s="64" t="e">
        <v>#N/A</v>
      </c>
      <c r="M178" s="121">
        <v>0</v>
      </c>
      <c r="N178" s="59" t="str">
        <v>AM</v>
      </c>
      <c r="O178" s="126" t="str">
        <v>ろな</v>
      </c>
      <c r="P178" s="126">
        <v>0</v>
      </c>
      <c r="Q178" s="127" t="str">
        <v>あｍ</v>
      </c>
      <c r="R178" s="84">
        <v>1</v>
      </c>
      <c r="T178" s="100" t="e">
        <v>#N/A</v>
      </c>
      <c r="U178" s="121">
        <v>0</v>
      </c>
      <c r="V178" s="59" t="str">
        <v>AM</v>
      </c>
      <c r="W178" s="126" t="str">
        <v>ろな</v>
      </c>
      <c r="X178" s="126">
        <v>0</v>
      </c>
      <c r="Y178" s="127" t="str">
        <v>あｍ</v>
      </c>
      <c r="Z178" s="90">
        <v>1</v>
      </c>
    </row>
    <row r="179" spans="1:26" x14ac:dyDescent="0.4">
      <c r="A179" s="52">
        <v>178</v>
      </c>
      <c r="B179" s="51">
        <f t="shared" si="14"/>
        <v>6</v>
      </c>
      <c r="C179" s="50">
        <f t="shared" si="15"/>
        <v>28</v>
      </c>
      <c r="D179" s="64" t="e">
        <f t="shared" si="16"/>
        <v>#N/A</v>
      </c>
      <c r="E179" s="121" cm="1">
        <f t="array" ref="E179">INDEX(InputArea,B179,C179)</f>
        <v>0</v>
      </c>
      <c r="F179" s="59" t="str">
        <f t="shared" si="17"/>
        <v>A,</v>
      </c>
      <c r="G179" s="59" t="str">
        <f t="shared" si="18"/>
        <v>ろん</v>
      </c>
      <c r="H179" s="134"/>
      <c r="I179" s="136" t="s">
        <v>377</v>
      </c>
      <c r="J179" s="84">
        <f t="shared" si="19"/>
        <v>1</v>
      </c>
      <c r="K179" s="83"/>
      <c r="L179" s="64" t="e">
        <v>#N/A</v>
      </c>
      <c r="M179" s="121">
        <v>0</v>
      </c>
      <c r="N179" s="59" t="str">
        <v>A,</v>
      </c>
      <c r="O179" s="126" t="str">
        <v>ろん</v>
      </c>
      <c r="P179" s="126">
        <v>0</v>
      </c>
      <c r="Q179" s="127" t="str">
        <v>あ、</v>
      </c>
      <c r="R179" s="84">
        <v>1</v>
      </c>
      <c r="T179" s="100" t="e">
        <v>#N/A</v>
      </c>
      <c r="U179" s="121">
        <v>0</v>
      </c>
      <c r="V179" s="59" t="str">
        <v>A,</v>
      </c>
      <c r="W179" s="126" t="str">
        <v>ろん</v>
      </c>
      <c r="X179" s="126">
        <v>0</v>
      </c>
      <c r="Y179" s="127" t="str">
        <v>あ、</v>
      </c>
      <c r="Z179" s="90">
        <v>1</v>
      </c>
    </row>
    <row r="180" spans="1:26" x14ac:dyDescent="0.4">
      <c r="A180" s="52">
        <v>179</v>
      </c>
      <c r="B180" s="51">
        <f t="shared" si="14"/>
        <v>6</v>
      </c>
      <c r="C180" s="50">
        <f t="shared" si="15"/>
        <v>29</v>
      </c>
      <c r="D180" s="64" t="e">
        <f t="shared" si="16"/>
        <v>#N/A</v>
      </c>
      <c r="E180" s="121" cm="1">
        <f t="array" ref="E180">INDEX(InputArea,B180,C180)</f>
        <v>0</v>
      </c>
      <c r="F180" s="59" t="str">
        <f t="shared" si="17"/>
        <v>A.</v>
      </c>
      <c r="G180" s="59" t="str">
        <f t="shared" si="18"/>
        <v>ろら</v>
      </c>
      <c r="H180" s="134"/>
      <c r="I180" s="136" t="s">
        <v>378</v>
      </c>
      <c r="J180" s="84">
        <f t="shared" si="19"/>
        <v>1</v>
      </c>
      <c r="K180" s="83"/>
      <c r="L180" s="64" t="e">
        <v>#N/A</v>
      </c>
      <c r="M180" s="121">
        <v>0</v>
      </c>
      <c r="N180" s="59" t="str">
        <v>A.</v>
      </c>
      <c r="O180" s="126" t="str">
        <v>ろら</v>
      </c>
      <c r="P180" s="126">
        <v>0</v>
      </c>
      <c r="Q180" s="127" t="str">
        <v>あ。</v>
      </c>
      <c r="R180" s="84">
        <v>1</v>
      </c>
      <c r="T180" s="100" t="e">
        <v>#N/A</v>
      </c>
      <c r="U180" s="121">
        <v>0</v>
      </c>
      <c r="V180" s="59" t="str">
        <v>A.</v>
      </c>
      <c r="W180" s="126" t="str">
        <v>ろら</v>
      </c>
      <c r="X180" s="126">
        <v>0</v>
      </c>
      <c r="Y180" s="127" t="str">
        <v>あ。</v>
      </c>
      <c r="Z180" s="90">
        <v>1</v>
      </c>
    </row>
    <row r="181" spans="1:26" x14ac:dyDescent="0.4">
      <c r="A181" s="52">
        <v>180</v>
      </c>
      <c r="B181" s="51">
        <f t="shared" si="14"/>
        <v>6</v>
      </c>
      <c r="C181" s="50">
        <f t="shared" si="15"/>
        <v>30</v>
      </c>
      <c r="D181" s="64" t="e">
        <f t="shared" si="16"/>
        <v>#N/A</v>
      </c>
      <c r="E181" s="121" cm="1">
        <f t="array" ref="E181">INDEX(InputArea,B181,C181)</f>
        <v>0</v>
      </c>
      <c r="F181" s="59" t="str">
        <f t="shared" si="17"/>
        <v>A/</v>
      </c>
      <c r="G181" s="59" t="str">
        <f t="shared" si="18"/>
        <v>ろれ</v>
      </c>
      <c r="H181" s="134"/>
      <c r="I181" s="135"/>
      <c r="J181" s="84">
        <f t="shared" si="19"/>
        <v>1</v>
      </c>
      <c r="K181" s="83"/>
      <c r="L181" s="64" t="e">
        <v>#N/A</v>
      </c>
      <c r="M181" s="121">
        <v>0</v>
      </c>
      <c r="N181" s="59" t="str">
        <v>A/</v>
      </c>
      <c r="O181" s="126" t="str">
        <v>ろれ</v>
      </c>
      <c r="P181" s="126">
        <v>0</v>
      </c>
      <c r="Q181" s="127">
        <v>0</v>
      </c>
      <c r="R181" s="84">
        <v>1</v>
      </c>
      <c r="T181" s="100" t="e">
        <v>#N/A</v>
      </c>
      <c r="U181" s="121">
        <v>0</v>
      </c>
      <c r="V181" s="59" t="str">
        <v>A/</v>
      </c>
      <c r="W181" s="126" t="str">
        <v>ろれ</v>
      </c>
      <c r="X181" s="126">
        <v>0</v>
      </c>
      <c r="Y181" s="127">
        <v>0</v>
      </c>
      <c r="Z181" s="90">
        <v>1</v>
      </c>
    </row>
    <row r="182" spans="1:26" x14ac:dyDescent="0.4">
      <c r="A182" s="52">
        <v>181</v>
      </c>
      <c r="B182" s="51">
        <f t="shared" si="14"/>
        <v>7</v>
      </c>
      <c r="C182" s="50">
        <f t="shared" si="15"/>
        <v>1</v>
      </c>
      <c r="D182" s="64" t="e">
        <f t="shared" si="16"/>
        <v>#N/A</v>
      </c>
      <c r="E182" s="121" cm="1">
        <f t="array" ref="E182">INDEX(InputArea,B182,C182)</f>
        <v>0</v>
      </c>
      <c r="F182" s="59" t="str">
        <f t="shared" si="17"/>
        <v>SQ</v>
      </c>
      <c r="G182" s="59" t="str">
        <f t="shared" si="18"/>
        <v>けヴ</v>
      </c>
      <c r="H182" s="134"/>
      <c r="I182" s="135"/>
      <c r="J182" s="84">
        <f t="shared" si="19"/>
        <v>0</v>
      </c>
      <c r="K182" s="83"/>
      <c r="L182" s="64" t="e">
        <v>#N/A</v>
      </c>
      <c r="M182" s="121">
        <v>0</v>
      </c>
      <c r="N182" s="59" t="str">
        <v>SQ</v>
      </c>
      <c r="O182" s="126" t="str">
        <v>けヴ</v>
      </c>
      <c r="P182" s="126">
        <v>0</v>
      </c>
      <c r="Q182" s="127">
        <v>0</v>
      </c>
      <c r="R182" s="84">
        <v>0</v>
      </c>
      <c r="T182" s="100" t="e">
        <v>#N/A</v>
      </c>
      <c r="U182" s="121">
        <v>0</v>
      </c>
      <c r="V182" s="59" t="str">
        <v>SQ</v>
      </c>
      <c r="W182" s="126" t="str">
        <v>けヴ</v>
      </c>
      <c r="X182" s="126">
        <v>0</v>
      </c>
      <c r="Y182" s="127">
        <v>0</v>
      </c>
      <c r="Z182" s="90">
        <v>0</v>
      </c>
    </row>
    <row r="183" spans="1:26" x14ac:dyDescent="0.4">
      <c r="A183" s="52">
        <v>182</v>
      </c>
      <c r="B183" s="51">
        <f t="shared" si="14"/>
        <v>7</v>
      </c>
      <c r="C183" s="50">
        <f t="shared" si="15"/>
        <v>2</v>
      </c>
      <c r="D183" s="64" t="e">
        <f t="shared" si="16"/>
        <v>#N/A</v>
      </c>
      <c r="E183" s="121" cm="1">
        <f t="array" ref="E183">INDEX(InputArea,B183,C183)</f>
        <v>0</v>
      </c>
      <c r="F183" s="59" t="str">
        <f t="shared" si="17"/>
        <v>SW</v>
      </c>
      <c r="G183" s="59" t="str">
        <f t="shared" si="18"/>
        <v>けき</v>
      </c>
      <c r="H183" s="134"/>
      <c r="I183" s="135"/>
      <c r="J183" s="84">
        <f t="shared" si="19"/>
        <v>0</v>
      </c>
      <c r="K183" s="83"/>
      <c r="L183" s="64" t="e">
        <v>#N/A</v>
      </c>
      <c r="M183" s="121">
        <v>0</v>
      </c>
      <c r="N183" s="59" t="str">
        <v>SW</v>
      </c>
      <c r="O183" s="126" t="str">
        <v>けき</v>
      </c>
      <c r="P183" s="126">
        <v>0</v>
      </c>
      <c r="Q183" s="127">
        <v>0</v>
      </c>
      <c r="R183" s="84">
        <v>0</v>
      </c>
      <c r="T183" s="100" t="e">
        <v>#N/A</v>
      </c>
      <c r="U183" s="121">
        <v>0</v>
      </c>
      <c r="V183" s="59" t="str">
        <v>SW</v>
      </c>
      <c r="W183" s="126" t="str">
        <v>けき</v>
      </c>
      <c r="X183" s="126">
        <v>0</v>
      </c>
      <c r="Y183" s="127">
        <v>0</v>
      </c>
      <c r="Z183" s="90">
        <v>0</v>
      </c>
    </row>
    <row r="184" spans="1:26" x14ac:dyDescent="0.4">
      <c r="A184" s="52">
        <v>183</v>
      </c>
      <c r="B184" s="51">
        <f t="shared" si="14"/>
        <v>7</v>
      </c>
      <c r="C184" s="50">
        <f t="shared" si="15"/>
        <v>3</v>
      </c>
      <c r="D184" s="64" t="e">
        <f t="shared" si="16"/>
        <v>#N/A</v>
      </c>
      <c r="E184" s="121" cm="1">
        <f t="array" ref="E184">INDEX(InputArea,B184,C184)</f>
        <v>0</v>
      </c>
      <c r="F184" s="59" t="str">
        <f t="shared" si="17"/>
        <v>SE</v>
      </c>
      <c r="G184" s="59" t="str">
        <f t="shared" si="18"/>
        <v>けて</v>
      </c>
      <c r="H184" s="134"/>
      <c r="I184" s="136" t="s">
        <v>379</v>
      </c>
      <c r="J184" s="84">
        <f t="shared" si="19"/>
        <v>0</v>
      </c>
      <c r="K184" s="83"/>
      <c r="L184" s="64" t="e">
        <v>#N/A</v>
      </c>
      <c r="M184" s="121">
        <v>0</v>
      </c>
      <c r="N184" s="59" t="str">
        <v>SE</v>
      </c>
      <c r="O184" s="126" t="str">
        <v>けて</v>
      </c>
      <c r="P184" s="126">
        <v>0</v>
      </c>
      <c r="Q184" s="127" t="str">
        <v>せ</v>
      </c>
      <c r="R184" s="84">
        <v>0</v>
      </c>
      <c r="T184" s="100" t="e">
        <v>#N/A</v>
      </c>
      <c r="U184" s="121">
        <v>0</v>
      </c>
      <c r="V184" s="59" t="str">
        <v>SE</v>
      </c>
      <c r="W184" s="126" t="str">
        <v>けて</v>
      </c>
      <c r="X184" s="126">
        <v>0</v>
      </c>
      <c r="Y184" s="127" t="str">
        <v>せ</v>
      </c>
      <c r="Z184" s="90">
        <v>0</v>
      </c>
    </row>
    <row r="185" spans="1:26" x14ac:dyDescent="0.4">
      <c r="A185" s="52">
        <v>184</v>
      </c>
      <c r="B185" s="51">
        <f t="shared" si="14"/>
        <v>7</v>
      </c>
      <c r="C185" s="50">
        <f t="shared" si="15"/>
        <v>4</v>
      </c>
      <c r="D185" s="64" t="e">
        <f t="shared" si="16"/>
        <v>#N/A</v>
      </c>
      <c r="E185" s="121" cm="1">
        <f t="array" ref="E185">INDEX(InputArea,B185,C185)</f>
        <v>0</v>
      </c>
      <c r="F185" s="59" t="str">
        <f t="shared" si="17"/>
        <v>SR</v>
      </c>
      <c r="G185" s="59" t="str">
        <f t="shared" si="18"/>
        <v>けし</v>
      </c>
      <c r="H185" s="134"/>
      <c r="I185" s="135"/>
      <c r="J185" s="84">
        <f t="shared" si="19"/>
        <v>0</v>
      </c>
      <c r="K185" s="83"/>
      <c r="L185" s="64" t="e">
        <v>#N/A</v>
      </c>
      <c r="M185" s="121">
        <v>0</v>
      </c>
      <c r="N185" s="59" t="str">
        <v>SR</v>
      </c>
      <c r="O185" s="126" t="str">
        <v>けし</v>
      </c>
      <c r="P185" s="126">
        <v>0</v>
      </c>
      <c r="Q185" s="127">
        <v>0</v>
      </c>
      <c r="R185" s="84">
        <v>0</v>
      </c>
      <c r="T185" s="100" t="e">
        <v>#N/A</v>
      </c>
      <c r="U185" s="121">
        <v>0</v>
      </c>
      <c r="V185" s="59" t="str">
        <v>SR</v>
      </c>
      <c r="W185" s="126" t="str">
        <v>けし</v>
      </c>
      <c r="X185" s="126">
        <v>0</v>
      </c>
      <c r="Y185" s="127">
        <v>0</v>
      </c>
      <c r="Z185" s="90">
        <v>0</v>
      </c>
    </row>
    <row r="186" spans="1:26" x14ac:dyDescent="0.4">
      <c r="A186" s="52">
        <v>185</v>
      </c>
      <c r="B186" s="51">
        <f t="shared" si="14"/>
        <v>7</v>
      </c>
      <c r="C186" s="50">
        <f t="shared" si="15"/>
        <v>5</v>
      </c>
      <c r="D186" s="64" t="e">
        <f t="shared" si="16"/>
        <v>#N/A</v>
      </c>
      <c r="E186" s="121" cm="1">
        <f t="array" ref="E186">INDEX(InputArea,B186,C186)</f>
        <v>0</v>
      </c>
      <c r="F186" s="59" t="str">
        <f t="shared" si="17"/>
        <v>ST</v>
      </c>
      <c r="G186" s="59" t="str">
        <f t="shared" si="18"/>
        <v>け←</v>
      </c>
      <c r="H186" s="134"/>
      <c r="I186" s="135"/>
      <c r="J186" s="84">
        <f t="shared" si="19"/>
        <v>0</v>
      </c>
      <c r="K186" s="83"/>
      <c r="L186" s="64" t="e">
        <v>#N/A</v>
      </c>
      <c r="M186" s="121">
        <v>0</v>
      </c>
      <c r="N186" s="59" t="str">
        <v>ST</v>
      </c>
      <c r="O186" s="126" t="str">
        <v>け←</v>
      </c>
      <c r="P186" s="126">
        <v>0</v>
      </c>
      <c r="Q186" s="127">
        <v>0</v>
      </c>
      <c r="R186" s="84">
        <v>0</v>
      </c>
      <c r="T186" s="100" t="e">
        <v>#N/A</v>
      </c>
      <c r="U186" s="121">
        <v>0</v>
      </c>
      <c r="V186" s="59" t="str">
        <v>ST</v>
      </c>
      <c r="W186" s="126" t="str">
        <v>け←</v>
      </c>
      <c r="X186" s="126">
        <v>0</v>
      </c>
      <c r="Y186" s="127">
        <v>0</v>
      </c>
      <c r="Z186" s="90">
        <v>0</v>
      </c>
    </row>
    <row r="187" spans="1:26" x14ac:dyDescent="0.4">
      <c r="A187" s="52">
        <v>186</v>
      </c>
      <c r="B187" s="51">
        <f t="shared" si="14"/>
        <v>7</v>
      </c>
      <c r="C187" s="50">
        <f t="shared" si="15"/>
        <v>6</v>
      </c>
      <c r="D187" s="64" t="e">
        <f t="shared" si="16"/>
        <v>#N/A</v>
      </c>
      <c r="E187" s="121" cm="1">
        <f t="array" ref="E187">INDEX(InputArea,B187,C187)</f>
        <v>0</v>
      </c>
      <c r="F187" s="59" t="str">
        <f t="shared" si="17"/>
        <v>SA</v>
      </c>
      <c r="G187" s="59" t="str">
        <f t="shared" si="18"/>
        <v>けろ</v>
      </c>
      <c r="H187" s="134"/>
      <c r="I187" s="136" t="s">
        <v>380</v>
      </c>
      <c r="J187" s="84">
        <f t="shared" si="19"/>
        <v>0</v>
      </c>
      <c r="K187" s="83"/>
      <c r="L187" s="64" t="e">
        <v>#N/A</v>
      </c>
      <c r="M187" s="121">
        <v>0</v>
      </c>
      <c r="N187" s="59" t="str">
        <v>SA</v>
      </c>
      <c r="O187" s="126" t="str">
        <v>けろ</v>
      </c>
      <c r="P187" s="126">
        <v>0</v>
      </c>
      <c r="Q187" s="127" t="str">
        <v>さ</v>
      </c>
      <c r="R187" s="84">
        <v>0</v>
      </c>
      <c r="T187" s="100" t="e">
        <v>#N/A</v>
      </c>
      <c r="U187" s="121">
        <v>0</v>
      </c>
      <c r="V187" s="59" t="str">
        <v>SA</v>
      </c>
      <c r="W187" s="126" t="str">
        <v>けろ</v>
      </c>
      <c r="X187" s="126">
        <v>0</v>
      </c>
      <c r="Y187" s="127" t="str">
        <v>さ</v>
      </c>
      <c r="Z187" s="90">
        <v>0</v>
      </c>
    </row>
    <row r="188" spans="1:26" x14ac:dyDescent="0.4">
      <c r="A188" s="52">
        <v>187</v>
      </c>
      <c r="B188" s="51">
        <f t="shared" si="14"/>
        <v>7</v>
      </c>
      <c r="C188" s="50">
        <f t="shared" si="15"/>
        <v>7</v>
      </c>
      <c r="D188" s="64" t="e">
        <f t="shared" si="16"/>
        <v>#N/A</v>
      </c>
      <c r="E188" s="121" cm="1">
        <f t="array" ref="E188">INDEX(InputArea,B188,C188)</f>
        <v>0</v>
      </c>
      <c r="F188" s="59" t="str">
        <f t="shared" si="17"/>
        <v>SS</v>
      </c>
      <c r="G188" s="59" t="str">
        <f t="shared" si="18"/>
        <v>けけ</v>
      </c>
      <c r="H188" s="134"/>
      <c r="I188" s="136" t="s">
        <v>381</v>
      </c>
      <c r="J188" s="84">
        <f t="shared" si="19"/>
        <v>0</v>
      </c>
      <c r="K188" s="83"/>
      <c r="L188" s="64" t="e">
        <v>#N/A</v>
      </c>
      <c r="M188" s="121">
        <v>0</v>
      </c>
      <c r="N188" s="59" t="str">
        <v>SS</v>
      </c>
      <c r="O188" s="126" t="str">
        <v>けけ</v>
      </c>
      <c r="P188" s="126">
        <v>0</v>
      </c>
      <c r="Q188" s="127" t="str">
        <v>っｓ</v>
      </c>
      <c r="R188" s="84">
        <v>0</v>
      </c>
      <c r="T188" s="100" t="e">
        <v>#N/A</v>
      </c>
      <c r="U188" s="121">
        <v>0</v>
      </c>
      <c r="V188" s="59" t="str">
        <v>SS</v>
      </c>
      <c r="W188" s="126" t="str">
        <v>けけ</v>
      </c>
      <c r="X188" s="126">
        <v>0</v>
      </c>
      <c r="Y188" s="127" t="str">
        <v>っｓ</v>
      </c>
      <c r="Z188" s="90">
        <v>0</v>
      </c>
    </row>
    <row r="189" spans="1:26" x14ac:dyDescent="0.4">
      <c r="A189" s="52">
        <v>188</v>
      </c>
      <c r="B189" s="51">
        <f t="shared" si="14"/>
        <v>7</v>
      </c>
      <c r="C189" s="50">
        <f t="shared" si="15"/>
        <v>8</v>
      </c>
      <c r="D189" s="64" t="e">
        <f t="shared" si="16"/>
        <v>#N/A</v>
      </c>
      <c r="E189" s="121" cm="1">
        <f t="array" ref="E189">INDEX(InputArea,B189,C189)</f>
        <v>0</v>
      </c>
      <c r="F189" s="59" t="str">
        <f t="shared" si="17"/>
        <v>SD</v>
      </c>
      <c r="G189" s="59" t="str">
        <f t="shared" si="18"/>
        <v>けと</v>
      </c>
      <c r="H189" s="134"/>
      <c r="I189" s="135"/>
      <c r="J189" s="84">
        <f t="shared" si="19"/>
        <v>0</v>
      </c>
      <c r="K189" s="83"/>
      <c r="L189" s="64" t="e">
        <v>#N/A</v>
      </c>
      <c r="M189" s="121">
        <v>0</v>
      </c>
      <c r="N189" s="59" t="str">
        <v>SD</v>
      </c>
      <c r="O189" s="126" t="str">
        <v>けと</v>
      </c>
      <c r="P189" s="126">
        <v>0</v>
      </c>
      <c r="Q189" s="127">
        <v>0</v>
      </c>
      <c r="R189" s="84">
        <v>0</v>
      </c>
      <c r="T189" s="100" t="e">
        <v>#N/A</v>
      </c>
      <c r="U189" s="121">
        <v>0</v>
      </c>
      <c r="V189" s="59" t="str">
        <v>SD</v>
      </c>
      <c r="W189" s="126" t="str">
        <v>けと</v>
      </c>
      <c r="X189" s="126">
        <v>0</v>
      </c>
      <c r="Y189" s="127">
        <v>0</v>
      </c>
      <c r="Z189" s="90">
        <v>0</v>
      </c>
    </row>
    <row r="190" spans="1:26" x14ac:dyDescent="0.4">
      <c r="A190" s="52">
        <v>189</v>
      </c>
      <c r="B190" s="51">
        <f t="shared" si="14"/>
        <v>7</v>
      </c>
      <c r="C190" s="50">
        <f t="shared" si="15"/>
        <v>9</v>
      </c>
      <c r="D190" s="64" t="e">
        <f t="shared" si="16"/>
        <v>#N/A</v>
      </c>
      <c r="E190" s="121" cm="1">
        <f t="array" ref="E190">INDEX(InputArea,B190,C190)</f>
        <v>0</v>
      </c>
      <c r="F190" s="59" t="str">
        <f t="shared" si="17"/>
        <v>SF</v>
      </c>
      <c r="G190" s="59" t="str">
        <f t="shared" si="18"/>
        <v>けか</v>
      </c>
      <c r="H190" s="134"/>
      <c r="I190" s="135"/>
      <c r="J190" s="84">
        <f t="shared" si="19"/>
        <v>0</v>
      </c>
      <c r="K190" s="83"/>
      <c r="L190" s="64" t="e">
        <v>#N/A</v>
      </c>
      <c r="M190" s="121">
        <v>0</v>
      </c>
      <c r="N190" s="59" t="str">
        <v>SF</v>
      </c>
      <c r="O190" s="126" t="str">
        <v>けか</v>
      </c>
      <c r="P190" s="126">
        <v>0</v>
      </c>
      <c r="Q190" s="127">
        <v>0</v>
      </c>
      <c r="R190" s="84">
        <v>0</v>
      </c>
      <c r="T190" s="100" t="e">
        <v>#N/A</v>
      </c>
      <c r="U190" s="121">
        <v>0</v>
      </c>
      <c r="V190" s="59" t="str">
        <v>SF</v>
      </c>
      <c r="W190" s="126" t="str">
        <v>けか</v>
      </c>
      <c r="X190" s="126">
        <v>0</v>
      </c>
      <c r="Y190" s="127">
        <v>0</v>
      </c>
      <c r="Z190" s="90">
        <v>0</v>
      </c>
    </row>
    <row r="191" spans="1:26" x14ac:dyDescent="0.4">
      <c r="A191" s="52">
        <v>190</v>
      </c>
      <c r="B191" s="51">
        <f t="shared" si="14"/>
        <v>7</v>
      </c>
      <c r="C191" s="50">
        <f t="shared" si="15"/>
        <v>10</v>
      </c>
      <c r="D191" s="64" t="e">
        <f t="shared" si="16"/>
        <v>#N/A</v>
      </c>
      <c r="E191" s="121" cm="1">
        <f t="array" ref="E191">INDEX(InputArea,B191,C191)</f>
        <v>0</v>
      </c>
      <c r="F191" s="59" t="str">
        <f t="shared" si="17"/>
        <v>SG</v>
      </c>
      <c r="G191" s="59" t="str">
        <f t="shared" si="18"/>
        <v>けっ</v>
      </c>
      <c r="H191" s="134"/>
      <c r="I191" s="135"/>
      <c r="J191" s="84">
        <f t="shared" si="19"/>
        <v>0</v>
      </c>
      <c r="K191" s="83"/>
      <c r="L191" s="64" t="e">
        <v>#N/A</v>
      </c>
      <c r="M191" s="121">
        <v>0</v>
      </c>
      <c r="N191" s="59" t="str">
        <v>SG</v>
      </c>
      <c r="O191" s="126" t="str">
        <v>けっ</v>
      </c>
      <c r="P191" s="126">
        <v>0</v>
      </c>
      <c r="Q191" s="127">
        <v>0</v>
      </c>
      <c r="R191" s="84">
        <v>0</v>
      </c>
      <c r="T191" s="100" t="e">
        <v>#N/A</v>
      </c>
      <c r="U191" s="121">
        <v>0</v>
      </c>
      <c r="V191" s="59" t="str">
        <v>SG</v>
      </c>
      <c r="W191" s="126" t="str">
        <v>けっ</v>
      </c>
      <c r="X191" s="126">
        <v>0</v>
      </c>
      <c r="Y191" s="127">
        <v>0</v>
      </c>
      <c r="Z191" s="90">
        <v>0</v>
      </c>
    </row>
    <row r="192" spans="1:26" x14ac:dyDescent="0.4">
      <c r="A192" s="52">
        <v>191</v>
      </c>
      <c r="B192" s="51">
        <f t="shared" si="14"/>
        <v>7</v>
      </c>
      <c r="C192" s="50">
        <f t="shared" si="15"/>
        <v>11</v>
      </c>
      <c r="D192" s="64" t="e">
        <f t="shared" si="16"/>
        <v>#N/A</v>
      </c>
      <c r="E192" s="121" cm="1">
        <f t="array" ref="E192">INDEX(InputArea,B192,C192)</f>
        <v>0</v>
      </c>
      <c r="F192" s="59" t="str">
        <f t="shared" si="17"/>
        <v>SZ</v>
      </c>
      <c r="G192" s="59" t="str">
        <f t="shared" si="18"/>
        <v>けほ</v>
      </c>
      <c r="H192" s="134"/>
      <c r="I192" s="135"/>
      <c r="J192" s="84">
        <f t="shared" si="19"/>
        <v>0</v>
      </c>
      <c r="K192" s="83"/>
      <c r="L192" s="64" t="e">
        <v>#N/A</v>
      </c>
      <c r="M192" s="121">
        <v>0</v>
      </c>
      <c r="N192" s="59" t="str">
        <v>SZ</v>
      </c>
      <c r="O192" s="126" t="str">
        <v>けほ</v>
      </c>
      <c r="P192" s="126">
        <v>0</v>
      </c>
      <c r="Q192" s="127">
        <v>0</v>
      </c>
      <c r="R192" s="84">
        <v>0</v>
      </c>
      <c r="T192" s="100" t="e">
        <v>#N/A</v>
      </c>
      <c r="U192" s="121">
        <v>0</v>
      </c>
      <c r="V192" s="59" t="str">
        <v>SZ</v>
      </c>
      <c r="W192" s="126" t="str">
        <v>けほ</v>
      </c>
      <c r="X192" s="126">
        <v>0</v>
      </c>
      <c r="Y192" s="127">
        <v>0</v>
      </c>
      <c r="Z192" s="90">
        <v>0</v>
      </c>
    </row>
    <row r="193" spans="1:26" x14ac:dyDescent="0.4">
      <c r="A193" s="52">
        <v>192</v>
      </c>
      <c r="B193" s="51">
        <f t="shared" si="14"/>
        <v>7</v>
      </c>
      <c r="C193" s="50">
        <f t="shared" si="15"/>
        <v>12</v>
      </c>
      <c r="D193" s="64" t="e">
        <f t="shared" si="16"/>
        <v>#N/A</v>
      </c>
      <c r="E193" s="121" cm="1">
        <f t="array" ref="E193">INDEX(InputArea,B193,C193)</f>
        <v>0</v>
      </c>
      <c r="F193" s="59" t="str">
        <f t="shared" si="17"/>
        <v>SX</v>
      </c>
      <c r="G193" s="59" t="str">
        <f t="shared" si="18"/>
        <v>けひ</v>
      </c>
      <c r="H193" s="134"/>
      <c r="I193" s="135"/>
      <c r="J193" s="84">
        <f t="shared" si="19"/>
        <v>0</v>
      </c>
      <c r="K193" s="83"/>
      <c r="L193" s="64" t="e">
        <v>#N/A</v>
      </c>
      <c r="M193" s="121">
        <v>0</v>
      </c>
      <c r="N193" s="59" t="str">
        <v>SX</v>
      </c>
      <c r="O193" s="126" t="str">
        <v>けひ</v>
      </c>
      <c r="P193" s="126">
        <v>0</v>
      </c>
      <c r="Q193" s="127">
        <v>0</v>
      </c>
      <c r="R193" s="84">
        <v>0</v>
      </c>
      <c r="T193" s="100" t="e">
        <v>#N/A</v>
      </c>
      <c r="U193" s="121">
        <v>0</v>
      </c>
      <c r="V193" s="59" t="str">
        <v>SX</v>
      </c>
      <c r="W193" s="126" t="str">
        <v>けひ</v>
      </c>
      <c r="X193" s="126">
        <v>0</v>
      </c>
      <c r="Y193" s="127">
        <v>0</v>
      </c>
      <c r="Z193" s="90">
        <v>0</v>
      </c>
    </row>
    <row r="194" spans="1:26" x14ac:dyDescent="0.4">
      <c r="A194" s="52">
        <v>193</v>
      </c>
      <c r="B194" s="51">
        <f t="shared" ref="B194:B257" si="20">_xlfn.CEILING.MATH(A194/COLUMNS(InputArea))</f>
        <v>7</v>
      </c>
      <c r="C194" s="50">
        <f t="shared" ref="C194:C257" si="21">MOD(A194-1,COLUMNS(InputArea))+1</f>
        <v>13</v>
      </c>
      <c r="D194" s="64" t="e">
        <f t="shared" ref="D194:D257" si="22">_xlfn.RANK.EQ(E194,InputArea,1)</f>
        <v>#N/A</v>
      </c>
      <c r="E194" s="121" cm="1">
        <f t="array" ref="E194">INDEX(InputArea,B194,C194)</f>
        <v>0</v>
      </c>
      <c r="F194" s="59" t="str">
        <f t="shared" ref="F194:F257" si="23">_xlfn.CONCAT(INDEX(RowName,B194),INDEX(ColName,,C194))</f>
        <v>SC</v>
      </c>
      <c r="G194" s="59" t="str">
        <f t="shared" ref="G194:G257" si="24">_xlfn.CONCAT(INDEX(RowKana,B194),INDEX(ColKana,,C194))</f>
        <v>けは</v>
      </c>
      <c r="H194" s="134"/>
      <c r="I194" s="135"/>
      <c r="J194" s="84">
        <f t="shared" si="19"/>
        <v>0</v>
      </c>
      <c r="K194" s="83"/>
      <c r="L194" s="64" t="e">
        <v>#N/A</v>
      </c>
      <c r="M194" s="121">
        <v>0</v>
      </c>
      <c r="N194" s="59" t="str">
        <v>SC</v>
      </c>
      <c r="O194" s="126" t="str">
        <v>けは</v>
      </c>
      <c r="P194" s="126">
        <v>0</v>
      </c>
      <c r="Q194" s="127">
        <v>0</v>
      </c>
      <c r="R194" s="84">
        <v>0</v>
      </c>
      <c r="T194" s="100" t="e">
        <v>#N/A</v>
      </c>
      <c r="U194" s="121">
        <v>0</v>
      </c>
      <c r="V194" s="59" t="str">
        <v>SC</v>
      </c>
      <c r="W194" s="126" t="str">
        <v>けは</v>
      </c>
      <c r="X194" s="126">
        <v>0</v>
      </c>
      <c r="Y194" s="127">
        <v>0</v>
      </c>
      <c r="Z194" s="90">
        <v>0</v>
      </c>
    </row>
    <row r="195" spans="1:26" x14ac:dyDescent="0.4">
      <c r="A195" s="52">
        <v>194</v>
      </c>
      <c r="B195" s="51">
        <f t="shared" si="20"/>
        <v>7</v>
      </c>
      <c r="C195" s="50">
        <f t="shared" si="21"/>
        <v>14</v>
      </c>
      <c r="D195" s="64" t="e">
        <f t="shared" si="22"/>
        <v>#N/A</v>
      </c>
      <c r="E195" s="121" cm="1">
        <f t="array" ref="E195">INDEX(InputArea,B195,C195)</f>
        <v>0</v>
      </c>
      <c r="F195" s="59" t="str">
        <f t="shared" si="23"/>
        <v>SV</v>
      </c>
      <c r="G195" s="59" t="str">
        <f t="shared" si="24"/>
        <v>けこ</v>
      </c>
      <c r="H195" s="134"/>
      <c r="I195" s="135"/>
      <c r="J195" s="84">
        <f t="shared" ref="J195:J258" si="25">(_xlfn.CEILING.MATH(B195/15)-1)*2+_xlfn.CEILING.MATH(C195/15)-1</f>
        <v>0</v>
      </c>
      <c r="K195" s="83"/>
      <c r="L195" s="64" t="e">
        <v>#N/A</v>
      </c>
      <c r="M195" s="121">
        <v>0</v>
      </c>
      <c r="N195" s="59" t="str">
        <v>SV</v>
      </c>
      <c r="O195" s="126" t="str">
        <v>けこ</v>
      </c>
      <c r="P195" s="126">
        <v>0</v>
      </c>
      <c r="Q195" s="127">
        <v>0</v>
      </c>
      <c r="R195" s="84">
        <v>0</v>
      </c>
      <c r="T195" s="100" t="e">
        <v>#N/A</v>
      </c>
      <c r="U195" s="121">
        <v>0</v>
      </c>
      <c r="V195" s="59" t="str">
        <v>SV</v>
      </c>
      <c r="W195" s="126" t="str">
        <v>けこ</v>
      </c>
      <c r="X195" s="126">
        <v>0</v>
      </c>
      <c r="Y195" s="127">
        <v>0</v>
      </c>
      <c r="Z195" s="90">
        <v>0</v>
      </c>
    </row>
    <row r="196" spans="1:26" x14ac:dyDescent="0.4">
      <c r="A196" s="52">
        <v>195</v>
      </c>
      <c r="B196" s="51">
        <f t="shared" si="20"/>
        <v>7</v>
      </c>
      <c r="C196" s="50">
        <f t="shared" si="21"/>
        <v>15</v>
      </c>
      <c r="D196" s="64" t="e">
        <f t="shared" si="22"/>
        <v>#N/A</v>
      </c>
      <c r="E196" s="121" cm="1">
        <f t="array" ref="E196">INDEX(InputArea,B196,C196)</f>
        <v>0</v>
      </c>
      <c r="F196" s="59" t="str">
        <f t="shared" si="23"/>
        <v>SB</v>
      </c>
      <c r="G196" s="59" t="str">
        <f t="shared" si="24"/>
        <v>けそ</v>
      </c>
      <c r="H196" s="134"/>
      <c r="I196" s="135"/>
      <c r="J196" s="84">
        <f t="shared" si="25"/>
        <v>0</v>
      </c>
      <c r="K196" s="83"/>
      <c r="L196" s="64" t="e">
        <v>#N/A</v>
      </c>
      <c r="M196" s="121">
        <v>0</v>
      </c>
      <c r="N196" s="59" t="str">
        <v>SB</v>
      </c>
      <c r="O196" s="126" t="str">
        <v>けそ</v>
      </c>
      <c r="P196" s="126">
        <v>0</v>
      </c>
      <c r="Q196" s="127">
        <v>0</v>
      </c>
      <c r="R196" s="84">
        <v>0</v>
      </c>
      <c r="T196" s="100" t="e">
        <v>#N/A</v>
      </c>
      <c r="U196" s="121">
        <v>0</v>
      </c>
      <c r="V196" s="59" t="str">
        <v>SB</v>
      </c>
      <c r="W196" s="126" t="str">
        <v>けそ</v>
      </c>
      <c r="X196" s="126">
        <v>0</v>
      </c>
      <c r="Y196" s="127">
        <v>0</v>
      </c>
      <c r="Z196" s="90">
        <v>0</v>
      </c>
    </row>
    <row r="197" spans="1:26" x14ac:dyDescent="0.4">
      <c r="A197" s="52">
        <v>196</v>
      </c>
      <c r="B197" s="51">
        <f t="shared" si="20"/>
        <v>7</v>
      </c>
      <c r="C197" s="50">
        <f t="shared" si="21"/>
        <v>16</v>
      </c>
      <c r="D197" s="64" t="e">
        <f t="shared" si="22"/>
        <v>#N/A</v>
      </c>
      <c r="E197" s="121" cm="1">
        <f t="array" ref="E197">INDEX(InputArea,B197,C197)</f>
        <v>0</v>
      </c>
      <c r="F197" s="59" t="str">
        <f t="shared" si="23"/>
        <v>SY</v>
      </c>
      <c r="G197" s="59" t="str">
        <f t="shared" si="24"/>
        <v>け→</v>
      </c>
      <c r="H197" s="134"/>
      <c r="I197" s="136" t="s">
        <v>382</v>
      </c>
      <c r="J197" s="84">
        <f t="shared" si="25"/>
        <v>1</v>
      </c>
      <c r="K197" s="83"/>
      <c r="L197" s="64" t="e">
        <v>#N/A</v>
      </c>
      <c r="M197" s="121">
        <v>0</v>
      </c>
      <c r="N197" s="59" t="str">
        <v>SY</v>
      </c>
      <c r="O197" s="126" t="str">
        <v>け→</v>
      </c>
      <c r="P197" s="126">
        <v>0</v>
      </c>
      <c r="Q197" s="127" t="str">
        <v>ｓｙ</v>
      </c>
      <c r="R197" s="84">
        <v>1</v>
      </c>
      <c r="T197" s="100" t="e">
        <v>#N/A</v>
      </c>
      <c r="U197" s="121">
        <v>0</v>
      </c>
      <c r="V197" s="59" t="str">
        <v>SY</v>
      </c>
      <c r="W197" s="126" t="str">
        <v>け→</v>
      </c>
      <c r="X197" s="126">
        <v>0</v>
      </c>
      <c r="Y197" s="127" t="str">
        <v>ｓｙ</v>
      </c>
      <c r="Z197" s="90">
        <v>1</v>
      </c>
    </row>
    <row r="198" spans="1:26" x14ac:dyDescent="0.4">
      <c r="A198" s="52">
        <v>197</v>
      </c>
      <c r="B198" s="51">
        <f t="shared" si="20"/>
        <v>7</v>
      </c>
      <c r="C198" s="50">
        <f t="shared" si="21"/>
        <v>17</v>
      </c>
      <c r="D198" s="64" t="e">
        <f t="shared" si="22"/>
        <v>#N/A</v>
      </c>
      <c r="E198" s="121" cm="1">
        <f t="array" ref="E198">INDEX(InputArea,B198,C198)</f>
        <v>0</v>
      </c>
      <c r="F198" s="59" t="str">
        <f t="shared" si="23"/>
        <v>SU</v>
      </c>
      <c r="G198" s="59" t="str">
        <f t="shared" si="24"/>
        <v>けBS</v>
      </c>
      <c r="H198" s="134"/>
      <c r="I198" s="136" t="s">
        <v>383</v>
      </c>
      <c r="J198" s="84">
        <f t="shared" si="25"/>
        <v>1</v>
      </c>
      <c r="K198" s="83"/>
      <c r="L198" s="64" t="e">
        <v>#N/A</v>
      </c>
      <c r="M198" s="121">
        <v>0</v>
      </c>
      <c r="N198" s="59" t="str">
        <v>SU</v>
      </c>
      <c r="O198" s="126" t="str">
        <v>けBS</v>
      </c>
      <c r="P198" s="126">
        <v>0</v>
      </c>
      <c r="Q198" s="127" t="str">
        <v>す</v>
      </c>
      <c r="R198" s="84">
        <v>1</v>
      </c>
      <c r="T198" s="100" t="e">
        <v>#N/A</v>
      </c>
      <c r="U198" s="121">
        <v>0</v>
      </c>
      <c r="V198" s="59" t="str">
        <v>SU</v>
      </c>
      <c r="W198" s="126" t="str">
        <v>けBS</v>
      </c>
      <c r="X198" s="126">
        <v>0</v>
      </c>
      <c r="Y198" s="127" t="str">
        <v>す</v>
      </c>
      <c r="Z198" s="90">
        <v>1</v>
      </c>
    </row>
    <row r="199" spans="1:26" x14ac:dyDescent="0.4">
      <c r="A199" s="52">
        <v>198</v>
      </c>
      <c r="B199" s="51">
        <f t="shared" si="20"/>
        <v>7</v>
      </c>
      <c r="C199" s="50">
        <f t="shared" si="21"/>
        <v>18</v>
      </c>
      <c r="D199" s="64" t="e">
        <f t="shared" si="22"/>
        <v>#N/A</v>
      </c>
      <c r="E199" s="121" cm="1">
        <f t="array" ref="E199">INDEX(InputArea,B199,C199)</f>
        <v>0</v>
      </c>
      <c r="F199" s="59" t="str">
        <f t="shared" si="23"/>
        <v>SI</v>
      </c>
      <c r="G199" s="59" t="str">
        <f t="shared" si="24"/>
        <v>ける</v>
      </c>
      <c r="H199" s="134"/>
      <c r="I199" s="136" t="s">
        <v>384</v>
      </c>
      <c r="J199" s="84">
        <f t="shared" si="25"/>
        <v>1</v>
      </c>
      <c r="K199" s="83"/>
      <c r="L199" s="64" t="e">
        <v>#N/A</v>
      </c>
      <c r="M199" s="121">
        <v>0</v>
      </c>
      <c r="N199" s="59" t="str">
        <v>SI</v>
      </c>
      <c r="O199" s="126" t="str">
        <v>ける</v>
      </c>
      <c r="P199" s="126">
        <v>0</v>
      </c>
      <c r="Q199" s="127" t="str">
        <v>し</v>
      </c>
      <c r="R199" s="84">
        <v>1</v>
      </c>
      <c r="T199" s="100" t="e">
        <v>#N/A</v>
      </c>
      <c r="U199" s="121">
        <v>0</v>
      </c>
      <c r="V199" s="59" t="str">
        <v>SI</v>
      </c>
      <c r="W199" s="126" t="str">
        <v>ける</v>
      </c>
      <c r="X199" s="126">
        <v>0</v>
      </c>
      <c r="Y199" s="127" t="str">
        <v>し</v>
      </c>
      <c r="Z199" s="90">
        <v>1</v>
      </c>
    </row>
    <row r="200" spans="1:26" x14ac:dyDescent="0.4">
      <c r="A200" s="52">
        <v>199</v>
      </c>
      <c r="B200" s="51">
        <f t="shared" si="20"/>
        <v>7</v>
      </c>
      <c r="C200" s="50">
        <f t="shared" si="21"/>
        <v>19</v>
      </c>
      <c r="D200" s="64" t="e">
        <f t="shared" si="22"/>
        <v>#N/A</v>
      </c>
      <c r="E200" s="121" cm="1">
        <f t="array" ref="E200">INDEX(InputArea,B200,C200)</f>
        <v>0</v>
      </c>
      <c r="F200" s="59" t="str">
        <f t="shared" si="23"/>
        <v>SO</v>
      </c>
      <c r="G200" s="59" t="str">
        <f t="shared" si="24"/>
        <v>けす</v>
      </c>
      <c r="H200" s="134"/>
      <c r="I200" s="136" t="s">
        <v>385</v>
      </c>
      <c r="J200" s="84">
        <f t="shared" si="25"/>
        <v>1</v>
      </c>
      <c r="K200" s="83"/>
      <c r="L200" s="64" t="e">
        <v>#N/A</v>
      </c>
      <c r="M200" s="121">
        <v>0</v>
      </c>
      <c r="N200" s="59" t="str">
        <v>SO</v>
      </c>
      <c r="O200" s="126" t="str">
        <v>けす</v>
      </c>
      <c r="P200" s="126">
        <v>0</v>
      </c>
      <c r="Q200" s="127" t="str">
        <v>そ</v>
      </c>
      <c r="R200" s="84">
        <v>1</v>
      </c>
      <c r="T200" s="100" t="e">
        <v>#N/A</v>
      </c>
      <c r="U200" s="121">
        <v>0</v>
      </c>
      <c r="V200" s="59" t="str">
        <v>SO</v>
      </c>
      <c r="W200" s="126" t="str">
        <v>けす</v>
      </c>
      <c r="X200" s="126">
        <v>0</v>
      </c>
      <c r="Y200" s="127" t="str">
        <v>そ</v>
      </c>
      <c r="Z200" s="90">
        <v>1</v>
      </c>
    </row>
    <row r="201" spans="1:26" x14ac:dyDescent="0.4">
      <c r="A201" s="52">
        <v>200</v>
      </c>
      <c r="B201" s="51">
        <f t="shared" si="20"/>
        <v>7</v>
      </c>
      <c r="C201" s="50">
        <f t="shared" si="21"/>
        <v>20</v>
      </c>
      <c r="D201" s="64" t="e">
        <f t="shared" si="22"/>
        <v>#N/A</v>
      </c>
      <c r="E201" s="121" cm="1">
        <f t="array" ref="E201">INDEX(InputArea,B201,C201)</f>
        <v>0</v>
      </c>
      <c r="F201" s="59" t="str">
        <f t="shared" si="23"/>
        <v>SP</v>
      </c>
      <c r="G201" s="59" t="str">
        <f t="shared" si="24"/>
        <v>けへ</v>
      </c>
      <c r="H201" s="134"/>
      <c r="I201" s="135"/>
      <c r="J201" s="84">
        <f t="shared" si="25"/>
        <v>1</v>
      </c>
      <c r="K201" s="83"/>
      <c r="L201" s="64" t="e">
        <v>#N/A</v>
      </c>
      <c r="M201" s="121">
        <v>0</v>
      </c>
      <c r="N201" s="59" t="str">
        <v>SP</v>
      </c>
      <c r="O201" s="126" t="str">
        <v>けへ</v>
      </c>
      <c r="P201" s="126">
        <v>0</v>
      </c>
      <c r="Q201" s="127">
        <v>0</v>
      </c>
      <c r="R201" s="84">
        <v>1</v>
      </c>
      <c r="T201" s="100" t="e">
        <v>#N/A</v>
      </c>
      <c r="U201" s="121">
        <v>0</v>
      </c>
      <c r="V201" s="59" t="str">
        <v>SP</v>
      </c>
      <c r="W201" s="126" t="str">
        <v>けへ</v>
      </c>
      <c r="X201" s="126">
        <v>0</v>
      </c>
      <c r="Y201" s="127">
        <v>0</v>
      </c>
      <c r="Z201" s="90">
        <v>1</v>
      </c>
    </row>
    <row r="202" spans="1:26" x14ac:dyDescent="0.4">
      <c r="A202" s="52">
        <v>201</v>
      </c>
      <c r="B202" s="51">
        <f t="shared" si="20"/>
        <v>7</v>
      </c>
      <c r="C202" s="50">
        <f t="shared" si="21"/>
        <v>21</v>
      </c>
      <c r="D202" s="64" t="e">
        <f t="shared" si="22"/>
        <v>#N/A</v>
      </c>
      <c r="E202" s="121" cm="1">
        <f t="array" ref="E202">INDEX(InputArea,B202,C202)</f>
        <v>0</v>
      </c>
      <c r="F202" s="59" t="str">
        <f t="shared" si="23"/>
        <v>SH</v>
      </c>
      <c r="G202" s="59" t="str">
        <f t="shared" si="24"/>
        <v>けく</v>
      </c>
      <c r="H202" s="134"/>
      <c r="I202" s="136" t="s">
        <v>386</v>
      </c>
      <c r="J202" s="84">
        <f t="shared" si="25"/>
        <v>1</v>
      </c>
      <c r="K202" s="83"/>
      <c r="L202" s="64" t="e">
        <v>#N/A</v>
      </c>
      <c r="M202" s="121">
        <v>0</v>
      </c>
      <c r="N202" s="59" t="str">
        <v>SH</v>
      </c>
      <c r="O202" s="126" t="str">
        <v>けく</v>
      </c>
      <c r="P202" s="126">
        <v>0</v>
      </c>
      <c r="Q202" s="127" t="str">
        <v>ｓｈ</v>
      </c>
      <c r="R202" s="84">
        <v>1</v>
      </c>
      <c r="T202" s="100" t="e">
        <v>#N/A</v>
      </c>
      <c r="U202" s="121">
        <v>0</v>
      </c>
      <c r="V202" s="59" t="str">
        <v>SH</v>
      </c>
      <c r="W202" s="126" t="str">
        <v>けく</v>
      </c>
      <c r="X202" s="126">
        <v>0</v>
      </c>
      <c r="Y202" s="127" t="str">
        <v>ｓｈ</v>
      </c>
      <c r="Z202" s="90">
        <v>1</v>
      </c>
    </row>
    <row r="203" spans="1:26" x14ac:dyDescent="0.4">
      <c r="A203" s="52">
        <v>202</v>
      </c>
      <c r="B203" s="51">
        <f t="shared" si="20"/>
        <v>7</v>
      </c>
      <c r="C203" s="50">
        <f t="shared" si="21"/>
        <v>22</v>
      </c>
      <c r="D203" s="64" t="e">
        <f t="shared" si="22"/>
        <v>#N/A</v>
      </c>
      <c r="E203" s="121" cm="1">
        <f t="array" ref="E203">INDEX(InputArea,B203,C203)</f>
        <v>0</v>
      </c>
      <c r="F203" s="59" t="str">
        <f t="shared" si="23"/>
        <v>SJ</v>
      </c>
      <c r="G203" s="59" t="str">
        <f t="shared" si="24"/>
        <v>けあ</v>
      </c>
      <c r="H203" s="137" t="s">
        <v>258</v>
      </c>
      <c r="I203" s="135"/>
      <c r="J203" s="84">
        <f t="shared" si="25"/>
        <v>1</v>
      </c>
      <c r="K203" s="83"/>
      <c r="L203" s="64" t="e">
        <v>#N/A</v>
      </c>
      <c r="M203" s="121">
        <v>0</v>
      </c>
      <c r="N203" s="59" t="str">
        <v>SJ</v>
      </c>
      <c r="O203" s="126" t="str">
        <v>けあ</v>
      </c>
      <c r="P203" s="126" t="str">
        <v>げ</v>
      </c>
      <c r="Q203" s="127">
        <v>0</v>
      </c>
      <c r="R203" s="84">
        <v>1</v>
      </c>
      <c r="T203" s="100" t="e">
        <v>#N/A</v>
      </c>
      <c r="U203" s="121">
        <v>0</v>
      </c>
      <c r="V203" s="59" t="str">
        <v>SJ</v>
      </c>
      <c r="W203" s="126" t="str">
        <v>けあ</v>
      </c>
      <c r="X203" s="126" t="str">
        <v>げ</v>
      </c>
      <c r="Y203" s="127">
        <v>0</v>
      </c>
      <c r="Z203" s="90">
        <v>1</v>
      </c>
    </row>
    <row r="204" spans="1:26" x14ac:dyDescent="0.4">
      <c r="A204" s="52">
        <v>203</v>
      </c>
      <c r="B204" s="51">
        <f t="shared" si="20"/>
        <v>7</v>
      </c>
      <c r="C204" s="50">
        <f t="shared" si="21"/>
        <v>23</v>
      </c>
      <c r="D204" s="64" t="e">
        <f t="shared" si="22"/>
        <v>#N/A</v>
      </c>
      <c r="E204" s="121" cm="1">
        <f t="array" ref="E204">INDEX(InputArea,B204,C204)</f>
        <v>0</v>
      </c>
      <c r="F204" s="59" t="str">
        <f t="shared" si="23"/>
        <v>SK</v>
      </c>
      <c r="G204" s="59" t="str">
        <f t="shared" si="24"/>
        <v>けい</v>
      </c>
      <c r="H204" s="134"/>
      <c r="I204" s="135"/>
      <c r="J204" s="84">
        <f t="shared" si="25"/>
        <v>1</v>
      </c>
      <c r="K204" s="83"/>
      <c r="L204" s="64" t="e">
        <v>#N/A</v>
      </c>
      <c r="M204" s="121">
        <v>0</v>
      </c>
      <c r="N204" s="59" t="str">
        <v>SK</v>
      </c>
      <c r="O204" s="126" t="str">
        <v>けい</v>
      </c>
      <c r="P204" s="126">
        <v>0</v>
      </c>
      <c r="Q204" s="127">
        <v>0</v>
      </c>
      <c r="R204" s="84">
        <v>1</v>
      </c>
      <c r="T204" s="100" t="e">
        <v>#N/A</v>
      </c>
      <c r="U204" s="121">
        <v>0</v>
      </c>
      <c r="V204" s="59" t="str">
        <v>SK</v>
      </c>
      <c r="W204" s="126" t="str">
        <v>けい</v>
      </c>
      <c r="X204" s="126">
        <v>0</v>
      </c>
      <c r="Y204" s="127">
        <v>0</v>
      </c>
      <c r="Z204" s="90">
        <v>1</v>
      </c>
    </row>
    <row r="205" spans="1:26" x14ac:dyDescent="0.4">
      <c r="A205" s="52">
        <v>204</v>
      </c>
      <c r="B205" s="51">
        <f t="shared" si="20"/>
        <v>7</v>
      </c>
      <c r="C205" s="50">
        <f t="shared" si="21"/>
        <v>24</v>
      </c>
      <c r="D205" s="64" t="e">
        <f t="shared" si="22"/>
        <v>#N/A</v>
      </c>
      <c r="E205" s="121" cm="1">
        <f t="array" ref="E205">INDEX(InputArea,B205,C205)</f>
        <v>0</v>
      </c>
      <c r="F205" s="59" t="str">
        <f t="shared" si="23"/>
        <v>SL</v>
      </c>
      <c r="G205" s="59" t="str">
        <f t="shared" si="24"/>
        <v>けう</v>
      </c>
      <c r="H205" s="134"/>
      <c r="I205" s="135"/>
      <c r="J205" s="84">
        <f t="shared" si="25"/>
        <v>1</v>
      </c>
      <c r="K205" s="83"/>
      <c r="L205" s="64" t="e">
        <v>#N/A</v>
      </c>
      <c r="M205" s="121">
        <v>0</v>
      </c>
      <c r="N205" s="59" t="str">
        <v>SL</v>
      </c>
      <c r="O205" s="126" t="str">
        <v>けう</v>
      </c>
      <c r="P205" s="126">
        <v>0</v>
      </c>
      <c r="Q205" s="127">
        <v>0</v>
      </c>
      <c r="R205" s="84">
        <v>1</v>
      </c>
      <c r="T205" s="100" t="e">
        <v>#N/A</v>
      </c>
      <c r="U205" s="121">
        <v>0</v>
      </c>
      <c r="V205" s="59" t="str">
        <v>SL</v>
      </c>
      <c r="W205" s="126" t="str">
        <v>けう</v>
      </c>
      <c r="X205" s="126">
        <v>0</v>
      </c>
      <c r="Y205" s="127">
        <v>0</v>
      </c>
      <c r="Z205" s="90">
        <v>1</v>
      </c>
    </row>
    <row r="206" spans="1:26" x14ac:dyDescent="0.4">
      <c r="A206" s="52">
        <v>205</v>
      </c>
      <c r="B206" s="51">
        <f t="shared" si="20"/>
        <v>7</v>
      </c>
      <c r="C206" s="50">
        <f t="shared" si="21"/>
        <v>25</v>
      </c>
      <c r="D206" s="64" t="e">
        <f t="shared" si="22"/>
        <v>#N/A</v>
      </c>
      <c r="E206" s="121" cm="1">
        <f t="array" ref="E206">INDEX(InputArea,B206,C206)</f>
        <v>0</v>
      </c>
      <c r="F206" s="59" t="str">
        <f t="shared" si="23"/>
        <v>S;</v>
      </c>
      <c r="G206" s="59" t="str">
        <f t="shared" si="24"/>
        <v>けー</v>
      </c>
      <c r="H206" s="134"/>
      <c r="I206" s="135"/>
      <c r="J206" s="84">
        <f t="shared" si="25"/>
        <v>1</v>
      </c>
      <c r="K206" s="83"/>
      <c r="L206" s="64" t="e">
        <v>#N/A</v>
      </c>
      <c r="M206" s="121">
        <v>0</v>
      </c>
      <c r="N206" s="59" t="str">
        <v>S;</v>
      </c>
      <c r="O206" s="126" t="str">
        <v>けー</v>
      </c>
      <c r="P206" s="126">
        <v>0</v>
      </c>
      <c r="Q206" s="127">
        <v>0</v>
      </c>
      <c r="R206" s="84">
        <v>1</v>
      </c>
      <c r="T206" s="100" t="e">
        <v>#N/A</v>
      </c>
      <c r="U206" s="121">
        <v>0</v>
      </c>
      <c r="V206" s="59" t="str">
        <v>S;</v>
      </c>
      <c r="W206" s="126" t="str">
        <v>けー</v>
      </c>
      <c r="X206" s="126">
        <v>0</v>
      </c>
      <c r="Y206" s="127">
        <v>0</v>
      </c>
      <c r="Z206" s="90">
        <v>1</v>
      </c>
    </row>
    <row r="207" spans="1:26" x14ac:dyDescent="0.4">
      <c r="A207" s="52">
        <v>206</v>
      </c>
      <c r="B207" s="51">
        <f t="shared" si="20"/>
        <v>7</v>
      </c>
      <c r="C207" s="50">
        <f t="shared" si="21"/>
        <v>26</v>
      </c>
      <c r="D207" s="64" t="e">
        <f t="shared" si="22"/>
        <v>#N/A</v>
      </c>
      <c r="E207" s="121" cm="1">
        <f t="array" ref="E207">INDEX(InputArea,B207,C207)</f>
        <v>0</v>
      </c>
      <c r="F207" s="59" t="str">
        <f t="shared" si="23"/>
        <v>SN</v>
      </c>
      <c r="G207" s="59" t="str">
        <f t="shared" si="24"/>
        <v>けた</v>
      </c>
      <c r="H207" s="134"/>
      <c r="I207" s="135"/>
      <c r="J207" s="84">
        <f t="shared" si="25"/>
        <v>1</v>
      </c>
      <c r="K207" s="83"/>
      <c r="L207" s="64" t="e">
        <v>#N/A</v>
      </c>
      <c r="M207" s="121">
        <v>0</v>
      </c>
      <c r="N207" s="59" t="str">
        <v>SN</v>
      </c>
      <c r="O207" s="126" t="str">
        <v>けた</v>
      </c>
      <c r="P207" s="126">
        <v>0</v>
      </c>
      <c r="Q207" s="127">
        <v>0</v>
      </c>
      <c r="R207" s="84">
        <v>1</v>
      </c>
      <c r="T207" s="100" t="e">
        <v>#N/A</v>
      </c>
      <c r="U207" s="121">
        <v>0</v>
      </c>
      <c r="V207" s="59" t="str">
        <v>SN</v>
      </c>
      <c r="W207" s="126" t="str">
        <v>けた</v>
      </c>
      <c r="X207" s="126">
        <v>0</v>
      </c>
      <c r="Y207" s="127">
        <v>0</v>
      </c>
      <c r="Z207" s="90">
        <v>1</v>
      </c>
    </row>
    <row r="208" spans="1:26" x14ac:dyDescent="0.4">
      <c r="A208" s="52">
        <v>207</v>
      </c>
      <c r="B208" s="51">
        <f t="shared" si="20"/>
        <v>7</v>
      </c>
      <c r="C208" s="50">
        <f t="shared" si="21"/>
        <v>27</v>
      </c>
      <c r="D208" s="64" t="e">
        <f t="shared" si="22"/>
        <v>#N/A</v>
      </c>
      <c r="E208" s="121" cm="1">
        <f t="array" ref="E208">INDEX(InputArea,B208,C208)</f>
        <v>0</v>
      </c>
      <c r="F208" s="59" t="str">
        <f t="shared" si="23"/>
        <v>SM</v>
      </c>
      <c r="G208" s="59" t="str">
        <f t="shared" si="24"/>
        <v>けな</v>
      </c>
      <c r="H208" s="134"/>
      <c r="I208" s="135"/>
      <c r="J208" s="84">
        <f t="shared" si="25"/>
        <v>1</v>
      </c>
      <c r="K208" s="83"/>
      <c r="L208" s="64" t="e">
        <v>#N/A</v>
      </c>
      <c r="M208" s="121">
        <v>0</v>
      </c>
      <c r="N208" s="59" t="str">
        <v>SM</v>
      </c>
      <c r="O208" s="126" t="str">
        <v>けな</v>
      </c>
      <c r="P208" s="126">
        <v>0</v>
      </c>
      <c r="Q208" s="127">
        <v>0</v>
      </c>
      <c r="R208" s="84">
        <v>1</v>
      </c>
      <c r="T208" s="100" t="e">
        <v>#N/A</v>
      </c>
      <c r="U208" s="121">
        <v>0</v>
      </c>
      <c r="V208" s="59" t="str">
        <v>SM</v>
      </c>
      <c r="W208" s="126" t="str">
        <v>けな</v>
      </c>
      <c r="X208" s="126">
        <v>0</v>
      </c>
      <c r="Y208" s="127">
        <v>0</v>
      </c>
      <c r="Z208" s="90">
        <v>1</v>
      </c>
    </row>
    <row r="209" spans="1:26" x14ac:dyDescent="0.4">
      <c r="A209" s="52">
        <v>208</v>
      </c>
      <c r="B209" s="51">
        <f t="shared" si="20"/>
        <v>7</v>
      </c>
      <c r="C209" s="50">
        <f t="shared" si="21"/>
        <v>28</v>
      </c>
      <c r="D209" s="64" t="e">
        <f t="shared" si="22"/>
        <v>#N/A</v>
      </c>
      <c r="E209" s="121" cm="1">
        <f t="array" ref="E209">INDEX(InputArea,B209,C209)</f>
        <v>0</v>
      </c>
      <c r="F209" s="59" t="str">
        <f t="shared" si="23"/>
        <v>S,</v>
      </c>
      <c r="G209" s="59" t="str">
        <f t="shared" si="24"/>
        <v>けん</v>
      </c>
      <c r="H209" s="134"/>
      <c r="I209" s="135"/>
      <c r="J209" s="84">
        <f t="shared" si="25"/>
        <v>1</v>
      </c>
      <c r="K209" s="83"/>
      <c r="L209" s="64" t="e">
        <v>#N/A</v>
      </c>
      <c r="M209" s="121">
        <v>0</v>
      </c>
      <c r="N209" s="59" t="str">
        <v>S,</v>
      </c>
      <c r="O209" s="126" t="str">
        <v>けん</v>
      </c>
      <c r="P209" s="126">
        <v>0</v>
      </c>
      <c r="Q209" s="127">
        <v>0</v>
      </c>
      <c r="R209" s="84">
        <v>1</v>
      </c>
      <c r="T209" s="100" t="e">
        <v>#N/A</v>
      </c>
      <c r="U209" s="121">
        <v>0</v>
      </c>
      <c r="V209" s="59" t="str">
        <v>S,</v>
      </c>
      <c r="W209" s="126" t="str">
        <v>けん</v>
      </c>
      <c r="X209" s="126">
        <v>0</v>
      </c>
      <c r="Y209" s="127">
        <v>0</v>
      </c>
      <c r="Z209" s="90">
        <v>1</v>
      </c>
    </row>
    <row r="210" spans="1:26" x14ac:dyDescent="0.4">
      <c r="A210" s="52">
        <v>209</v>
      </c>
      <c r="B210" s="51">
        <f t="shared" si="20"/>
        <v>7</v>
      </c>
      <c r="C210" s="50">
        <f t="shared" si="21"/>
        <v>29</v>
      </c>
      <c r="D210" s="64" t="e">
        <f t="shared" si="22"/>
        <v>#N/A</v>
      </c>
      <c r="E210" s="121" cm="1">
        <f t="array" ref="E210">INDEX(InputArea,B210,C210)</f>
        <v>0</v>
      </c>
      <c r="F210" s="59" t="str">
        <f t="shared" si="23"/>
        <v>S.</v>
      </c>
      <c r="G210" s="59" t="str">
        <f t="shared" si="24"/>
        <v>けら</v>
      </c>
      <c r="H210" s="134"/>
      <c r="I210" s="135"/>
      <c r="J210" s="84">
        <f t="shared" si="25"/>
        <v>1</v>
      </c>
      <c r="K210" s="83"/>
      <c r="L210" s="64" t="e">
        <v>#N/A</v>
      </c>
      <c r="M210" s="121">
        <v>0</v>
      </c>
      <c r="N210" s="59" t="str">
        <v>S.</v>
      </c>
      <c r="O210" s="126" t="str">
        <v>けら</v>
      </c>
      <c r="P210" s="126">
        <v>0</v>
      </c>
      <c r="Q210" s="127">
        <v>0</v>
      </c>
      <c r="R210" s="84">
        <v>1</v>
      </c>
      <c r="T210" s="100" t="e">
        <v>#N/A</v>
      </c>
      <c r="U210" s="121">
        <v>0</v>
      </c>
      <c r="V210" s="59" t="str">
        <v>S.</v>
      </c>
      <c r="W210" s="126" t="str">
        <v>けら</v>
      </c>
      <c r="X210" s="126">
        <v>0</v>
      </c>
      <c r="Y210" s="127">
        <v>0</v>
      </c>
      <c r="Z210" s="90">
        <v>1</v>
      </c>
    </row>
    <row r="211" spans="1:26" x14ac:dyDescent="0.4">
      <c r="A211" s="52">
        <v>210</v>
      </c>
      <c r="B211" s="51">
        <f t="shared" si="20"/>
        <v>7</v>
      </c>
      <c r="C211" s="50">
        <f t="shared" si="21"/>
        <v>30</v>
      </c>
      <c r="D211" s="64" t="e">
        <f t="shared" si="22"/>
        <v>#N/A</v>
      </c>
      <c r="E211" s="121" cm="1">
        <f t="array" ref="E211">INDEX(InputArea,B211,C211)</f>
        <v>0</v>
      </c>
      <c r="F211" s="59" t="str">
        <f t="shared" si="23"/>
        <v>S/</v>
      </c>
      <c r="G211" s="59" t="str">
        <f t="shared" si="24"/>
        <v>けれ</v>
      </c>
      <c r="H211" s="134"/>
      <c r="I211" s="135"/>
      <c r="J211" s="84">
        <f t="shared" si="25"/>
        <v>1</v>
      </c>
      <c r="K211" s="83"/>
      <c r="L211" s="64" t="e">
        <v>#N/A</v>
      </c>
      <c r="M211" s="121">
        <v>0</v>
      </c>
      <c r="N211" s="59" t="str">
        <v>S/</v>
      </c>
      <c r="O211" s="126" t="str">
        <v>けれ</v>
      </c>
      <c r="P211" s="126">
        <v>0</v>
      </c>
      <c r="Q211" s="127">
        <v>0</v>
      </c>
      <c r="R211" s="84">
        <v>1</v>
      </c>
      <c r="T211" s="100" t="e">
        <v>#N/A</v>
      </c>
      <c r="U211" s="121">
        <v>0</v>
      </c>
      <c r="V211" s="59" t="str">
        <v>S/</v>
      </c>
      <c r="W211" s="126" t="str">
        <v>けれ</v>
      </c>
      <c r="X211" s="126">
        <v>0</v>
      </c>
      <c r="Y211" s="127">
        <v>0</v>
      </c>
      <c r="Z211" s="90">
        <v>1</v>
      </c>
    </row>
    <row r="212" spans="1:26" x14ac:dyDescent="0.4">
      <c r="A212" s="52">
        <v>211</v>
      </c>
      <c r="B212" s="51">
        <f t="shared" si="20"/>
        <v>8</v>
      </c>
      <c r="C212" s="50">
        <f t="shared" si="21"/>
        <v>1</v>
      </c>
      <c r="D212" s="64" t="e">
        <f t="shared" si="22"/>
        <v>#N/A</v>
      </c>
      <c r="E212" s="121" cm="1">
        <f t="array" ref="E212">INDEX(InputArea,B212,C212)</f>
        <v>0</v>
      </c>
      <c r="F212" s="59" t="str">
        <f t="shared" si="23"/>
        <v>DQ</v>
      </c>
      <c r="G212" s="59" t="str">
        <f t="shared" si="24"/>
        <v>とヴ</v>
      </c>
      <c r="H212" s="134"/>
      <c r="I212" s="135"/>
      <c r="J212" s="84">
        <f t="shared" si="25"/>
        <v>0</v>
      </c>
      <c r="K212" s="83"/>
      <c r="L212" s="64" t="e">
        <v>#N/A</v>
      </c>
      <c r="M212" s="121">
        <v>0</v>
      </c>
      <c r="N212" s="59" t="str">
        <v>DQ</v>
      </c>
      <c r="O212" s="126" t="str">
        <v>とヴ</v>
      </c>
      <c r="P212" s="126">
        <v>0</v>
      </c>
      <c r="Q212" s="127">
        <v>0</v>
      </c>
      <c r="R212" s="84">
        <v>0</v>
      </c>
      <c r="T212" s="100" t="e">
        <v>#N/A</v>
      </c>
      <c r="U212" s="121">
        <v>0</v>
      </c>
      <c r="V212" s="59" t="str">
        <v>DQ</v>
      </c>
      <c r="W212" s="126" t="str">
        <v>とヴ</v>
      </c>
      <c r="X212" s="126">
        <v>0</v>
      </c>
      <c r="Y212" s="127">
        <v>0</v>
      </c>
      <c r="Z212" s="90">
        <v>0</v>
      </c>
    </row>
    <row r="213" spans="1:26" x14ac:dyDescent="0.4">
      <c r="A213" s="52">
        <v>212</v>
      </c>
      <c r="B213" s="51">
        <f t="shared" si="20"/>
        <v>8</v>
      </c>
      <c r="C213" s="50">
        <f t="shared" si="21"/>
        <v>2</v>
      </c>
      <c r="D213" s="64" t="e">
        <f t="shared" si="22"/>
        <v>#N/A</v>
      </c>
      <c r="E213" s="121" cm="1">
        <f t="array" ref="E213">INDEX(InputArea,B213,C213)</f>
        <v>0</v>
      </c>
      <c r="F213" s="59" t="str">
        <f t="shared" si="23"/>
        <v>DW</v>
      </c>
      <c r="G213" s="59" t="str">
        <f t="shared" si="24"/>
        <v>とき</v>
      </c>
      <c r="H213" s="134"/>
      <c r="I213" s="135"/>
      <c r="J213" s="84">
        <f t="shared" si="25"/>
        <v>0</v>
      </c>
      <c r="K213" s="83"/>
      <c r="L213" s="64" t="e">
        <v>#N/A</v>
      </c>
      <c r="M213" s="121">
        <v>0</v>
      </c>
      <c r="N213" s="59" t="str">
        <v>DW</v>
      </c>
      <c r="O213" s="126" t="str">
        <v>とき</v>
      </c>
      <c r="P213" s="126">
        <v>0</v>
      </c>
      <c r="Q213" s="127">
        <v>0</v>
      </c>
      <c r="R213" s="84">
        <v>0</v>
      </c>
      <c r="T213" s="100" t="e">
        <v>#N/A</v>
      </c>
      <c r="U213" s="121">
        <v>0</v>
      </c>
      <c r="V213" s="59" t="str">
        <v>DW</v>
      </c>
      <c r="W213" s="126" t="str">
        <v>とき</v>
      </c>
      <c r="X213" s="126">
        <v>0</v>
      </c>
      <c r="Y213" s="127">
        <v>0</v>
      </c>
      <c r="Z213" s="90">
        <v>0</v>
      </c>
    </row>
    <row r="214" spans="1:26" x14ac:dyDescent="0.4">
      <c r="A214" s="52">
        <v>213</v>
      </c>
      <c r="B214" s="51">
        <f t="shared" si="20"/>
        <v>8</v>
      </c>
      <c r="C214" s="50">
        <f t="shared" si="21"/>
        <v>3</v>
      </c>
      <c r="D214" s="64" t="e">
        <f t="shared" si="22"/>
        <v>#N/A</v>
      </c>
      <c r="E214" s="121" cm="1">
        <f t="array" ref="E214">INDEX(InputArea,B214,C214)</f>
        <v>0</v>
      </c>
      <c r="F214" s="59" t="str">
        <f t="shared" si="23"/>
        <v>DE</v>
      </c>
      <c r="G214" s="59" t="str">
        <f t="shared" si="24"/>
        <v>とて</v>
      </c>
      <c r="H214" s="134"/>
      <c r="I214" s="136" t="s">
        <v>252</v>
      </c>
      <c r="J214" s="84">
        <f t="shared" si="25"/>
        <v>0</v>
      </c>
      <c r="K214" s="83"/>
      <c r="L214" s="64" t="e">
        <v>#N/A</v>
      </c>
      <c r="M214" s="121">
        <v>0</v>
      </c>
      <c r="N214" s="59" t="str">
        <v>DE</v>
      </c>
      <c r="O214" s="126" t="str">
        <v>とて</v>
      </c>
      <c r="P214" s="126">
        <v>0</v>
      </c>
      <c r="Q214" s="127" t="str">
        <v>で</v>
      </c>
      <c r="R214" s="84">
        <v>0</v>
      </c>
      <c r="T214" s="100" t="e">
        <v>#N/A</v>
      </c>
      <c r="U214" s="121">
        <v>0</v>
      </c>
      <c r="V214" s="59" t="str">
        <v>DE</v>
      </c>
      <c r="W214" s="126" t="str">
        <v>とて</v>
      </c>
      <c r="X214" s="126">
        <v>0</v>
      </c>
      <c r="Y214" s="127" t="str">
        <v>で</v>
      </c>
      <c r="Z214" s="90">
        <v>0</v>
      </c>
    </row>
    <row r="215" spans="1:26" x14ac:dyDescent="0.4">
      <c r="A215" s="52">
        <v>214</v>
      </c>
      <c r="B215" s="51">
        <f t="shared" si="20"/>
        <v>8</v>
      </c>
      <c r="C215" s="50">
        <f t="shared" si="21"/>
        <v>4</v>
      </c>
      <c r="D215" s="64" t="e">
        <f t="shared" si="22"/>
        <v>#N/A</v>
      </c>
      <c r="E215" s="121" cm="1">
        <f t="array" ref="E215">INDEX(InputArea,B215,C215)</f>
        <v>0</v>
      </c>
      <c r="F215" s="59" t="str">
        <f t="shared" si="23"/>
        <v>DR</v>
      </c>
      <c r="G215" s="59" t="str">
        <f t="shared" si="24"/>
        <v>とし</v>
      </c>
      <c r="H215" s="134"/>
      <c r="I215" s="135"/>
      <c r="J215" s="84">
        <f t="shared" si="25"/>
        <v>0</v>
      </c>
      <c r="K215" s="83"/>
      <c r="L215" s="64" t="e">
        <v>#N/A</v>
      </c>
      <c r="M215" s="121">
        <v>0</v>
      </c>
      <c r="N215" s="59" t="str">
        <v>DR</v>
      </c>
      <c r="O215" s="126" t="str">
        <v>とし</v>
      </c>
      <c r="P215" s="126">
        <v>0</v>
      </c>
      <c r="Q215" s="127">
        <v>0</v>
      </c>
      <c r="R215" s="84">
        <v>0</v>
      </c>
      <c r="T215" s="100" t="e">
        <v>#N/A</v>
      </c>
      <c r="U215" s="121">
        <v>0</v>
      </c>
      <c r="V215" s="59" t="str">
        <v>DR</v>
      </c>
      <c r="W215" s="126" t="str">
        <v>とし</v>
      </c>
      <c r="X215" s="126">
        <v>0</v>
      </c>
      <c r="Y215" s="127">
        <v>0</v>
      </c>
      <c r="Z215" s="90">
        <v>0</v>
      </c>
    </row>
    <row r="216" spans="1:26" x14ac:dyDescent="0.4">
      <c r="A216" s="52">
        <v>215</v>
      </c>
      <c r="B216" s="51">
        <f t="shared" si="20"/>
        <v>8</v>
      </c>
      <c r="C216" s="50">
        <f t="shared" si="21"/>
        <v>5</v>
      </c>
      <c r="D216" s="64" t="e">
        <f t="shared" si="22"/>
        <v>#N/A</v>
      </c>
      <c r="E216" s="121" cm="1">
        <f t="array" ref="E216">INDEX(InputArea,B216,C216)</f>
        <v>0</v>
      </c>
      <c r="F216" s="59" t="str">
        <f t="shared" si="23"/>
        <v>DT</v>
      </c>
      <c r="G216" s="59" t="str">
        <f t="shared" si="24"/>
        <v>と←</v>
      </c>
      <c r="H216" s="134"/>
      <c r="I216" s="135"/>
      <c r="J216" s="84">
        <f t="shared" si="25"/>
        <v>0</v>
      </c>
      <c r="K216" s="83"/>
      <c r="L216" s="64" t="e">
        <v>#N/A</v>
      </c>
      <c r="M216" s="121">
        <v>0</v>
      </c>
      <c r="N216" s="59" t="str">
        <v>DT</v>
      </c>
      <c r="O216" s="126" t="str">
        <v>と←</v>
      </c>
      <c r="P216" s="126">
        <v>0</v>
      </c>
      <c r="Q216" s="127">
        <v>0</v>
      </c>
      <c r="R216" s="84">
        <v>0</v>
      </c>
      <c r="T216" s="100" t="e">
        <v>#N/A</v>
      </c>
      <c r="U216" s="121">
        <v>0</v>
      </c>
      <c r="V216" s="59" t="str">
        <v>DT</v>
      </c>
      <c r="W216" s="126" t="str">
        <v>と←</v>
      </c>
      <c r="X216" s="126">
        <v>0</v>
      </c>
      <c r="Y216" s="127">
        <v>0</v>
      </c>
      <c r="Z216" s="90">
        <v>0</v>
      </c>
    </row>
    <row r="217" spans="1:26" x14ac:dyDescent="0.4">
      <c r="A217" s="52">
        <v>216</v>
      </c>
      <c r="B217" s="51">
        <f t="shared" si="20"/>
        <v>8</v>
      </c>
      <c r="C217" s="50">
        <f t="shared" si="21"/>
        <v>6</v>
      </c>
      <c r="D217" s="64" t="e">
        <f t="shared" si="22"/>
        <v>#N/A</v>
      </c>
      <c r="E217" s="121" cm="1">
        <f t="array" ref="E217">INDEX(InputArea,B217,C217)</f>
        <v>0</v>
      </c>
      <c r="F217" s="59" t="str">
        <f t="shared" si="23"/>
        <v>DA</v>
      </c>
      <c r="G217" s="59" t="str">
        <f t="shared" si="24"/>
        <v>とろ</v>
      </c>
      <c r="H217" s="134"/>
      <c r="I217" s="136" t="s">
        <v>269</v>
      </c>
      <c r="J217" s="84">
        <f t="shared" si="25"/>
        <v>0</v>
      </c>
      <c r="K217" s="83"/>
      <c r="L217" s="64" t="e">
        <v>#N/A</v>
      </c>
      <c r="M217" s="121">
        <v>0</v>
      </c>
      <c r="N217" s="59" t="str">
        <v>DA</v>
      </c>
      <c r="O217" s="126" t="str">
        <v>とろ</v>
      </c>
      <c r="P217" s="126">
        <v>0</v>
      </c>
      <c r="Q217" s="127" t="str">
        <v>だ</v>
      </c>
      <c r="R217" s="84">
        <v>0</v>
      </c>
      <c r="T217" s="100" t="e">
        <v>#N/A</v>
      </c>
      <c r="U217" s="121">
        <v>0</v>
      </c>
      <c r="V217" s="59" t="str">
        <v>DA</v>
      </c>
      <c r="W217" s="126" t="str">
        <v>とろ</v>
      </c>
      <c r="X217" s="126">
        <v>0</v>
      </c>
      <c r="Y217" s="127" t="str">
        <v>だ</v>
      </c>
      <c r="Z217" s="90">
        <v>0</v>
      </c>
    </row>
    <row r="218" spans="1:26" x14ac:dyDescent="0.4">
      <c r="A218" s="52">
        <v>217</v>
      </c>
      <c r="B218" s="51">
        <f t="shared" si="20"/>
        <v>8</v>
      </c>
      <c r="C218" s="50">
        <f t="shared" si="21"/>
        <v>7</v>
      </c>
      <c r="D218" s="64" t="e">
        <f t="shared" si="22"/>
        <v>#N/A</v>
      </c>
      <c r="E218" s="121" cm="1">
        <f t="array" ref="E218">INDEX(InputArea,B218,C218)</f>
        <v>0</v>
      </c>
      <c r="F218" s="59" t="str">
        <f t="shared" si="23"/>
        <v>DS</v>
      </c>
      <c r="G218" s="59" t="str">
        <f t="shared" si="24"/>
        <v>とけ</v>
      </c>
      <c r="H218" s="134"/>
      <c r="I218" s="135"/>
      <c r="J218" s="84">
        <f t="shared" si="25"/>
        <v>0</v>
      </c>
      <c r="K218" s="83"/>
      <c r="L218" s="64" t="e">
        <v>#N/A</v>
      </c>
      <c r="M218" s="121">
        <v>0</v>
      </c>
      <c r="N218" s="59" t="str">
        <v>DS</v>
      </c>
      <c r="O218" s="126" t="str">
        <v>とけ</v>
      </c>
      <c r="P218" s="126">
        <v>0</v>
      </c>
      <c r="Q218" s="127">
        <v>0</v>
      </c>
      <c r="R218" s="84">
        <v>0</v>
      </c>
      <c r="T218" s="100" t="e">
        <v>#N/A</v>
      </c>
      <c r="U218" s="121">
        <v>0</v>
      </c>
      <c r="V218" s="59" t="str">
        <v>DS</v>
      </c>
      <c r="W218" s="126" t="str">
        <v>とけ</v>
      </c>
      <c r="X218" s="126">
        <v>0</v>
      </c>
      <c r="Y218" s="127">
        <v>0</v>
      </c>
      <c r="Z218" s="90">
        <v>0</v>
      </c>
    </row>
    <row r="219" spans="1:26" x14ac:dyDescent="0.4">
      <c r="A219" s="52">
        <v>218</v>
      </c>
      <c r="B219" s="51">
        <f t="shared" si="20"/>
        <v>8</v>
      </c>
      <c r="C219" s="50">
        <f t="shared" si="21"/>
        <v>8</v>
      </c>
      <c r="D219" s="64" t="e">
        <f t="shared" si="22"/>
        <v>#N/A</v>
      </c>
      <c r="E219" s="121" cm="1">
        <f t="array" ref="E219">INDEX(InputArea,B219,C219)</f>
        <v>0</v>
      </c>
      <c r="F219" s="59" t="str">
        <f t="shared" si="23"/>
        <v>DD</v>
      </c>
      <c r="G219" s="59" t="str">
        <f t="shared" si="24"/>
        <v>とと</v>
      </c>
      <c r="H219" s="134"/>
      <c r="I219" s="136" t="s">
        <v>387</v>
      </c>
      <c r="J219" s="84">
        <f t="shared" si="25"/>
        <v>0</v>
      </c>
      <c r="K219" s="83"/>
      <c r="L219" s="64" t="e">
        <v>#N/A</v>
      </c>
      <c r="M219" s="121">
        <v>0</v>
      </c>
      <c r="N219" s="59" t="str">
        <v>DD</v>
      </c>
      <c r="O219" s="126" t="str">
        <v>とと</v>
      </c>
      <c r="P219" s="126">
        <v>0</v>
      </c>
      <c r="Q219" s="127" t="str">
        <v>っｄ</v>
      </c>
      <c r="R219" s="84">
        <v>0</v>
      </c>
      <c r="T219" s="100" t="e">
        <v>#N/A</v>
      </c>
      <c r="U219" s="121">
        <v>0</v>
      </c>
      <c r="V219" s="59" t="str">
        <v>DD</v>
      </c>
      <c r="W219" s="126" t="str">
        <v>とと</v>
      </c>
      <c r="X219" s="126">
        <v>0</v>
      </c>
      <c r="Y219" s="127" t="str">
        <v>っｄ</v>
      </c>
      <c r="Z219" s="90">
        <v>0</v>
      </c>
    </row>
    <row r="220" spans="1:26" x14ac:dyDescent="0.4">
      <c r="A220" s="52">
        <v>219</v>
      </c>
      <c r="B220" s="51">
        <f t="shared" si="20"/>
        <v>8</v>
      </c>
      <c r="C220" s="50">
        <f t="shared" si="21"/>
        <v>9</v>
      </c>
      <c r="D220" s="64" t="e">
        <f t="shared" si="22"/>
        <v>#N/A</v>
      </c>
      <c r="E220" s="121" cm="1">
        <f t="array" ref="E220">INDEX(InputArea,B220,C220)</f>
        <v>0</v>
      </c>
      <c r="F220" s="59" t="str">
        <f t="shared" si="23"/>
        <v>DF</v>
      </c>
      <c r="G220" s="59" t="str">
        <f t="shared" si="24"/>
        <v>とか</v>
      </c>
      <c r="H220" s="137" t="s">
        <v>615</v>
      </c>
      <c r="I220" s="135"/>
      <c r="J220" s="84">
        <f t="shared" si="25"/>
        <v>0</v>
      </c>
      <c r="K220" s="83"/>
      <c r="L220" s="64" t="e">
        <v>#N/A</v>
      </c>
      <c r="M220" s="121">
        <v>0</v>
      </c>
      <c r="N220" s="59" t="str">
        <v>DF</v>
      </c>
      <c r="O220" s="126" t="str">
        <v>とか</v>
      </c>
      <c r="P220" s="126" t="str">
        <v>編集</v>
      </c>
      <c r="Q220" s="127">
        <v>0</v>
      </c>
      <c r="R220" s="84">
        <v>0</v>
      </c>
      <c r="T220" s="100" t="e">
        <v>#N/A</v>
      </c>
      <c r="U220" s="121">
        <v>0</v>
      </c>
      <c r="V220" s="59" t="str">
        <v>DF</v>
      </c>
      <c r="W220" s="126" t="str">
        <v>とか</v>
      </c>
      <c r="X220" s="126" t="str">
        <v>編集</v>
      </c>
      <c r="Y220" s="127">
        <v>0</v>
      </c>
      <c r="Z220" s="90">
        <v>0</v>
      </c>
    </row>
    <row r="221" spans="1:26" x14ac:dyDescent="0.4">
      <c r="A221" s="52">
        <v>220</v>
      </c>
      <c r="B221" s="51">
        <f t="shared" si="20"/>
        <v>8</v>
      </c>
      <c r="C221" s="50">
        <f t="shared" si="21"/>
        <v>10</v>
      </c>
      <c r="D221" s="64" t="e">
        <f t="shared" si="22"/>
        <v>#N/A</v>
      </c>
      <c r="E221" s="121" cm="1">
        <f t="array" ref="E221">INDEX(InputArea,B221,C221)</f>
        <v>0</v>
      </c>
      <c r="F221" s="59" t="str">
        <f t="shared" si="23"/>
        <v>DG</v>
      </c>
      <c r="G221" s="59" t="str">
        <f t="shared" si="24"/>
        <v>とっ</v>
      </c>
      <c r="H221" s="134"/>
      <c r="I221" s="135"/>
      <c r="J221" s="84">
        <f t="shared" si="25"/>
        <v>0</v>
      </c>
      <c r="K221" s="83"/>
      <c r="L221" s="64" t="e">
        <v>#N/A</v>
      </c>
      <c r="M221" s="121">
        <v>0</v>
      </c>
      <c r="N221" s="59" t="str">
        <v>DG</v>
      </c>
      <c r="O221" s="126" t="str">
        <v>とっ</v>
      </c>
      <c r="P221" s="126">
        <v>0</v>
      </c>
      <c r="Q221" s="127">
        <v>0</v>
      </c>
      <c r="R221" s="84">
        <v>0</v>
      </c>
      <c r="T221" s="100" t="e">
        <v>#N/A</v>
      </c>
      <c r="U221" s="121">
        <v>0</v>
      </c>
      <c r="V221" s="59" t="str">
        <v>DG</v>
      </c>
      <c r="W221" s="126" t="str">
        <v>とっ</v>
      </c>
      <c r="X221" s="126">
        <v>0</v>
      </c>
      <c r="Y221" s="127">
        <v>0</v>
      </c>
      <c r="Z221" s="90">
        <v>0</v>
      </c>
    </row>
    <row r="222" spans="1:26" x14ac:dyDescent="0.4">
      <c r="A222" s="52">
        <v>221</v>
      </c>
      <c r="B222" s="51">
        <f t="shared" si="20"/>
        <v>8</v>
      </c>
      <c r="C222" s="50">
        <f t="shared" si="21"/>
        <v>11</v>
      </c>
      <c r="D222" s="64" t="e">
        <f t="shared" si="22"/>
        <v>#N/A</v>
      </c>
      <c r="E222" s="121" cm="1">
        <f t="array" ref="E222">INDEX(InputArea,B222,C222)</f>
        <v>0</v>
      </c>
      <c r="F222" s="59" t="str">
        <f t="shared" si="23"/>
        <v>DZ</v>
      </c>
      <c r="G222" s="59" t="str">
        <f t="shared" si="24"/>
        <v>とほ</v>
      </c>
      <c r="H222" s="134"/>
      <c r="I222" s="135"/>
      <c r="J222" s="84">
        <f t="shared" si="25"/>
        <v>0</v>
      </c>
      <c r="K222" s="83"/>
      <c r="L222" s="64" t="e">
        <v>#N/A</v>
      </c>
      <c r="M222" s="121">
        <v>0</v>
      </c>
      <c r="N222" s="59" t="str">
        <v>DZ</v>
      </c>
      <c r="O222" s="126" t="str">
        <v>とほ</v>
      </c>
      <c r="P222" s="126">
        <v>0</v>
      </c>
      <c r="Q222" s="127">
        <v>0</v>
      </c>
      <c r="R222" s="84">
        <v>0</v>
      </c>
      <c r="T222" s="100" t="e">
        <v>#N/A</v>
      </c>
      <c r="U222" s="121">
        <v>0</v>
      </c>
      <c r="V222" s="59" t="str">
        <v>DZ</v>
      </c>
      <c r="W222" s="126" t="str">
        <v>とほ</v>
      </c>
      <c r="X222" s="126">
        <v>0</v>
      </c>
      <c r="Y222" s="127">
        <v>0</v>
      </c>
      <c r="Z222" s="90">
        <v>0</v>
      </c>
    </row>
    <row r="223" spans="1:26" x14ac:dyDescent="0.4">
      <c r="A223" s="52">
        <v>222</v>
      </c>
      <c r="B223" s="51">
        <f t="shared" si="20"/>
        <v>8</v>
      </c>
      <c r="C223" s="50">
        <f t="shared" si="21"/>
        <v>12</v>
      </c>
      <c r="D223" s="64" t="e">
        <f t="shared" si="22"/>
        <v>#N/A</v>
      </c>
      <c r="E223" s="121" cm="1">
        <f t="array" ref="E223">INDEX(InputArea,B223,C223)</f>
        <v>0</v>
      </c>
      <c r="F223" s="59" t="str">
        <f t="shared" si="23"/>
        <v>DX</v>
      </c>
      <c r="G223" s="59" t="str">
        <f t="shared" si="24"/>
        <v>とひ</v>
      </c>
      <c r="H223" s="134"/>
      <c r="I223" s="135"/>
      <c r="J223" s="84">
        <f t="shared" si="25"/>
        <v>0</v>
      </c>
      <c r="K223" s="83"/>
      <c r="L223" s="64" t="e">
        <v>#N/A</v>
      </c>
      <c r="M223" s="121">
        <v>0</v>
      </c>
      <c r="N223" s="59" t="str">
        <v>DX</v>
      </c>
      <c r="O223" s="126" t="str">
        <v>とひ</v>
      </c>
      <c r="P223" s="126">
        <v>0</v>
      </c>
      <c r="Q223" s="127">
        <v>0</v>
      </c>
      <c r="R223" s="84">
        <v>0</v>
      </c>
      <c r="T223" s="100" t="e">
        <v>#N/A</v>
      </c>
      <c r="U223" s="121">
        <v>0</v>
      </c>
      <c r="V223" s="59" t="str">
        <v>DX</v>
      </c>
      <c r="W223" s="126" t="str">
        <v>とひ</v>
      </c>
      <c r="X223" s="126">
        <v>0</v>
      </c>
      <c r="Y223" s="127">
        <v>0</v>
      </c>
      <c r="Z223" s="90">
        <v>0</v>
      </c>
    </row>
    <row r="224" spans="1:26" x14ac:dyDescent="0.4">
      <c r="A224" s="52">
        <v>223</v>
      </c>
      <c r="B224" s="51">
        <f t="shared" si="20"/>
        <v>8</v>
      </c>
      <c r="C224" s="50">
        <f t="shared" si="21"/>
        <v>13</v>
      </c>
      <c r="D224" s="64" t="e">
        <f t="shared" si="22"/>
        <v>#N/A</v>
      </c>
      <c r="E224" s="121" cm="1">
        <f t="array" ref="E224">INDEX(InputArea,B224,C224)</f>
        <v>0</v>
      </c>
      <c r="F224" s="59" t="str">
        <f t="shared" si="23"/>
        <v>DC</v>
      </c>
      <c r="G224" s="59" t="str">
        <f t="shared" si="24"/>
        <v>とは</v>
      </c>
      <c r="H224" s="134"/>
      <c r="I224" s="135"/>
      <c r="J224" s="84">
        <f t="shared" si="25"/>
        <v>0</v>
      </c>
      <c r="K224" s="83"/>
      <c r="L224" s="64" t="e">
        <v>#N/A</v>
      </c>
      <c r="M224" s="121">
        <v>0</v>
      </c>
      <c r="N224" s="59" t="str">
        <v>DC</v>
      </c>
      <c r="O224" s="126" t="str">
        <v>とは</v>
      </c>
      <c r="P224" s="126">
        <v>0</v>
      </c>
      <c r="Q224" s="127">
        <v>0</v>
      </c>
      <c r="R224" s="84">
        <v>0</v>
      </c>
      <c r="T224" s="100" t="e">
        <v>#N/A</v>
      </c>
      <c r="U224" s="121">
        <v>0</v>
      </c>
      <c r="V224" s="59" t="str">
        <v>DC</v>
      </c>
      <c r="W224" s="126" t="str">
        <v>とは</v>
      </c>
      <c r="X224" s="126">
        <v>0</v>
      </c>
      <c r="Y224" s="127">
        <v>0</v>
      </c>
      <c r="Z224" s="90">
        <v>0</v>
      </c>
    </row>
    <row r="225" spans="1:26" x14ac:dyDescent="0.4">
      <c r="A225" s="52">
        <v>224</v>
      </c>
      <c r="B225" s="51">
        <f t="shared" si="20"/>
        <v>8</v>
      </c>
      <c r="C225" s="50">
        <f t="shared" si="21"/>
        <v>14</v>
      </c>
      <c r="D225" s="64" t="e">
        <f t="shared" si="22"/>
        <v>#N/A</v>
      </c>
      <c r="E225" s="121" cm="1">
        <f t="array" ref="E225">INDEX(InputArea,B225,C225)</f>
        <v>0</v>
      </c>
      <c r="F225" s="59" t="str">
        <f t="shared" si="23"/>
        <v>DV</v>
      </c>
      <c r="G225" s="59" t="str">
        <f t="shared" si="24"/>
        <v>とこ</v>
      </c>
      <c r="H225" s="134"/>
      <c r="I225" s="135"/>
      <c r="J225" s="84">
        <f t="shared" si="25"/>
        <v>0</v>
      </c>
      <c r="K225" s="83"/>
      <c r="L225" s="64" t="e">
        <v>#N/A</v>
      </c>
      <c r="M225" s="121">
        <v>0</v>
      </c>
      <c r="N225" s="59" t="str">
        <v>DV</v>
      </c>
      <c r="O225" s="126" t="str">
        <v>とこ</v>
      </c>
      <c r="P225" s="126">
        <v>0</v>
      </c>
      <c r="Q225" s="127">
        <v>0</v>
      </c>
      <c r="R225" s="84">
        <v>0</v>
      </c>
      <c r="T225" s="100" t="e">
        <v>#N/A</v>
      </c>
      <c r="U225" s="121">
        <v>0</v>
      </c>
      <c r="V225" s="59" t="str">
        <v>DV</v>
      </c>
      <c r="W225" s="126" t="str">
        <v>とこ</v>
      </c>
      <c r="X225" s="126">
        <v>0</v>
      </c>
      <c r="Y225" s="127">
        <v>0</v>
      </c>
      <c r="Z225" s="90">
        <v>0</v>
      </c>
    </row>
    <row r="226" spans="1:26" x14ac:dyDescent="0.4">
      <c r="A226" s="52">
        <v>225</v>
      </c>
      <c r="B226" s="51">
        <f t="shared" si="20"/>
        <v>8</v>
      </c>
      <c r="C226" s="50">
        <f t="shared" si="21"/>
        <v>15</v>
      </c>
      <c r="D226" s="64" t="e">
        <f t="shared" si="22"/>
        <v>#N/A</v>
      </c>
      <c r="E226" s="121" cm="1">
        <f t="array" ref="E226">INDEX(InputArea,B226,C226)</f>
        <v>0</v>
      </c>
      <c r="F226" s="59" t="str">
        <f t="shared" si="23"/>
        <v>DB</v>
      </c>
      <c r="G226" s="59" t="str">
        <f t="shared" si="24"/>
        <v>とそ</v>
      </c>
      <c r="H226" s="134"/>
      <c r="I226" s="135"/>
      <c r="J226" s="84">
        <f t="shared" si="25"/>
        <v>0</v>
      </c>
      <c r="K226" s="83"/>
      <c r="L226" s="64" t="e">
        <v>#N/A</v>
      </c>
      <c r="M226" s="121">
        <v>0</v>
      </c>
      <c r="N226" s="59" t="str">
        <v>DB</v>
      </c>
      <c r="O226" s="126" t="str">
        <v>とそ</v>
      </c>
      <c r="P226" s="126">
        <v>0</v>
      </c>
      <c r="Q226" s="127">
        <v>0</v>
      </c>
      <c r="R226" s="84">
        <v>0</v>
      </c>
      <c r="T226" s="100" t="e">
        <v>#N/A</v>
      </c>
      <c r="U226" s="121">
        <v>0</v>
      </c>
      <c r="V226" s="59" t="str">
        <v>DB</v>
      </c>
      <c r="W226" s="126" t="str">
        <v>とそ</v>
      </c>
      <c r="X226" s="126">
        <v>0</v>
      </c>
      <c r="Y226" s="127">
        <v>0</v>
      </c>
      <c r="Z226" s="90">
        <v>0</v>
      </c>
    </row>
    <row r="227" spans="1:26" x14ac:dyDescent="0.4">
      <c r="A227" s="52">
        <v>226</v>
      </c>
      <c r="B227" s="51">
        <f t="shared" si="20"/>
        <v>8</v>
      </c>
      <c r="C227" s="50">
        <f t="shared" si="21"/>
        <v>16</v>
      </c>
      <c r="D227" s="64" t="e">
        <f t="shared" si="22"/>
        <v>#N/A</v>
      </c>
      <c r="E227" s="121" cm="1">
        <f t="array" ref="E227">INDEX(InputArea,B227,C227)</f>
        <v>0</v>
      </c>
      <c r="F227" s="59" t="str">
        <f t="shared" si="23"/>
        <v>DY</v>
      </c>
      <c r="G227" s="59" t="str">
        <f t="shared" si="24"/>
        <v>と→</v>
      </c>
      <c r="H227" s="134"/>
      <c r="I227" s="135"/>
      <c r="J227" s="84">
        <f t="shared" si="25"/>
        <v>1</v>
      </c>
      <c r="K227" s="83"/>
      <c r="L227" s="64" t="e">
        <v>#N/A</v>
      </c>
      <c r="M227" s="121">
        <v>0</v>
      </c>
      <c r="N227" s="59" t="str">
        <v>DY</v>
      </c>
      <c r="O227" s="126" t="str">
        <v>と→</v>
      </c>
      <c r="P227" s="126">
        <v>0</v>
      </c>
      <c r="Q227" s="127">
        <v>0</v>
      </c>
      <c r="R227" s="84">
        <v>1</v>
      </c>
      <c r="T227" s="100" t="e">
        <v>#N/A</v>
      </c>
      <c r="U227" s="121">
        <v>0</v>
      </c>
      <c r="V227" s="59" t="str">
        <v>DY</v>
      </c>
      <c r="W227" s="126" t="str">
        <v>と→</v>
      </c>
      <c r="X227" s="126">
        <v>0</v>
      </c>
      <c r="Y227" s="127">
        <v>0</v>
      </c>
      <c r="Z227" s="90">
        <v>1</v>
      </c>
    </row>
    <row r="228" spans="1:26" x14ac:dyDescent="0.4">
      <c r="A228" s="52">
        <v>227</v>
      </c>
      <c r="B228" s="51">
        <f t="shared" si="20"/>
        <v>8</v>
      </c>
      <c r="C228" s="50">
        <f t="shared" si="21"/>
        <v>17</v>
      </c>
      <c r="D228" s="64" t="e">
        <f t="shared" si="22"/>
        <v>#N/A</v>
      </c>
      <c r="E228" s="121" cm="1">
        <f t="array" ref="E228">INDEX(InputArea,B228,C228)</f>
        <v>0</v>
      </c>
      <c r="F228" s="59" t="str">
        <f t="shared" si="23"/>
        <v>DU</v>
      </c>
      <c r="G228" s="59" t="str">
        <f t="shared" si="24"/>
        <v>とBS</v>
      </c>
      <c r="H228" s="134"/>
      <c r="I228" s="136" t="s">
        <v>268</v>
      </c>
      <c r="J228" s="84">
        <f t="shared" si="25"/>
        <v>1</v>
      </c>
      <c r="K228" s="83"/>
      <c r="L228" s="64" t="e">
        <v>#N/A</v>
      </c>
      <c r="M228" s="121">
        <v>0</v>
      </c>
      <c r="N228" s="59" t="str">
        <v>DU</v>
      </c>
      <c r="O228" s="126" t="str">
        <v>とBS</v>
      </c>
      <c r="P228" s="126">
        <v>0</v>
      </c>
      <c r="Q228" s="127" t="str">
        <v>づ</v>
      </c>
      <c r="R228" s="84">
        <v>1</v>
      </c>
      <c r="T228" s="100" t="e">
        <v>#N/A</v>
      </c>
      <c r="U228" s="121">
        <v>0</v>
      </c>
      <c r="V228" s="59" t="str">
        <v>DU</v>
      </c>
      <c r="W228" s="126" t="str">
        <v>とBS</v>
      </c>
      <c r="X228" s="126">
        <v>0</v>
      </c>
      <c r="Y228" s="127" t="str">
        <v>づ</v>
      </c>
      <c r="Z228" s="90">
        <v>1</v>
      </c>
    </row>
    <row r="229" spans="1:26" x14ac:dyDescent="0.4">
      <c r="A229" s="52">
        <v>228</v>
      </c>
      <c r="B229" s="51">
        <f t="shared" si="20"/>
        <v>8</v>
      </c>
      <c r="C229" s="50">
        <f t="shared" si="21"/>
        <v>18</v>
      </c>
      <c r="D229" s="64" t="e">
        <f t="shared" si="22"/>
        <v>#N/A</v>
      </c>
      <c r="E229" s="121" cm="1">
        <f t="array" ref="E229">INDEX(InputArea,B229,C229)</f>
        <v>0</v>
      </c>
      <c r="F229" s="59" t="str">
        <f t="shared" si="23"/>
        <v>DI</v>
      </c>
      <c r="G229" s="59" t="str">
        <f t="shared" si="24"/>
        <v>とる</v>
      </c>
      <c r="H229" s="137" t="s">
        <v>259</v>
      </c>
      <c r="I229" s="136" t="s">
        <v>270</v>
      </c>
      <c r="J229" s="84">
        <f t="shared" si="25"/>
        <v>1</v>
      </c>
      <c r="K229" s="83"/>
      <c r="L229" s="64" t="e">
        <v>#N/A</v>
      </c>
      <c r="M229" s="121">
        <v>0</v>
      </c>
      <c r="N229" s="59" t="str">
        <v>DI</v>
      </c>
      <c r="O229" s="126" t="str">
        <v>とる</v>
      </c>
      <c r="P229" s="126" t="str">
        <v>にょ</v>
      </c>
      <c r="Q229" s="127" t="str">
        <v>ぢ</v>
      </c>
      <c r="R229" s="84">
        <v>1</v>
      </c>
      <c r="T229" s="100" t="e">
        <v>#N/A</v>
      </c>
      <c r="U229" s="121">
        <v>0</v>
      </c>
      <c r="V229" s="59" t="str">
        <v>DI</v>
      </c>
      <c r="W229" s="126" t="str">
        <v>とる</v>
      </c>
      <c r="X229" s="126" t="str">
        <v>にょ</v>
      </c>
      <c r="Y229" s="127" t="str">
        <v>ぢ</v>
      </c>
      <c r="Z229" s="90">
        <v>1</v>
      </c>
    </row>
    <row r="230" spans="1:26" x14ac:dyDescent="0.4">
      <c r="A230" s="52">
        <v>229</v>
      </c>
      <c r="B230" s="51">
        <f t="shared" si="20"/>
        <v>8</v>
      </c>
      <c r="C230" s="50">
        <f t="shared" si="21"/>
        <v>19</v>
      </c>
      <c r="D230" s="64" t="e">
        <f t="shared" si="22"/>
        <v>#N/A</v>
      </c>
      <c r="E230" s="121" cm="1">
        <f t="array" ref="E230">INDEX(InputArea,B230,C230)</f>
        <v>0</v>
      </c>
      <c r="F230" s="59" t="str">
        <f t="shared" si="23"/>
        <v>DO</v>
      </c>
      <c r="G230" s="59" t="str">
        <f t="shared" si="24"/>
        <v>とす</v>
      </c>
      <c r="H230" s="134"/>
      <c r="I230" s="136" t="s">
        <v>262</v>
      </c>
      <c r="J230" s="84">
        <f t="shared" si="25"/>
        <v>1</v>
      </c>
      <c r="K230" s="83"/>
      <c r="L230" s="64" t="e">
        <v>#N/A</v>
      </c>
      <c r="M230" s="121">
        <v>0</v>
      </c>
      <c r="N230" s="59" t="str">
        <v>DO</v>
      </c>
      <c r="O230" s="126" t="str">
        <v>とす</v>
      </c>
      <c r="P230" s="126">
        <v>0</v>
      </c>
      <c r="Q230" s="127" t="str">
        <v>ど</v>
      </c>
      <c r="R230" s="84">
        <v>1</v>
      </c>
      <c r="T230" s="100" t="e">
        <v>#N/A</v>
      </c>
      <c r="U230" s="121">
        <v>0</v>
      </c>
      <c r="V230" s="59" t="str">
        <v>DO</v>
      </c>
      <c r="W230" s="126" t="str">
        <v>とす</v>
      </c>
      <c r="X230" s="126">
        <v>0</v>
      </c>
      <c r="Y230" s="127" t="str">
        <v>ど</v>
      </c>
      <c r="Z230" s="90">
        <v>1</v>
      </c>
    </row>
    <row r="231" spans="1:26" x14ac:dyDescent="0.4">
      <c r="A231" s="52">
        <v>230</v>
      </c>
      <c r="B231" s="51">
        <f t="shared" si="20"/>
        <v>8</v>
      </c>
      <c r="C231" s="50">
        <f t="shared" si="21"/>
        <v>20</v>
      </c>
      <c r="D231" s="64" t="e">
        <f t="shared" si="22"/>
        <v>#N/A</v>
      </c>
      <c r="E231" s="121" cm="1">
        <f t="array" ref="E231">INDEX(InputArea,B231,C231)</f>
        <v>0</v>
      </c>
      <c r="F231" s="59" t="str">
        <f t="shared" si="23"/>
        <v>DP</v>
      </c>
      <c r="G231" s="59" t="str">
        <f t="shared" si="24"/>
        <v>とへ</v>
      </c>
      <c r="H231" s="137" t="s">
        <v>260</v>
      </c>
      <c r="I231" s="135"/>
      <c r="J231" s="84">
        <f t="shared" si="25"/>
        <v>1</v>
      </c>
      <c r="K231" s="83"/>
      <c r="L231" s="64" t="e">
        <v>#N/A</v>
      </c>
      <c r="M231" s="121">
        <v>0</v>
      </c>
      <c r="N231" s="59" t="str">
        <v>DP</v>
      </c>
      <c r="O231" s="126" t="str">
        <v>とへ</v>
      </c>
      <c r="P231" s="126" t="str">
        <v>にゅ</v>
      </c>
      <c r="Q231" s="127">
        <v>0</v>
      </c>
      <c r="R231" s="84">
        <v>1</v>
      </c>
      <c r="T231" s="100" t="e">
        <v>#N/A</v>
      </c>
      <c r="U231" s="121">
        <v>0</v>
      </c>
      <c r="V231" s="59" t="str">
        <v>DP</v>
      </c>
      <c r="W231" s="126" t="str">
        <v>とへ</v>
      </c>
      <c r="X231" s="126" t="str">
        <v>にゅ</v>
      </c>
      <c r="Y231" s="127">
        <v>0</v>
      </c>
      <c r="Z231" s="90">
        <v>1</v>
      </c>
    </row>
    <row r="232" spans="1:26" x14ac:dyDescent="0.4">
      <c r="A232" s="52">
        <v>231</v>
      </c>
      <c r="B232" s="51">
        <f t="shared" si="20"/>
        <v>8</v>
      </c>
      <c r="C232" s="50">
        <f t="shared" si="21"/>
        <v>21</v>
      </c>
      <c r="D232" s="64" t="e">
        <f t="shared" si="22"/>
        <v>#N/A</v>
      </c>
      <c r="E232" s="121" cm="1">
        <f t="array" ref="E232">INDEX(InputArea,B232,C232)</f>
        <v>0</v>
      </c>
      <c r="F232" s="59" t="str">
        <f t="shared" si="23"/>
        <v>DH</v>
      </c>
      <c r="G232" s="59" t="str">
        <f t="shared" si="24"/>
        <v>とく</v>
      </c>
      <c r="H232" s="137" t="s">
        <v>261</v>
      </c>
      <c r="I232" s="136" t="s">
        <v>388</v>
      </c>
      <c r="J232" s="84">
        <f t="shared" si="25"/>
        <v>1</v>
      </c>
      <c r="K232" s="83"/>
      <c r="L232" s="64" t="e">
        <v>#N/A</v>
      </c>
      <c r="M232" s="121">
        <v>0</v>
      </c>
      <c r="N232" s="59" t="str">
        <v>DH</v>
      </c>
      <c r="O232" s="126" t="str">
        <v>とく</v>
      </c>
      <c r="P232" s="126" t="str">
        <v>にゃ</v>
      </c>
      <c r="Q232" s="127" t="str">
        <v>ｄｈ</v>
      </c>
      <c r="R232" s="84">
        <v>1</v>
      </c>
      <c r="T232" s="100" t="e">
        <v>#N/A</v>
      </c>
      <c r="U232" s="121">
        <v>0</v>
      </c>
      <c r="V232" s="59" t="str">
        <v>DH</v>
      </c>
      <c r="W232" s="126" t="str">
        <v>とく</v>
      </c>
      <c r="X232" s="126" t="str">
        <v>にゃ</v>
      </c>
      <c r="Y232" s="127" t="str">
        <v>ｄｈ</v>
      </c>
      <c r="Z232" s="90">
        <v>1</v>
      </c>
    </row>
    <row r="233" spans="1:26" x14ac:dyDescent="0.4">
      <c r="A233" s="52">
        <v>232</v>
      </c>
      <c r="B233" s="51">
        <f t="shared" si="20"/>
        <v>8</v>
      </c>
      <c r="C233" s="50">
        <f t="shared" si="21"/>
        <v>22</v>
      </c>
      <c r="D233" s="64" t="e">
        <f t="shared" si="22"/>
        <v>#N/A</v>
      </c>
      <c r="E233" s="121" cm="1">
        <f t="array" ref="E233">INDEX(InputArea,B233,C233)</f>
        <v>0</v>
      </c>
      <c r="F233" s="59" t="str">
        <f t="shared" si="23"/>
        <v>DJ</v>
      </c>
      <c r="G233" s="59" t="str">
        <f t="shared" si="24"/>
        <v>とあ</v>
      </c>
      <c r="H233" s="137" t="s">
        <v>262</v>
      </c>
      <c r="I233" s="135"/>
      <c r="J233" s="84">
        <f t="shared" si="25"/>
        <v>1</v>
      </c>
      <c r="K233" s="83"/>
      <c r="L233" s="64" t="e">
        <v>#N/A</v>
      </c>
      <c r="M233" s="121">
        <v>0</v>
      </c>
      <c r="N233" s="59" t="str">
        <v>DJ</v>
      </c>
      <c r="O233" s="126" t="str">
        <v>とあ</v>
      </c>
      <c r="P233" s="126" t="str">
        <v>ど</v>
      </c>
      <c r="Q233" s="127">
        <v>0</v>
      </c>
      <c r="R233" s="84">
        <v>1</v>
      </c>
      <c r="T233" s="100" t="e">
        <v>#N/A</v>
      </c>
      <c r="U233" s="121">
        <v>0</v>
      </c>
      <c r="V233" s="59" t="str">
        <v>DJ</v>
      </c>
      <c r="W233" s="126" t="str">
        <v>とあ</v>
      </c>
      <c r="X233" s="126" t="str">
        <v>ど</v>
      </c>
      <c r="Y233" s="127">
        <v>0</v>
      </c>
      <c r="Z233" s="90">
        <v>1</v>
      </c>
    </row>
    <row r="234" spans="1:26" x14ac:dyDescent="0.4">
      <c r="A234" s="52">
        <v>233</v>
      </c>
      <c r="B234" s="51">
        <f t="shared" si="20"/>
        <v>8</v>
      </c>
      <c r="C234" s="50">
        <f t="shared" si="21"/>
        <v>23</v>
      </c>
      <c r="D234" s="64" t="e">
        <f t="shared" si="22"/>
        <v>#N/A</v>
      </c>
      <c r="E234" s="121" cm="1">
        <f t="array" ref="E234">INDEX(InputArea,B234,C234)</f>
        <v>0</v>
      </c>
      <c r="F234" s="59" t="str">
        <f t="shared" si="23"/>
        <v>DK</v>
      </c>
      <c r="G234" s="59" t="str">
        <f t="shared" si="24"/>
        <v>とい</v>
      </c>
      <c r="H234" s="134"/>
      <c r="I234" s="135"/>
      <c r="J234" s="84">
        <f t="shared" si="25"/>
        <v>1</v>
      </c>
      <c r="K234" s="83"/>
      <c r="L234" s="64" t="e">
        <v>#N/A</v>
      </c>
      <c r="M234" s="121">
        <v>0</v>
      </c>
      <c r="N234" s="59" t="str">
        <v>DK</v>
      </c>
      <c r="O234" s="126" t="str">
        <v>とい</v>
      </c>
      <c r="P234" s="126">
        <v>0</v>
      </c>
      <c r="Q234" s="127">
        <v>0</v>
      </c>
      <c r="R234" s="84">
        <v>1</v>
      </c>
      <c r="T234" s="100" t="e">
        <v>#N/A</v>
      </c>
      <c r="U234" s="121">
        <v>0</v>
      </c>
      <c r="V234" s="59" t="str">
        <v>DK</v>
      </c>
      <c r="W234" s="126" t="str">
        <v>とい</v>
      </c>
      <c r="X234" s="126">
        <v>0</v>
      </c>
      <c r="Y234" s="127">
        <v>0</v>
      </c>
      <c r="Z234" s="90">
        <v>1</v>
      </c>
    </row>
    <row r="235" spans="1:26" x14ac:dyDescent="0.4">
      <c r="A235" s="52">
        <v>234</v>
      </c>
      <c r="B235" s="51">
        <f t="shared" si="20"/>
        <v>8</v>
      </c>
      <c r="C235" s="50">
        <f t="shared" si="21"/>
        <v>24</v>
      </c>
      <c r="D235" s="64" t="e">
        <f t="shared" si="22"/>
        <v>#N/A</v>
      </c>
      <c r="E235" s="121" cm="1">
        <f t="array" ref="E235">INDEX(InputArea,B235,C235)</f>
        <v>0</v>
      </c>
      <c r="F235" s="59" t="str">
        <f t="shared" si="23"/>
        <v>DL</v>
      </c>
      <c r="G235" s="59" t="str">
        <f t="shared" si="24"/>
        <v>とう</v>
      </c>
      <c r="H235" s="134"/>
      <c r="I235" s="135"/>
      <c r="J235" s="84">
        <f t="shared" si="25"/>
        <v>1</v>
      </c>
      <c r="K235" s="83"/>
      <c r="L235" s="64" t="e">
        <v>#N/A</v>
      </c>
      <c r="M235" s="121">
        <v>0</v>
      </c>
      <c r="N235" s="59" t="str">
        <v>DL</v>
      </c>
      <c r="O235" s="126" t="str">
        <v>とう</v>
      </c>
      <c r="P235" s="126">
        <v>0</v>
      </c>
      <c r="Q235" s="127">
        <v>0</v>
      </c>
      <c r="R235" s="84">
        <v>1</v>
      </c>
      <c r="T235" s="100" t="e">
        <v>#N/A</v>
      </c>
      <c r="U235" s="121">
        <v>0</v>
      </c>
      <c r="V235" s="59" t="str">
        <v>DL</v>
      </c>
      <c r="W235" s="126" t="str">
        <v>とう</v>
      </c>
      <c r="X235" s="126">
        <v>0</v>
      </c>
      <c r="Y235" s="127">
        <v>0</v>
      </c>
      <c r="Z235" s="90">
        <v>1</v>
      </c>
    </row>
    <row r="236" spans="1:26" x14ac:dyDescent="0.4">
      <c r="A236" s="52">
        <v>235</v>
      </c>
      <c r="B236" s="51">
        <f t="shared" si="20"/>
        <v>8</v>
      </c>
      <c r="C236" s="50">
        <f t="shared" si="21"/>
        <v>25</v>
      </c>
      <c r="D236" s="64" t="e">
        <f t="shared" si="22"/>
        <v>#N/A</v>
      </c>
      <c r="E236" s="121" cm="1">
        <f t="array" ref="E236">INDEX(InputArea,B236,C236)</f>
        <v>0</v>
      </c>
      <c r="F236" s="59" t="str">
        <f t="shared" si="23"/>
        <v>D;</v>
      </c>
      <c r="G236" s="59" t="str">
        <f t="shared" si="24"/>
        <v>とー</v>
      </c>
      <c r="H236" s="134"/>
      <c r="I236" s="135"/>
      <c r="J236" s="84">
        <f t="shared" si="25"/>
        <v>1</v>
      </c>
      <c r="K236" s="83"/>
      <c r="L236" s="64" t="e">
        <v>#N/A</v>
      </c>
      <c r="M236" s="121">
        <v>0</v>
      </c>
      <c r="N236" s="59" t="str">
        <v>D;</v>
      </c>
      <c r="O236" s="126" t="str">
        <v>とー</v>
      </c>
      <c r="P236" s="126">
        <v>0</v>
      </c>
      <c r="Q236" s="127">
        <v>0</v>
      </c>
      <c r="R236" s="84">
        <v>1</v>
      </c>
      <c r="T236" s="100" t="e">
        <v>#N/A</v>
      </c>
      <c r="U236" s="121">
        <v>0</v>
      </c>
      <c r="V236" s="59" t="str">
        <v>D;</v>
      </c>
      <c r="W236" s="126" t="str">
        <v>とー</v>
      </c>
      <c r="X236" s="126">
        <v>0</v>
      </c>
      <c r="Y236" s="127">
        <v>0</v>
      </c>
      <c r="Z236" s="90">
        <v>1</v>
      </c>
    </row>
    <row r="237" spans="1:26" x14ac:dyDescent="0.4">
      <c r="A237" s="52">
        <v>236</v>
      </c>
      <c r="B237" s="51">
        <f t="shared" si="20"/>
        <v>8</v>
      </c>
      <c r="C237" s="50">
        <f t="shared" si="21"/>
        <v>26</v>
      </c>
      <c r="D237" s="64" t="e">
        <f t="shared" si="22"/>
        <v>#N/A</v>
      </c>
      <c r="E237" s="121" cm="1">
        <f t="array" ref="E237">INDEX(InputArea,B237,C237)</f>
        <v>0</v>
      </c>
      <c r="F237" s="59" t="str">
        <f t="shared" si="23"/>
        <v>DN</v>
      </c>
      <c r="G237" s="59" t="str">
        <f t="shared" si="24"/>
        <v>とた</v>
      </c>
      <c r="H237" s="134"/>
      <c r="I237" s="135"/>
      <c r="J237" s="84">
        <f t="shared" si="25"/>
        <v>1</v>
      </c>
      <c r="K237" s="83"/>
      <c r="L237" s="64" t="e">
        <v>#N/A</v>
      </c>
      <c r="M237" s="121">
        <v>0</v>
      </c>
      <c r="N237" s="59" t="str">
        <v>DN</v>
      </c>
      <c r="O237" s="126" t="str">
        <v>とた</v>
      </c>
      <c r="P237" s="126">
        <v>0</v>
      </c>
      <c r="Q237" s="127">
        <v>0</v>
      </c>
      <c r="R237" s="84">
        <v>1</v>
      </c>
      <c r="T237" s="100" t="e">
        <v>#N/A</v>
      </c>
      <c r="U237" s="121">
        <v>0</v>
      </c>
      <c r="V237" s="59" t="str">
        <v>DN</v>
      </c>
      <c r="W237" s="126" t="str">
        <v>とた</v>
      </c>
      <c r="X237" s="126">
        <v>0</v>
      </c>
      <c r="Y237" s="127">
        <v>0</v>
      </c>
      <c r="Z237" s="90">
        <v>1</v>
      </c>
    </row>
    <row r="238" spans="1:26" x14ac:dyDescent="0.4">
      <c r="A238" s="52">
        <v>237</v>
      </c>
      <c r="B238" s="51">
        <f t="shared" si="20"/>
        <v>8</v>
      </c>
      <c r="C238" s="50">
        <f t="shared" si="21"/>
        <v>27</v>
      </c>
      <c r="D238" s="64" t="e">
        <f t="shared" si="22"/>
        <v>#N/A</v>
      </c>
      <c r="E238" s="121" cm="1">
        <f t="array" ref="E238">INDEX(InputArea,B238,C238)</f>
        <v>0</v>
      </c>
      <c r="F238" s="59" t="str">
        <f t="shared" si="23"/>
        <v>DM</v>
      </c>
      <c r="G238" s="59" t="str">
        <f t="shared" si="24"/>
        <v>とな</v>
      </c>
      <c r="H238" s="134"/>
      <c r="I238" s="135"/>
      <c r="J238" s="84">
        <f t="shared" si="25"/>
        <v>1</v>
      </c>
      <c r="K238" s="83"/>
      <c r="L238" s="64" t="e">
        <v>#N/A</v>
      </c>
      <c r="M238" s="121">
        <v>0</v>
      </c>
      <c r="N238" s="59" t="str">
        <v>DM</v>
      </c>
      <c r="O238" s="126" t="str">
        <v>とな</v>
      </c>
      <c r="P238" s="126">
        <v>0</v>
      </c>
      <c r="Q238" s="127">
        <v>0</v>
      </c>
      <c r="R238" s="84">
        <v>1</v>
      </c>
      <c r="T238" s="100" t="e">
        <v>#N/A</v>
      </c>
      <c r="U238" s="121">
        <v>0</v>
      </c>
      <c r="V238" s="59" t="str">
        <v>DM</v>
      </c>
      <c r="W238" s="126" t="str">
        <v>とな</v>
      </c>
      <c r="X238" s="126">
        <v>0</v>
      </c>
      <c r="Y238" s="127">
        <v>0</v>
      </c>
      <c r="Z238" s="90">
        <v>1</v>
      </c>
    </row>
    <row r="239" spans="1:26" x14ac:dyDescent="0.4">
      <c r="A239" s="52">
        <v>238</v>
      </c>
      <c r="B239" s="51">
        <f t="shared" si="20"/>
        <v>8</v>
      </c>
      <c r="C239" s="50">
        <f t="shared" si="21"/>
        <v>28</v>
      </c>
      <c r="D239" s="64" t="e">
        <f t="shared" si="22"/>
        <v>#N/A</v>
      </c>
      <c r="E239" s="121" cm="1">
        <f t="array" ref="E239">INDEX(InputArea,B239,C239)</f>
        <v>0</v>
      </c>
      <c r="F239" s="59" t="str">
        <f t="shared" si="23"/>
        <v>D,</v>
      </c>
      <c r="G239" s="59" t="str">
        <f t="shared" si="24"/>
        <v>とん</v>
      </c>
      <c r="H239" s="134"/>
      <c r="I239" s="135"/>
      <c r="J239" s="84">
        <f t="shared" si="25"/>
        <v>1</v>
      </c>
      <c r="K239" s="83"/>
      <c r="L239" s="64" t="e">
        <v>#N/A</v>
      </c>
      <c r="M239" s="121">
        <v>0</v>
      </c>
      <c r="N239" s="59" t="str">
        <v>D,</v>
      </c>
      <c r="O239" s="126" t="str">
        <v>とん</v>
      </c>
      <c r="P239" s="126">
        <v>0</v>
      </c>
      <c r="Q239" s="127">
        <v>0</v>
      </c>
      <c r="R239" s="84">
        <v>1</v>
      </c>
      <c r="T239" s="100" t="e">
        <v>#N/A</v>
      </c>
      <c r="U239" s="121">
        <v>0</v>
      </c>
      <c r="V239" s="59" t="str">
        <v>D,</v>
      </c>
      <c r="W239" s="126" t="str">
        <v>とん</v>
      </c>
      <c r="X239" s="126">
        <v>0</v>
      </c>
      <c r="Y239" s="127">
        <v>0</v>
      </c>
      <c r="Z239" s="90">
        <v>1</v>
      </c>
    </row>
    <row r="240" spans="1:26" x14ac:dyDescent="0.4">
      <c r="A240" s="52">
        <v>239</v>
      </c>
      <c r="B240" s="51">
        <f t="shared" si="20"/>
        <v>8</v>
      </c>
      <c r="C240" s="50">
        <f t="shared" si="21"/>
        <v>29</v>
      </c>
      <c r="D240" s="64" t="e">
        <f t="shared" si="22"/>
        <v>#N/A</v>
      </c>
      <c r="E240" s="121" cm="1">
        <f t="array" ref="E240">INDEX(InputArea,B240,C240)</f>
        <v>0</v>
      </c>
      <c r="F240" s="59" t="str">
        <f t="shared" si="23"/>
        <v>D.</v>
      </c>
      <c r="G240" s="59" t="str">
        <f t="shared" si="24"/>
        <v>とら</v>
      </c>
      <c r="H240" s="134"/>
      <c r="I240" s="135"/>
      <c r="J240" s="84">
        <f t="shared" si="25"/>
        <v>1</v>
      </c>
      <c r="K240" s="83"/>
      <c r="L240" s="64" t="e">
        <v>#N/A</v>
      </c>
      <c r="M240" s="121">
        <v>0</v>
      </c>
      <c r="N240" s="59" t="str">
        <v>D.</v>
      </c>
      <c r="O240" s="126" t="str">
        <v>とら</v>
      </c>
      <c r="P240" s="126">
        <v>0</v>
      </c>
      <c r="Q240" s="127">
        <v>0</v>
      </c>
      <c r="R240" s="84">
        <v>1</v>
      </c>
      <c r="T240" s="100" t="e">
        <v>#N/A</v>
      </c>
      <c r="U240" s="121">
        <v>0</v>
      </c>
      <c r="V240" s="59" t="str">
        <v>D.</v>
      </c>
      <c r="W240" s="126" t="str">
        <v>とら</v>
      </c>
      <c r="X240" s="126">
        <v>0</v>
      </c>
      <c r="Y240" s="127">
        <v>0</v>
      </c>
      <c r="Z240" s="90">
        <v>1</v>
      </c>
    </row>
    <row r="241" spans="1:26" x14ac:dyDescent="0.4">
      <c r="A241" s="52">
        <v>240</v>
      </c>
      <c r="B241" s="51">
        <f t="shared" si="20"/>
        <v>8</v>
      </c>
      <c r="C241" s="50">
        <f t="shared" si="21"/>
        <v>30</v>
      </c>
      <c r="D241" s="64" t="e">
        <f t="shared" si="22"/>
        <v>#N/A</v>
      </c>
      <c r="E241" s="121" cm="1">
        <f t="array" ref="E241">INDEX(InputArea,B241,C241)</f>
        <v>0</v>
      </c>
      <c r="F241" s="59" t="str">
        <f t="shared" si="23"/>
        <v>D/</v>
      </c>
      <c r="G241" s="59" t="str">
        <f t="shared" si="24"/>
        <v>とれ</v>
      </c>
      <c r="H241" s="134"/>
      <c r="I241" s="135"/>
      <c r="J241" s="84">
        <f t="shared" si="25"/>
        <v>1</v>
      </c>
      <c r="K241" s="83"/>
      <c r="L241" s="64" t="e">
        <v>#N/A</v>
      </c>
      <c r="M241" s="121">
        <v>0</v>
      </c>
      <c r="N241" s="59" t="str">
        <v>D/</v>
      </c>
      <c r="O241" s="126" t="str">
        <v>とれ</v>
      </c>
      <c r="P241" s="126">
        <v>0</v>
      </c>
      <c r="Q241" s="127">
        <v>0</v>
      </c>
      <c r="R241" s="84">
        <v>1</v>
      </c>
      <c r="T241" s="100" t="e">
        <v>#N/A</v>
      </c>
      <c r="U241" s="121">
        <v>0</v>
      </c>
      <c r="V241" s="59" t="str">
        <v>D/</v>
      </c>
      <c r="W241" s="126" t="str">
        <v>とれ</v>
      </c>
      <c r="X241" s="126">
        <v>0</v>
      </c>
      <c r="Y241" s="127">
        <v>0</v>
      </c>
      <c r="Z241" s="90">
        <v>1</v>
      </c>
    </row>
    <row r="242" spans="1:26" x14ac:dyDescent="0.4">
      <c r="A242" s="52">
        <v>241</v>
      </c>
      <c r="B242" s="51">
        <f t="shared" si="20"/>
        <v>9</v>
      </c>
      <c r="C242" s="50">
        <f t="shared" si="21"/>
        <v>1</v>
      </c>
      <c r="D242" s="64" t="e">
        <f t="shared" si="22"/>
        <v>#N/A</v>
      </c>
      <c r="E242" s="121" cm="1">
        <f t="array" ref="E242">INDEX(InputArea,B242,C242)</f>
        <v>0</v>
      </c>
      <c r="F242" s="59" t="str">
        <f t="shared" si="23"/>
        <v>FQ</v>
      </c>
      <c r="G242" s="59" t="str">
        <f t="shared" si="24"/>
        <v>かヴ</v>
      </c>
      <c r="H242" s="134"/>
      <c r="I242" s="135"/>
      <c r="J242" s="84">
        <f t="shared" si="25"/>
        <v>0</v>
      </c>
      <c r="K242" s="83"/>
      <c r="L242" s="64" t="e">
        <v>#N/A</v>
      </c>
      <c r="M242" s="121">
        <v>0</v>
      </c>
      <c r="N242" s="59" t="str">
        <v>FQ</v>
      </c>
      <c r="O242" s="126" t="str">
        <v>かヴ</v>
      </c>
      <c r="P242" s="126">
        <v>0</v>
      </c>
      <c r="Q242" s="127">
        <v>0</v>
      </c>
      <c r="R242" s="84">
        <v>0</v>
      </c>
      <c r="T242" s="100" t="e">
        <v>#N/A</v>
      </c>
      <c r="U242" s="121">
        <v>0</v>
      </c>
      <c r="V242" s="59" t="str">
        <v>FQ</v>
      </c>
      <c r="W242" s="126" t="str">
        <v>かヴ</v>
      </c>
      <c r="X242" s="126">
        <v>0</v>
      </c>
      <c r="Y242" s="127">
        <v>0</v>
      </c>
      <c r="Z242" s="90">
        <v>0</v>
      </c>
    </row>
    <row r="243" spans="1:26" x14ac:dyDescent="0.4">
      <c r="A243" s="52">
        <v>242</v>
      </c>
      <c r="B243" s="51">
        <f t="shared" si="20"/>
        <v>9</v>
      </c>
      <c r="C243" s="50">
        <f t="shared" si="21"/>
        <v>2</v>
      </c>
      <c r="D243" s="64" t="e">
        <f t="shared" si="22"/>
        <v>#N/A</v>
      </c>
      <c r="E243" s="121" cm="1">
        <f t="array" ref="E243">INDEX(InputArea,B243,C243)</f>
        <v>0</v>
      </c>
      <c r="F243" s="59" t="str">
        <f t="shared" si="23"/>
        <v>FW</v>
      </c>
      <c r="G243" s="59" t="str">
        <f t="shared" si="24"/>
        <v>かき</v>
      </c>
      <c r="H243" s="134"/>
      <c r="I243" s="135"/>
      <c r="J243" s="84">
        <f t="shared" si="25"/>
        <v>0</v>
      </c>
      <c r="K243" s="83"/>
      <c r="L243" s="64" t="e">
        <v>#N/A</v>
      </c>
      <c r="M243" s="121">
        <v>0</v>
      </c>
      <c r="N243" s="59" t="str">
        <v>FW</v>
      </c>
      <c r="O243" s="126" t="str">
        <v>かき</v>
      </c>
      <c r="P243" s="126">
        <v>0</v>
      </c>
      <c r="Q243" s="127">
        <v>0</v>
      </c>
      <c r="R243" s="84">
        <v>0</v>
      </c>
      <c r="T243" s="100" t="e">
        <v>#N/A</v>
      </c>
      <c r="U243" s="121">
        <v>0</v>
      </c>
      <c r="V243" s="59" t="str">
        <v>FW</v>
      </c>
      <c r="W243" s="126" t="str">
        <v>かき</v>
      </c>
      <c r="X243" s="126">
        <v>0</v>
      </c>
      <c r="Y243" s="127">
        <v>0</v>
      </c>
      <c r="Z243" s="90">
        <v>0</v>
      </c>
    </row>
    <row r="244" spans="1:26" x14ac:dyDescent="0.4">
      <c r="A244" s="52">
        <v>243</v>
      </c>
      <c r="B244" s="51">
        <f t="shared" si="20"/>
        <v>9</v>
      </c>
      <c r="C244" s="50">
        <f t="shared" si="21"/>
        <v>3</v>
      </c>
      <c r="D244" s="64" t="e">
        <f t="shared" si="22"/>
        <v>#N/A</v>
      </c>
      <c r="E244" s="121" cm="1">
        <f t="array" ref="E244">INDEX(InputArea,B244,C244)</f>
        <v>0</v>
      </c>
      <c r="F244" s="59" t="str">
        <f t="shared" si="23"/>
        <v>FE</v>
      </c>
      <c r="G244" s="59" t="str">
        <f t="shared" si="24"/>
        <v>かて</v>
      </c>
      <c r="H244" s="134"/>
      <c r="I244" s="136" t="s">
        <v>389</v>
      </c>
      <c r="J244" s="84">
        <f t="shared" si="25"/>
        <v>0</v>
      </c>
      <c r="K244" s="83"/>
      <c r="L244" s="64" t="e">
        <v>#N/A</v>
      </c>
      <c r="M244" s="121">
        <v>0</v>
      </c>
      <c r="N244" s="59" t="str">
        <v>FE</v>
      </c>
      <c r="O244" s="126" t="str">
        <v>かて</v>
      </c>
      <c r="P244" s="126">
        <v>0</v>
      </c>
      <c r="Q244" s="127" t="str">
        <v>ふぇ</v>
      </c>
      <c r="R244" s="84">
        <v>0</v>
      </c>
      <c r="T244" s="100" t="e">
        <v>#N/A</v>
      </c>
      <c r="U244" s="121">
        <v>0</v>
      </c>
      <c r="V244" s="59" t="str">
        <v>FE</v>
      </c>
      <c r="W244" s="126" t="str">
        <v>かて</v>
      </c>
      <c r="X244" s="126">
        <v>0</v>
      </c>
      <c r="Y244" s="127" t="str">
        <v>ふぇ</v>
      </c>
      <c r="Z244" s="90">
        <v>0</v>
      </c>
    </row>
    <row r="245" spans="1:26" x14ac:dyDescent="0.4">
      <c r="A245" s="52">
        <v>244</v>
      </c>
      <c r="B245" s="51">
        <f t="shared" si="20"/>
        <v>9</v>
      </c>
      <c r="C245" s="50">
        <f t="shared" si="21"/>
        <v>4</v>
      </c>
      <c r="D245" s="64" t="e">
        <f t="shared" si="22"/>
        <v>#N/A</v>
      </c>
      <c r="E245" s="121" cm="1">
        <f t="array" ref="E245">INDEX(InputArea,B245,C245)</f>
        <v>0</v>
      </c>
      <c r="F245" s="59" t="str">
        <f t="shared" si="23"/>
        <v>FR</v>
      </c>
      <c r="G245" s="59" t="str">
        <f t="shared" si="24"/>
        <v>かし</v>
      </c>
      <c r="H245" s="134"/>
      <c r="I245" s="135"/>
      <c r="J245" s="84">
        <f t="shared" si="25"/>
        <v>0</v>
      </c>
      <c r="K245" s="83"/>
      <c r="L245" s="64" t="e">
        <v>#N/A</v>
      </c>
      <c r="M245" s="121">
        <v>0</v>
      </c>
      <c r="N245" s="59" t="str">
        <v>FR</v>
      </c>
      <c r="O245" s="126" t="str">
        <v>かし</v>
      </c>
      <c r="P245" s="126">
        <v>0</v>
      </c>
      <c r="Q245" s="127">
        <v>0</v>
      </c>
      <c r="R245" s="84">
        <v>0</v>
      </c>
      <c r="T245" s="100" t="e">
        <v>#N/A</v>
      </c>
      <c r="U245" s="121">
        <v>0</v>
      </c>
      <c r="V245" s="59" t="str">
        <v>FR</v>
      </c>
      <c r="W245" s="126" t="str">
        <v>かし</v>
      </c>
      <c r="X245" s="126">
        <v>0</v>
      </c>
      <c r="Y245" s="127">
        <v>0</v>
      </c>
      <c r="Z245" s="90">
        <v>0</v>
      </c>
    </row>
    <row r="246" spans="1:26" x14ac:dyDescent="0.4">
      <c r="A246" s="52">
        <v>245</v>
      </c>
      <c r="B246" s="51">
        <f t="shared" si="20"/>
        <v>9</v>
      </c>
      <c r="C246" s="50">
        <f t="shared" si="21"/>
        <v>5</v>
      </c>
      <c r="D246" s="64" t="e">
        <f t="shared" si="22"/>
        <v>#N/A</v>
      </c>
      <c r="E246" s="121" cm="1">
        <f t="array" ref="E246">INDEX(InputArea,B246,C246)</f>
        <v>0</v>
      </c>
      <c r="F246" s="59" t="str">
        <f t="shared" si="23"/>
        <v>FT</v>
      </c>
      <c r="G246" s="59" t="str">
        <f t="shared" si="24"/>
        <v>か←</v>
      </c>
      <c r="H246" s="134"/>
      <c r="I246" s="135"/>
      <c r="J246" s="84">
        <f t="shared" si="25"/>
        <v>0</v>
      </c>
      <c r="K246" s="83"/>
      <c r="L246" s="64" t="e">
        <v>#N/A</v>
      </c>
      <c r="M246" s="121">
        <v>0</v>
      </c>
      <c r="N246" s="59" t="str">
        <v>FT</v>
      </c>
      <c r="O246" s="126" t="str">
        <v>か←</v>
      </c>
      <c r="P246" s="126">
        <v>0</v>
      </c>
      <c r="Q246" s="127">
        <v>0</v>
      </c>
      <c r="R246" s="84">
        <v>0</v>
      </c>
      <c r="T246" s="100" t="e">
        <v>#N/A</v>
      </c>
      <c r="U246" s="121">
        <v>0</v>
      </c>
      <c r="V246" s="59" t="str">
        <v>FT</v>
      </c>
      <c r="W246" s="126" t="str">
        <v>か←</v>
      </c>
      <c r="X246" s="126">
        <v>0</v>
      </c>
      <c r="Y246" s="127">
        <v>0</v>
      </c>
      <c r="Z246" s="90">
        <v>0</v>
      </c>
    </row>
    <row r="247" spans="1:26" x14ac:dyDescent="0.4">
      <c r="A247" s="52">
        <v>246</v>
      </c>
      <c r="B247" s="51">
        <f t="shared" si="20"/>
        <v>9</v>
      </c>
      <c r="C247" s="50">
        <f t="shared" si="21"/>
        <v>6</v>
      </c>
      <c r="D247" s="64" t="e">
        <f t="shared" si="22"/>
        <v>#N/A</v>
      </c>
      <c r="E247" s="121" cm="1">
        <f t="array" ref="E247">INDEX(InputArea,B247,C247)</f>
        <v>0</v>
      </c>
      <c r="F247" s="59" t="str">
        <f t="shared" si="23"/>
        <v>FA</v>
      </c>
      <c r="G247" s="59" t="str">
        <f t="shared" si="24"/>
        <v>かろ</v>
      </c>
      <c r="H247" s="134"/>
      <c r="I247" s="136" t="s">
        <v>390</v>
      </c>
      <c r="J247" s="84">
        <f t="shared" si="25"/>
        <v>0</v>
      </c>
      <c r="K247" s="83"/>
      <c r="L247" s="64" t="e">
        <v>#N/A</v>
      </c>
      <c r="M247" s="121">
        <v>0</v>
      </c>
      <c r="N247" s="59" t="str">
        <v>FA</v>
      </c>
      <c r="O247" s="126" t="str">
        <v>かろ</v>
      </c>
      <c r="P247" s="126">
        <v>0</v>
      </c>
      <c r="Q247" s="127" t="str">
        <v>ふぁ</v>
      </c>
      <c r="R247" s="84">
        <v>0</v>
      </c>
      <c r="T247" s="100" t="e">
        <v>#N/A</v>
      </c>
      <c r="U247" s="121">
        <v>0</v>
      </c>
      <c r="V247" s="59" t="str">
        <v>FA</v>
      </c>
      <c r="W247" s="126" t="str">
        <v>かろ</v>
      </c>
      <c r="X247" s="126">
        <v>0</v>
      </c>
      <c r="Y247" s="127" t="str">
        <v>ふぁ</v>
      </c>
      <c r="Z247" s="90">
        <v>0</v>
      </c>
    </row>
    <row r="248" spans="1:26" x14ac:dyDescent="0.4">
      <c r="A248" s="52">
        <v>247</v>
      </c>
      <c r="B248" s="51">
        <f t="shared" si="20"/>
        <v>9</v>
      </c>
      <c r="C248" s="50">
        <f t="shared" si="21"/>
        <v>7</v>
      </c>
      <c r="D248" s="64" t="e">
        <f t="shared" si="22"/>
        <v>#N/A</v>
      </c>
      <c r="E248" s="121" cm="1">
        <f t="array" ref="E248">INDEX(InputArea,B248,C248)</f>
        <v>0</v>
      </c>
      <c r="F248" s="59" t="str">
        <f t="shared" si="23"/>
        <v>FS</v>
      </c>
      <c r="G248" s="59" t="str">
        <f t="shared" si="24"/>
        <v>かけ</v>
      </c>
      <c r="H248" s="134"/>
      <c r="I248" s="135"/>
      <c r="J248" s="84">
        <f t="shared" si="25"/>
        <v>0</v>
      </c>
      <c r="K248" s="83"/>
      <c r="L248" s="64" t="e">
        <v>#N/A</v>
      </c>
      <c r="M248" s="121">
        <v>0</v>
      </c>
      <c r="N248" s="59" t="str">
        <v>FS</v>
      </c>
      <c r="O248" s="126" t="str">
        <v>かけ</v>
      </c>
      <c r="P248" s="126">
        <v>0</v>
      </c>
      <c r="Q248" s="127">
        <v>0</v>
      </c>
      <c r="R248" s="84">
        <v>0</v>
      </c>
      <c r="T248" s="100" t="e">
        <v>#N/A</v>
      </c>
      <c r="U248" s="121">
        <v>0</v>
      </c>
      <c r="V248" s="59" t="str">
        <v>FS</v>
      </c>
      <c r="W248" s="126" t="str">
        <v>かけ</v>
      </c>
      <c r="X248" s="126">
        <v>0</v>
      </c>
      <c r="Y248" s="127">
        <v>0</v>
      </c>
      <c r="Z248" s="90">
        <v>0</v>
      </c>
    </row>
    <row r="249" spans="1:26" x14ac:dyDescent="0.4">
      <c r="A249" s="52">
        <v>248</v>
      </c>
      <c r="B249" s="51">
        <f t="shared" si="20"/>
        <v>9</v>
      </c>
      <c r="C249" s="50">
        <f t="shared" si="21"/>
        <v>8</v>
      </c>
      <c r="D249" s="64" t="e">
        <f t="shared" si="22"/>
        <v>#N/A</v>
      </c>
      <c r="E249" s="121" cm="1">
        <f t="array" ref="E249">INDEX(InputArea,B249,C249)</f>
        <v>0</v>
      </c>
      <c r="F249" s="59" t="str">
        <f t="shared" si="23"/>
        <v>FD</v>
      </c>
      <c r="G249" s="59" t="str">
        <f t="shared" si="24"/>
        <v>かと</v>
      </c>
      <c r="H249" s="137" t="s">
        <v>616</v>
      </c>
      <c r="I249" s="135"/>
      <c r="J249" s="84">
        <f t="shared" si="25"/>
        <v>0</v>
      </c>
      <c r="K249" s="83"/>
      <c r="L249" s="64" t="e">
        <v>#N/A</v>
      </c>
      <c r="M249" s="121">
        <v>0</v>
      </c>
      <c r="N249" s="59" t="str">
        <v>FD</v>
      </c>
      <c r="O249" s="126" t="str">
        <v>かと</v>
      </c>
      <c r="P249" s="126" t="str">
        <v>編集</v>
      </c>
      <c r="Q249" s="127">
        <v>0</v>
      </c>
      <c r="R249" s="84">
        <v>0</v>
      </c>
      <c r="T249" s="100" t="e">
        <v>#N/A</v>
      </c>
      <c r="U249" s="121">
        <v>0</v>
      </c>
      <c r="V249" s="59" t="str">
        <v>FD</v>
      </c>
      <c r="W249" s="126" t="str">
        <v>かと</v>
      </c>
      <c r="X249" s="126" t="str">
        <v>編集</v>
      </c>
      <c r="Y249" s="127">
        <v>0</v>
      </c>
      <c r="Z249" s="90">
        <v>0</v>
      </c>
    </row>
    <row r="250" spans="1:26" x14ac:dyDescent="0.4">
      <c r="A250" s="52">
        <v>249</v>
      </c>
      <c r="B250" s="51">
        <f t="shared" si="20"/>
        <v>9</v>
      </c>
      <c r="C250" s="50">
        <f t="shared" si="21"/>
        <v>9</v>
      </c>
      <c r="D250" s="64" t="e">
        <f t="shared" si="22"/>
        <v>#N/A</v>
      </c>
      <c r="E250" s="121" cm="1">
        <f t="array" ref="E250">INDEX(InputArea,B250,C250)</f>
        <v>0</v>
      </c>
      <c r="F250" s="59" t="str">
        <f t="shared" si="23"/>
        <v>FF</v>
      </c>
      <c r="G250" s="59" t="str">
        <f t="shared" si="24"/>
        <v>かか</v>
      </c>
      <c r="H250" s="134"/>
      <c r="I250" s="136" t="s">
        <v>391</v>
      </c>
      <c r="J250" s="84">
        <f t="shared" si="25"/>
        <v>0</v>
      </c>
      <c r="K250" s="83"/>
      <c r="L250" s="64" t="e">
        <v>#N/A</v>
      </c>
      <c r="M250" s="121">
        <v>0</v>
      </c>
      <c r="N250" s="59" t="str">
        <v>FF</v>
      </c>
      <c r="O250" s="126" t="str">
        <v>かか</v>
      </c>
      <c r="P250" s="126">
        <v>0</v>
      </c>
      <c r="Q250" s="127" t="str">
        <v>っｆ</v>
      </c>
      <c r="R250" s="84">
        <v>0</v>
      </c>
      <c r="T250" s="100" t="e">
        <v>#N/A</v>
      </c>
      <c r="U250" s="121">
        <v>0</v>
      </c>
      <c r="V250" s="59" t="str">
        <v>FF</v>
      </c>
      <c r="W250" s="126" t="str">
        <v>かか</v>
      </c>
      <c r="X250" s="126">
        <v>0</v>
      </c>
      <c r="Y250" s="127" t="str">
        <v>っｆ</v>
      </c>
      <c r="Z250" s="90">
        <v>0</v>
      </c>
    </row>
    <row r="251" spans="1:26" x14ac:dyDescent="0.4">
      <c r="A251" s="52">
        <v>250</v>
      </c>
      <c r="B251" s="51">
        <f t="shared" si="20"/>
        <v>9</v>
      </c>
      <c r="C251" s="50">
        <f t="shared" si="21"/>
        <v>10</v>
      </c>
      <c r="D251" s="64" t="e">
        <f t="shared" si="22"/>
        <v>#N/A</v>
      </c>
      <c r="E251" s="121" cm="1">
        <f t="array" ref="E251">INDEX(InputArea,B251,C251)</f>
        <v>0</v>
      </c>
      <c r="F251" s="59" t="str">
        <f t="shared" si="23"/>
        <v>FG</v>
      </c>
      <c r="G251" s="59" t="str">
        <f t="shared" si="24"/>
        <v>かっ</v>
      </c>
      <c r="H251" s="137" t="s">
        <v>290</v>
      </c>
      <c r="I251" s="135"/>
      <c r="J251" s="84">
        <f t="shared" si="25"/>
        <v>0</v>
      </c>
      <c r="K251" s="83"/>
      <c r="L251" s="64" t="e">
        <v>#N/A</v>
      </c>
      <c r="M251" s="121">
        <v>0</v>
      </c>
      <c r="N251" s="59" t="str">
        <v>FG</v>
      </c>
      <c r="O251" s="126" t="str">
        <v>かっ</v>
      </c>
      <c r="P251" s="126" t="str">
        <v>IME OFF</v>
      </c>
      <c r="Q251" s="127">
        <v>0</v>
      </c>
      <c r="R251" s="84">
        <v>0</v>
      </c>
      <c r="T251" s="100" t="e">
        <v>#N/A</v>
      </c>
      <c r="U251" s="121">
        <v>0</v>
      </c>
      <c r="V251" s="59" t="str">
        <v>FG</v>
      </c>
      <c r="W251" s="126" t="str">
        <v>かっ</v>
      </c>
      <c r="X251" s="126" t="str">
        <v>IME OFF</v>
      </c>
      <c r="Y251" s="127">
        <v>0</v>
      </c>
      <c r="Z251" s="90">
        <v>0</v>
      </c>
    </row>
    <row r="252" spans="1:26" x14ac:dyDescent="0.4">
      <c r="A252" s="52">
        <v>251</v>
      </c>
      <c r="B252" s="51">
        <f t="shared" si="20"/>
        <v>9</v>
      </c>
      <c r="C252" s="50">
        <f t="shared" si="21"/>
        <v>11</v>
      </c>
      <c r="D252" s="64" t="e">
        <f t="shared" si="22"/>
        <v>#N/A</v>
      </c>
      <c r="E252" s="121" cm="1">
        <f t="array" ref="E252">INDEX(InputArea,B252,C252)</f>
        <v>0</v>
      </c>
      <c r="F252" s="59" t="str">
        <f t="shared" si="23"/>
        <v>FZ</v>
      </c>
      <c r="G252" s="59" t="str">
        <f t="shared" si="24"/>
        <v>かほ</v>
      </c>
      <c r="H252" s="134"/>
      <c r="I252" s="135"/>
      <c r="J252" s="84">
        <f t="shared" si="25"/>
        <v>0</v>
      </c>
      <c r="K252" s="83"/>
      <c r="L252" s="64" t="e">
        <v>#N/A</v>
      </c>
      <c r="M252" s="121">
        <v>0</v>
      </c>
      <c r="N252" s="59" t="str">
        <v>FZ</v>
      </c>
      <c r="O252" s="126" t="str">
        <v>かほ</v>
      </c>
      <c r="P252" s="126">
        <v>0</v>
      </c>
      <c r="Q252" s="127">
        <v>0</v>
      </c>
      <c r="R252" s="84">
        <v>0</v>
      </c>
      <c r="T252" s="100" t="e">
        <v>#N/A</v>
      </c>
      <c r="U252" s="121">
        <v>0</v>
      </c>
      <c r="V252" s="59" t="str">
        <v>FZ</v>
      </c>
      <c r="W252" s="126" t="str">
        <v>かほ</v>
      </c>
      <c r="X252" s="126">
        <v>0</v>
      </c>
      <c r="Y252" s="127">
        <v>0</v>
      </c>
      <c r="Z252" s="90">
        <v>0</v>
      </c>
    </row>
    <row r="253" spans="1:26" x14ac:dyDescent="0.4">
      <c r="A253" s="52">
        <v>252</v>
      </c>
      <c r="B253" s="51">
        <f t="shared" si="20"/>
        <v>9</v>
      </c>
      <c r="C253" s="50">
        <f t="shared" si="21"/>
        <v>12</v>
      </c>
      <c r="D253" s="64" t="e">
        <f t="shared" si="22"/>
        <v>#N/A</v>
      </c>
      <c r="E253" s="121" cm="1">
        <f t="array" ref="E253">INDEX(InputArea,B253,C253)</f>
        <v>0</v>
      </c>
      <c r="F253" s="59" t="str">
        <f t="shared" si="23"/>
        <v>FX</v>
      </c>
      <c r="G253" s="59" t="str">
        <f t="shared" si="24"/>
        <v>かひ</v>
      </c>
      <c r="H253" s="134"/>
      <c r="I253" s="135"/>
      <c r="J253" s="84">
        <f t="shared" si="25"/>
        <v>0</v>
      </c>
      <c r="K253" s="83"/>
      <c r="L253" s="64" t="e">
        <v>#N/A</v>
      </c>
      <c r="M253" s="121">
        <v>0</v>
      </c>
      <c r="N253" s="59" t="str">
        <v>FX</v>
      </c>
      <c r="O253" s="126" t="str">
        <v>かひ</v>
      </c>
      <c r="P253" s="126">
        <v>0</v>
      </c>
      <c r="Q253" s="127">
        <v>0</v>
      </c>
      <c r="R253" s="84">
        <v>0</v>
      </c>
      <c r="T253" s="100" t="e">
        <v>#N/A</v>
      </c>
      <c r="U253" s="121">
        <v>0</v>
      </c>
      <c r="V253" s="59" t="str">
        <v>FX</v>
      </c>
      <c r="W253" s="126" t="str">
        <v>かひ</v>
      </c>
      <c r="X253" s="126">
        <v>0</v>
      </c>
      <c r="Y253" s="127">
        <v>0</v>
      </c>
      <c r="Z253" s="90">
        <v>0</v>
      </c>
    </row>
    <row r="254" spans="1:26" x14ac:dyDescent="0.4">
      <c r="A254" s="52">
        <v>253</v>
      </c>
      <c r="B254" s="51">
        <f t="shared" si="20"/>
        <v>9</v>
      </c>
      <c r="C254" s="50">
        <f t="shared" si="21"/>
        <v>13</v>
      </c>
      <c r="D254" s="64" t="e">
        <f t="shared" si="22"/>
        <v>#N/A</v>
      </c>
      <c r="E254" s="121" cm="1">
        <f t="array" ref="E254">INDEX(InputArea,B254,C254)</f>
        <v>0</v>
      </c>
      <c r="F254" s="59" t="str">
        <f t="shared" si="23"/>
        <v>FC</v>
      </c>
      <c r="G254" s="59" t="str">
        <f t="shared" si="24"/>
        <v>かは</v>
      </c>
      <c r="H254" s="134"/>
      <c r="I254" s="135"/>
      <c r="J254" s="84">
        <f t="shared" si="25"/>
        <v>0</v>
      </c>
      <c r="K254" s="83"/>
      <c r="L254" s="64" t="e">
        <v>#N/A</v>
      </c>
      <c r="M254" s="121">
        <v>0</v>
      </c>
      <c r="N254" s="59" t="str">
        <v>FC</v>
      </c>
      <c r="O254" s="126" t="str">
        <v>かは</v>
      </c>
      <c r="P254" s="126">
        <v>0</v>
      </c>
      <c r="Q254" s="127">
        <v>0</v>
      </c>
      <c r="R254" s="84">
        <v>0</v>
      </c>
      <c r="T254" s="100" t="e">
        <v>#N/A</v>
      </c>
      <c r="U254" s="121">
        <v>0</v>
      </c>
      <c r="V254" s="59" t="str">
        <v>FC</v>
      </c>
      <c r="W254" s="126" t="str">
        <v>かは</v>
      </c>
      <c r="X254" s="126">
        <v>0</v>
      </c>
      <c r="Y254" s="127">
        <v>0</v>
      </c>
      <c r="Z254" s="90">
        <v>0</v>
      </c>
    </row>
    <row r="255" spans="1:26" x14ac:dyDescent="0.4">
      <c r="A255" s="52">
        <v>254</v>
      </c>
      <c r="B255" s="51">
        <f t="shared" si="20"/>
        <v>9</v>
      </c>
      <c r="C255" s="50">
        <f t="shared" si="21"/>
        <v>14</v>
      </c>
      <c r="D255" s="64" t="e">
        <f t="shared" si="22"/>
        <v>#N/A</v>
      </c>
      <c r="E255" s="121" cm="1">
        <f t="array" ref="E255">INDEX(InputArea,B255,C255)</f>
        <v>0</v>
      </c>
      <c r="F255" s="59" t="str">
        <f t="shared" si="23"/>
        <v>FV</v>
      </c>
      <c r="G255" s="59" t="str">
        <f t="shared" si="24"/>
        <v>かこ</v>
      </c>
      <c r="H255" s="134"/>
      <c r="I255" s="135"/>
      <c r="J255" s="84">
        <f t="shared" si="25"/>
        <v>0</v>
      </c>
      <c r="K255" s="83"/>
      <c r="L255" s="64" t="e">
        <v>#N/A</v>
      </c>
      <c r="M255" s="121">
        <v>0</v>
      </c>
      <c r="N255" s="59" t="str">
        <v>FV</v>
      </c>
      <c r="O255" s="126" t="str">
        <v>かこ</v>
      </c>
      <c r="P255" s="126">
        <v>0</v>
      </c>
      <c r="Q255" s="127">
        <v>0</v>
      </c>
      <c r="R255" s="84">
        <v>0</v>
      </c>
      <c r="T255" s="100" t="e">
        <v>#N/A</v>
      </c>
      <c r="U255" s="121">
        <v>0</v>
      </c>
      <c r="V255" s="59" t="str">
        <v>FV</v>
      </c>
      <c r="W255" s="126" t="str">
        <v>かこ</v>
      </c>
      <c r="X255" s="126">
        <v>0</v>
      </c>
      <c r="Y255" s="127">
        <v>0</v>
      </c>
      <c r="Z255" s="90">
        <v>0</v>
      </c>
    </row>
    <row r="256" spans="1:26" x14ac:dyDescent="0.4">
      <c r="A256" s="52">
        <v>255</v>
      </c>
      <c r="B256" s="51">
        <f t="shared" si="20"/>
        <v>9</v>
      </c>
      <c r="C256" s="50">
        <f t="shared" si="21"/>
        <v>15</v>
      </c>
      <c r="D256" s="64" t="e">
        <f t="shared" si="22"/>
        <v>#N/A</v>
      </c>
      <c r="E256" s="121" cm="1">
        <f t="array" ref="E256">INDEX(InputArea,B256,C256)</f>
        <v>0</v>
      </c>
      <c r="F256" s="59" t="str">
        <f t="shared" si="23"/>
        <v>FB</v>
      </c>
      <c r="G256" s="59" t="str">
        <f t="shared" si="24"/>
        <v>かそ</v>
      </c>
      <c r="H256" s="134"/>
      <c r="I256" s="135"/>
      <c r="J256" s="84">
        <f t="shared" si="25"/>
        <v>0</v>
      </c>
      <c r="K256" s="83"/>
      <c r="L256" s="64" t="e">
        <v>#N/A</v>
      </c>
      <c r="M256" s="121">
        <v>0</v>
      </c>
      <c r="N256" s="59" t="str">
        <v>FB</v>
      </c>
      <c r="O256" s="126" t="str">
        <v>かそ</v>
      </c>
      <c r="P256" s="126">
        <v>0</v>
      </c>
      <c r="Q256" s="127">
        <v>0</v>
      </c>
      <c r="R256" s="84">
        <v>0</v>
      </c>
      <c r="T256" s="100" t="e">
        <v>#N/A</v>
      </c>
      <c r="U256" s="121">
        <v>0</v>
      </c>
      <c r="V256" s="59" t="str">
        <v>FB</v>
      </c>
      <c r="W256" s="126" t="str">
        <v>かそ</v>
      </c>
      <c r="X256" s="126">
        <v>0</v>
      </c>
      <c r="Y256" s="127">
        <v>0</v>
      </c>
      <c r="Z256" s="90">
        <v>0</v>
      </c>
    </row>
    <row r="257" spans="1:26" x14ac:dyDescent="0.4">
      <c r="A257" s="52">
        <v>256</v>
      </c>
      <c r="B257" s="51">
        <f t="shared" si="20"/>
        <v>9</v>
      </c>
      <c r="C257" s="50">
        <f t="shared" si="21"/>
        <v>16</v>
      </c>
      <c r="D257" s="64" t="e">
        <f t="shared" si="22"/>
        <v>#N/A</v>
      </c>
      <c r="E257" s="121" cm="1">
        <f t="array" ref="E257">INDEX(InputArea,B257,C257)</f>
        <v>0</v>
      </c>
      <c r="F257" s="59" t="str">
        <f t="shared" si="23"/>
        <v>FY</v>
      </c>
      <c r="G257" s="59" t="str">
        <f t="shared" si="24"/>
        <v>か→</v>
      </c>
      <c r="H257" s="134"/>
      <c r="I257" s="136" t="s">
        <v>392</v>
      </c>
      <c r="J257" s="84">
        <f t="shared" si="25"/>
        <v>1</v>
      </c>
      <c r="K257" s="83"/>
      <c r="L257" s="64" t="e">
        <v>#N/A</v>
      </c>
      <c r="M257" s="121">
        <v>0</v>
      </c>
      <c r="N257" s="59" t="str">
        <v>FY</v>
      </c>
      <c r="O257" s="126" t="str">
        <v>か→</v>
      </c>
      <c r="P257" s="126">
        <v>0</v>
      </c>
      <c r="Q257" s="127" t="str">
        <v>ｆｙ</v>
      </c>
      <c r="R257" s="84">
        <v>1</v>
      </c>
      <c r="T257" s="100" t="e">
        <v>#N/A</v>
      </c>
      <c r="U257" s="121">
        <v>0</v>
      </c>
      <c r="V257" s="59" t="str">
        <v>FY</v>
      </c>
      <c r="W257" s="126" t="str">
        <v>か→</v>
      </c>
      <c r="X257" s="126">
        <v>0</v>
      </c>
      <c r="Y257" s="127" t="str">
        <v>ｆｙ</v>
      </c>
      <c r="Z257" s="90">
        <v>1</v>
      </c>
    </row>
    <row r="258" spans="1:26" x14ac:dyDescent="0.4">
      <c r="A258" s="52">
        <v>257</v>
      </c>
      <c r="B258" s="51">
        <f t="shared" ref="B258:B321" si="26">_xlfn.CEILING.MATH(A258/COLUMNS(InputArea))</f>
        <v>9</v>
      </c>
      <c r="C258" s="50">
        <f t="shared" ref="C258:C321" si="27">MOD(A258-1,COLUMNS(InputArea))+1</f>
        <v>17</v>
      </c>
      <c r="D258" s="64" t="e">
        <f t="shared" ref="D258:D321" si="28">_xlfn.RANK.EQ(E258,InputArea,1)</f>
        <v>#N/A</v>
      </c>
      <c r="E258" s="121" cm="1">
        <f t="array" ref="E258">INDEX(InputArea,B258,C258)</f>
        <v>0</v>
      </c>
      <c r="F258" s="59" t="str">
        <f t="shared" ref="F258:F321" si="29">_xlfn.CONCAT(INDEX(RowName,B258),INDEX(ColName,,C258))</f>
        <v>FU</v>
      </c>
      <c r="G258" s="59" t="str">
        <f t="shared" ref="G258:G321" si="30">_xlfn.CONCAT(INDEX(RowKana,B258),INDEX(ColKana,,C258))</f>
        <v>かBS</v>
      </c>
      <c r="H258" s="134"/>
      <c r="I258" s="136" t="s">
        <v>393</v>
      </c>
      <c r="J258" s="84">
        <f t="shared" si="25"/>
        <v>1</v>
      </c>
      <c r="K258" s="83"/>
      <c r="L258" s="64" t="e">
        <v>#N/A</v>
      </c>
      <c r="M258" s="121">
        <v>0</v>
      </c>
      <c r="N258" s="59" t="str">
        <v>FU</v>
      </c>
      <c r="O258" s="126" t="str">
        <v>かBS</v>
      </c>
      <c r="P258" s="126">
        <v>0</v>
      </c>
      <c r="Q258" s="127" t="str">
        <v>ふ</v>
      </c>
      <c r="R258" s="84">
        <v>1</v>
      </c>
      <c r="T258" s="100" t="e">
        <v>#N/A</v>
      </c>
      <c r="U258" s="121">
        <v>0</v>
      </c>
      <c r="V258" s="59" t="str">
        <v>FU</v>
      </c>
      <c r="W258" s="126" t="str">
        <v>かBS</v>
      </c>
      <c r="X258" s="126">
        <v>0</v>
      </c>
      <c r="Y258" s="127" t="str">
        <v>ふ</v>
      </c>
      <c r="Z258" s="90">
        <v>1</v>
      </c>
    </row>
    <row r="259" spans="1:26" x14ac:dyDescent="0.4">
      <c r="A259" s="52">
        <v>258</v>
      </c>
      <c r="B259" s="51">
        <f t="shared" si="26"/>
        <v>9</v>
      </c>
      <c r="C259" s="50">
        <f t="shared" si="27"/>
        <v>18</v>
      </c>
      <c r="D259" s="64" t="e">
        <f t="shared" si="28"/>
        <v>#N/A</v>
      </c>
      <c r="E259" s="121" cm="1">
        <f t="array" ref="E259">INDEX(InputArea,B259,C259)</f>
        <v>0</v>
      </c>
      <c r="F259" s="59" t="str">
        <f t="shared" si="29"/>
        <v>FI</v>
      </c>
      <c r="G259" s="59" t="str">
        <f t="shared" si="30"/>
        <v>かる</v>
      </c>
      <c r="H259" s="134"/>
      <c r="I259" s="136" t="s">
        <v>394</v>
      </c>
      <c r="J259" s="84">
        <f t="shared" ref="J259:J322" si="31">(_xlfn.CEILING.MATH(B259/15)-1)*2+_xlfn.CEILING.MATH(C259/15)-1</f>
        <v>1</v>
      </c>
      <c r="K259" s="83"/>
      <c r="L259" s="64" t="e">
        <v>#N/A</v>
      </c>
      <c r="M259" s="121">
        <v>0</v>
      </c>
      <c r="N259" s="59" t="str">
        <v>FI</v>
      </c>
      <c r="O259" s="126" t="str">
        <v>かる</v>
      </c>
      <c r="P259" s="126">
        <v>0</v>
      </c>
      <c r="Q259" s="127" t="str">
        <v>ふぃ</v>
      </c>
      <c r="R259" s="84">
        <v>1</v>
      </c>
      <c r="T259" s="100" t="e">
        <v>#N/A</v>
      </c>
      <c r="U259" s="121">
        <v>0</v>
      </c>
      <c r="V259" s="59" t="str">
        <v>FI</v>
      </c>
      <c r="W259" s="126" t="str">
        <v>かる</v>
      </c>
      <c r="X259" s="126">
        <v>0</v>
      </c>
      <c r="Y259" s="127" t="str">
        <v>ふぃ</v>
      </c>
      <c r="Z259" s="90">
        <v>1</v>
      </c>
    </row>
    <row r="260" spans="1:26" x14ac:dyDescent="0.4">
      <c r="A260" s="52">
        <v>259</v>
      </c>
      <c r="B260" s="51">
        <f t="shared" si="26"/>
        <v>9</v>
      </c>
      <c r="C260" s="50">
        <f t="shared" si="27"/>
        <v>19</v>
      </c>
      <c r="D260" s="64" t="e">
        <f t="shared" si="28"/>
        <v>#N/A</v>
      </c>
      <c r="E260" s="121" cm="1">
        <f t="array" ref="E260">INDEX(InputArea,B260,C260)</f>
        <v>0</v>
      </c>
      <c r="F260" s="59" t="str">
        <f t="shared" si="29"/>
        <v>FO</v>
      </c>
      <c r="G260" s="59" t="str">
        <f t="shared" si="30"/>
        <v>かす</v>
      </c>
      <c r="H260" s="137" t="s">
        <v>264</v>
      </c>
      <c r="I260" s="136" t="s">
        <v>395</v>
      </c>
      <c r="J260" s="84">
        <f t="shared" si="31"/>
        <v>1</v>
      </c>
      <c r="K260" s="83"/>
      <c r="L260" s="64" t="e">
        <v>#N/A</v>
      </c>
      <c r="M260" s="121">
        <v>0</v>
      </c>
      <c r="N260" s="59" t="str">
        <v>FO</v>
      </c>
      <c r="O260" s="126" t="str">
        <v>かす</v>
      </c>
      <c r="P260" s="126" t="str">
        <v>ず</v>
      </c>
      <c r="Q260" s="127" t="str">
        <v>ふぉ</v>
      </c>
      <c r="R260" s="84">
        <v>1</v>
      </c>
      <c r="T260" s="100" t="e">
        <v>#N/A</v>
      </c>
      <c r="U260" s="121">
        <v>0</v>
      </c>
      <c r="V260" s="59" t="str">
        <v>FO</v>
      </c>
      <c r="W260" s="126" t="str">
        <v>かす</v>
      </c>
      <c r="X260" s="126" t="str">
        <v>ず</v>
      </c>
      <c r="Y260" s="127" t="str">
        <v>ふぉ</v>
      </c>
      <c r="Z260" s="90">
        <v>1</v>
      </c>
    </row>
    <row r="261" spans="1:26" x14ac:dyDescent="0.4">
      <c r="A261" s="52">
        <v>260</v>
      </c>
      <c r="B261" s="51">
        <f t="shared" si="26"/>
        <v>9</v>
      </c>
      <c r="C261" s="50">
        <f t="shared" si="27"/>
        <v>20</v>
      </c>
      <c r="D261" s="64" t="e">
        <f t="shared" si="28"/>
        <v>#N/A</v>
      </c>
      <c r="E261" s="121" cm="1">
        <f t="array" ref="E261">INDEX(InputArea,B261,C261)</f>
        <v>0</v>
      </c>
      <c r="F261" s="59" t="str">
        <f t="shared" si="29"/>
        <v>FP</v>
      </c>
      <c r="G261" s="59" t="str">
        <f t="shared" si="30"/>
        <v>かへ</v>
      </c>
      <c r="H261" s="137" t="s">
        <v>265</v>
      </c>
      <c r="I261" s="135"/>
      <c r="J261" s="84">
        <f t="shared" si="31"/>
        <v>1</v>
      </c>
      <c r="K261" s="83"/>
      <c r="L261" s="64" t="e">
        <v>#N/A</v>
      </c>
      <c r="M261" s="121">
        <v>0</v>
      </c>
      <c r="N261" s="59" t="str">
        <v>FP</v>
      </c>
      <c r="O261" s="126" t="str">
        <v>かへ</v>
      </c>
      <c r="P261" s="126" t="str">
        <v>べ</v>
      </c>
      <c r="Q261" s="127">
        <v>0</v>
      </c>
      <c r="R261" s="84">
        <v>1</v>
      </c>
      <c r="T261" s="100" t="e">
        <v>#N/A</v>
      </c>
      <c r="U261" s="121">
        <v>0</v>
      </c>
      <c r="V261" s="59" t="str">
        <v>FP</v>
      </c>
      <c r="W261" s="126" t="str">
        <v>かへ</v>
      </c>
      <c r="X261" s="126" t="str">
        <v>べ</v>
      </c>
      <c r="Y261" s="127">
        <v>0</v>
      </c>
      <c r="Z261" s="90">
        <v>1</v>
      </c>
    </row>
    <row r="262" spans="1:26" x14ac:dyDescent="0.4">
      <c r="A262" s="52">
        <v>261</v>
      </c>
      <c r="B262" s="51">
        <f t="shared" si="26"/>
        <v>9</v>
      </c>
      <c r="C262" s="50">
        <f t="shared" si="27"/>
        <v>21</v>
      </c>
      <c r="D262" s="64" t="e">
        <f t="shared" si="28"/>
        <v>#N/A</v>
      </c>
      <c r="E262" s="121" cm="1">
        <f t="array" ref="E262">INDEX(InputArea,B262,C262)</f>
        <v>0</v>
      </c>
      <c r="F262" s="59" t="str">
        <f t="shared" si="29"/>
        <v>FH</v>
      </c>
      <c r="G262" s="59" t="str">
        <f t="shared" si="30"/>
        <v>かく</v>
      </c>
      <c r="H262" s="137" t="s">
        <v>263</v>
      </c>
      <c r="I262" s="135"/>
      <c r="J262" s="84">
        <f t="shared" si="31"/>
        <v>1</v>
      </c>
      <c r="K262" s="83"/>
      <c r="L262" s="64" t="e">
        <v>#N/A</v>
      </c>
      <c r="M262" s="121">
        <v>0</v>
      </c>
      <c r="N262" s="59" t="str">
        <v>FH</v>
      </c>
      <c r="O262" s="126" t="str">
        <v>かく</v>
      </c>
      <c r="P262" s="126" t="str">
        <v>ぐ</v>
      </c>
      <c r="Q262" s="127">
        <v>0</v>
      </c>
      <c r="R262" s="84">
        <v>1</v>
      </c>
      <c r="T262" s="100" t="e">
        <v>#N/A</v>
      </c>
      <c r="U262" s="121">
        <v>0</v>
      </c>
      <c r="V262" s="59" t="str">
        <v>FH</v>
      </c>
      <c r="W262" s="126" t="str">
        <v>かく</v>
      </c>
      <c r="X262" s="126" t="str">
        <v>ぐ</v>
      </c>
      <c r="Y262" s="127">
        <v>0</v>
      </c>
      <c r="Z262" s="90">
        <v>1</v>
      </c>
    </row>
    <row r="263" spans="1:26" x14ac:dyDescent="0.4">
      <c r="A263" s="52">
        <v>262</v>
      </c>
      <c r="B263" s="51">
        <f t="shared" si="26"/>
        <v>9</v>
      </c>
      <c r="C263" s="50">
        <f t="shared" si="27"/>
        <v>22</v>
      </c>
      <c r="D263" s="64" t="e">
        <f t="shared" si="28"/>
        <v>#N/A</v>
      </c>
      <c r="E263" s="121" cm="1">
        <f t="array" ref="E263">INDEX(InputArea,B263,C263)</f>
        <v>0</v>
      </c>
      <c r="F263" s="59" t="str">
        <f t="shared" si="29"/>
        <v>FJ</v>
      </c>
      <c r="G263" s="59" t="str">
        <f t="shared" si="30"/>
        <v>かあ</v>
      </c>
      <c r="H263" s="137" t="s">
        <v>266</v>
      </c>
      <c r="I263" s="135"/>
      <c r="J263" s="84">
        <f t="shared" si="31"/>
        <v>1</v>
      </c>
      <c r="K263" s="83"/>
      <c r="L263" s="64" t="e">
        <v>#N/A</v>
      </c>
      <c r="M263" s="121">
        <v>0</v>
      </c>
      <c r="N263" s="59" t="str">
        <v>FJ</v>
      </c>
      <c r="O263" s="126" t="str">
        <v>かあ</v>
      </c>
      <c r="P263" s="126" t="str">
        <v>が</v>
      </c>
      <c r="Q263" s="127">
        <v>0</v>
      </c>
      <c r="R263" s="84">
        <v>1</v>
      </c>
      <c r="T263" s="100" t="e">
        <v>#N/A</v>
      </c>
      <c r="U263" s="121">
        <v>0</v>
      </c>
      <c r="V263" s="59" t="str">
        <v>FJ</v>
      </c>
      <c r="W263" s="126" t="str">
        <v>かあ</v>
      </c>
      <c r="X263" s="126" t="str">
        <v>が</v>
      </c>
      <c r="Y263" s="127">
        <v>0</v>
      </c>
      <c r="Z263" s="90">
        <v>1</v>
      </c>
    </row>
    <row r="264" spans="1:26" x14ac:dyDescent="0.4">
      <c r="A264" s="52">
        <v>263</v>
      </c>
      <c r="B264" s="51">
        <f t="shared" si="26"/>
        <v>9</v>
      </c>
      <c r="C264" s="50">
        <f t="shared" si="27"/>
        <v>23</v>
      </c>
      <c r="D264" s="64" t="e">
        <f t="shared" si="28"/>
        <v>#N/A</v>
      </c>
      <c r="E264" s="121" cm="1">
        <f t="array" ref="E264">INDEX(InputArea,B264,C264)</f>
        <v>0</v>
      </c>
      <c r="F264" s="59" t="str">
        <f t="shared" si="29"/>
        <v>FK</v>
      </c>
      <c r="G264" s="59" t="str">
        <f t="shared" si="30"/>
        <v>かい</v>
      </c>
      <c r="H264" s="134"/>
      <c r="I264" s="135"/>
      <c r="J264" s="84">
        <f t="shared" si="31"/>
        <v>1</v>
      </c>
      <c r="K264" s="83"/>
      <c r="L264" s="64" t="e">
        <v>#N/A</v>
      </c>
      <c r="M264" s="121">
        <v>0</v>
      </c>
      <c r="N264" s="59" t="str">
        <v>FK</v>
      </c>
      <c r="O264" s="126" t="str">
        <v>かい</v>
      </c>
      <c r="P264" s="126">
        <v>0</v>
      </c>
      <c r="Q264" s="127">
        <v>0</v>
      </c>
      <c r="R264" s="84">
        <v>1</v>
      </c>
      <c r="T264" s="100" t="e">
        <v>#N/A</v>
      </c>
      <c r="U264" s="121">
        <v>0</v>
      </c>
      <c r="V264" s="59" t="str">
        <v>FK</v>
      </c>
      <c r="W264" s="126" t="str">
        <v>かい</v>
      </c>
      <c r="X264" s="126">
        <v>0</v>
      </c>
      <c r="Y264" s="127">
        <v>0</v>
      </c>
      <c r="Z264" s="90">
        <v>1</v>
      </c>
    </row>
    <row r="265" spans="1:26" x14ac:dyDescent="0.4">
      <c r="A265" s="52">
        <v>264</v>
      </c>
      <c r="B265" s="51">
        <f t="shared" si="26"/>
        <v>9</v>
      </c>
      <c r="C265" s="50">
        <f t="shared" si="27"/>
        <v>24</v>
      </c>
      <c r="D265" s="64" t="e">
        <f t="shared" si="28"/>
        <v>#N/A</v>
      </c>
      <c r="E265" s="121" cm="1">
        <f t="array" ref="E265">INDEX(InputArea,B265,C265)</f>
        <v>0</v>
      </c>
      <c r="F265" s="59" t="str">
        <f t="shared" si="29"/>
        <v>FL</v>
      </c>
      <c r="G265" s="59" t="str">
        <f t="shared" si="30"/>
        <v>かう</v>
      </c>
      <c r="H265" s="137" t="s">
        <v>267</v>
      </c>
      <c r="I265" s="135"/>
      <c r="J265" s="84">
        <f t="shared" si="31"/>
        <v>1</v>
      </c>
      <c r="K265" s="83"/>
      <c r="L265" s="64" t="e">
        <v>#N/A</v>
      </c>
      <c r="M265" s="121">
        <v>0</v>
      </c>
      <c r="N265" s="59" t="str">
        <v>FL</v>
      </c>
      <c r="O265" s="126" t="str">
        <v>かう</v>
      </c>
      <c r="P265" s="126" t="str">
        <v>ぜ</v>
      </c>
      <c r="Q265" s="127">
        <v>0</v>
      </c>
      <c r="R265" s="84">
        <v>1</v>
      </c>
      <c r="T265" s="100" t="e">
        <v>#N/A</v>
      </c>
      <c r="U265" s="121">
        <v>0</v>
      </c>
      <c r="V265" s="59" t="str">
        <v>FL</v>
      </c>
      <c r="W265" s="126" t="str">
        <v>かう</v>
      </c>
      <c r="X265" s="126" t="str">
        <v>ぜ</v>
      </c>
      <c r="Y265" s="127">
        <v>0</v>
      </c>
      <c r="Z265" s="90">
        <v>1</v>
      </c>
    </row>
    <row r="266" spans="1:26" x14ac:dyDescent="0.4">
      <c r="A266" s="52">
        <v>265</v>
      </c>
      <c r="B266" s="51">
        <f t="shared" si="26"/>
        <v>9</v>
      </c>
      <c r="C266" s="50">
        <f t="shared" si="27"/>
        <v>25</v>
      </c>
      <c r="D266" s="64" t="e">
        <f t="shared" si="28"/>
        <v>#N/A</v>
      </c>
      <c r="E266" s="121" cm="1">
        <f t="array" ref="E266">INDEX(InputArea,B266,C266)</f>
        <v>0</v>
      </c>
      <c r="F266" s="59" t="str">
        <f t="shared" si="29"/>
        <v>F;</v>
      </c>
      <c r="G266" s="59" t="str">
        <f t="shared" si="30"/>
        <v>かー</v>
      </c>
      <c r="H266" s="137" t="s">
        <v>268</v>
      </c>
      <c r="I266" s="135"/>
      <c r="J266" s="84">
        <f t="shared" si="31"/>
        <v>1</v>
      </c>
      <c r="K266" s="83"/>
      <c r="L266" s="64" t="e">
        <v>#N/A</v>
      </c>
      <c r="M266" s="121">
        <v>0</v>
      </c>
      <c r="N266" s="59" t="str">
        <v>F;</v>
      </c>
      <c r="O266" s="126" t="str">
        <v>かー</v>
      </c>
      <c r="P266" s="126" t="str">
        <v>づ</v>
      </c>
      <c r="Q266" s="127">
        <v>0</v>
      </c>
      <c r="R266" s="84">
        <v>1</v>
      </c>
      <c r="T266" s="100" t="e">
        <v>#N/A</v>
      </c>
      <c r="U266" s="121">
        <v>0</v>
      </c>
      <c r="V266" s="59" t="str">
        <v>F;</v>
      </c>
      <c r="W266" s="126" t="str">
        <v>かー</v>
      </c>
      <c r="X266" s="126" t="str">
        <v>づ</v>
      </c>
      <c r="Y266" s="127">
        <v>0</v>
      </c>
      <c r="Z266" s="90">
        <v>1</v>
      </c>
    </row>
    <row r="267" spans="1:26" x14ac:dyDescent="0.4">
      <c r="A267" s="52">
        <v>266</v>
      </c>
      <c r="B267" s="51">
        <f t="shared" si="26"/>
        <v>9</v>
      </c>
      <c r="C267" s="50">
        <f t="shared" si="27"/>
        <v>26</v>
      </c>
      <c r="D267" s="64" t="e">
        <f t="shared" si="28"/>
        <v>#N/A</v>
      </c>
      <c r="E267" s="121" cm="1">
        <f t="array" ref="E267">INDEX(InputArea,B267,C267)</f>
        <v>0</v>
      </c>
      <c r="F267" s="59" t="str">
        <f t="shared" si="29"/>
        <v>FN</v>
      </c>
      <c r="G267" s="59" t="str">
        <f t="shared" si="30"/>
        <v>かた</v>
      </c>
      <c r="H267" s="137" t="s">
        <v>269</v>
      </c>
      <c r="I267" s="135"/>
      <c r="J267" s="84">
        <f t="shared" si="31"/>
        <v>1</v>
      </c>
      <c r="K267" s="83"/>
      <c r="L267" s="64" t="e">
        <v>#N/A</v>
      </c>
      <c r="M267" s="121">
        <v>0</v>
      </c>
      <c r="N267" s="59" t="str">
        <v>FN</v>
      </c>
      <c r="O267" s="126" t="str">
        <v>かた</v>
      </c>
      <c r="P267" s="126" t="str">
        <v>だ</v>
      </c>
      <c r="Q267" s="127">
        <v>0</v>
      </c>
      <c r="R267" s="84">
        <v>1</v>
      </c>
      <c r="T267" s="100" t="e">
        <v>#N/A</v>
      </c>
      <c r="U267" s="121">
        <v>0</v>
      </c>
      <c r="V267" s="59" t="str">
        <v>FN</v>
      </c>
      <c r="W267" s="126" t="str">
        <v>かた</v>
      </c>
      <c r="X267" s="126" t="str">
        <v>だ</v>
      </c>
      <c r="Y267" s="127">
        <v>0</v>
      </c>
      <c r="Z267" s="90">
        <v>1</v>
      </c>
    </row>
    <row r="268" spans="1:26" x14ac:dyDescent="0.4">
      <c r="A268" s="52">
        <v>267</v>
      </c>
      <c r="B268" s="51">
        <f t="shared" si="26"/>
        <v>9</v>
      </c>
      <c r="C268" s="50">
        <f t="shared" si="27"/>
        <v>27</v>
      </c>
      <c r="D268" s="64" t="e">
        <f t="shared" si="28"/>
        <v>#N/A</v>
      </c>
      <c r="E268" s="121" cm="1">
        <f t="array" ref="E268">INDEX(InputArea,B268,C268)</f>
        <v>0</v>
      </c>
      <c r="F268" s="59" t="str">
        <f t="shared" si="29"/>
        <v>FM</v>
      </c>
      <c r="G268" s="59" t="str">
        <f t="shared" si="30"/>
        <v>かな</v>
      </c>
      <c r="H268" s="134"/>
      <c r="I268" s="135"/>
      <c r="J268" s="84">
        <f t="shared" si="31"/>
        <v>1</v>
      </c>
      <c r="K268" s="83"/>
      <c r="L268" s="64" t="e">
        <v>#N/A</v>
      </c>
      <c r="M268" s="121">
        <v>0</v>
      </c>
      <c r="N268" s="59" t="str">
        <v>FM</v>
      </c>
      <c r="O268" s="126" t="str">
        <v>かな</v>
      </c>
      <c r="P268" s="126">
        <v>0</v>
      </c>
      <c r="Q268" s="127">
        <v>0</v>
      </c>
      <c r="R268" s="84">
        <v>1</v>
      </c>
      <c r="T268" s="100" t="e">
        <v>#N/A</v>
      </c>
      <c r="U268" s="121">
        <v>0</v>
      </c>
      <c r="V268" s="59" t="str">
        <v>FM</v>
      </c>
      <c r="W268" s="126" t="str">
        <v>かな</v>
      </c>
      <c r="X268" s="126">
        <v>0</v>
      </c>
      <c r="Y268" s="127">
        <v>0</v>
      </c>
      <c r="Z268" s="90">
        <v>1</v>
      </c>
    </row>
    <row r="269" spans="1:26" x14ac:dyDescent="0.4">
      <c r="A269" s="52">
        <v>268</v>
      </c>
      <c r="B269" s="51">
        <f t="shared" si="26"/>
        <v>9</v>
      </c>
      <c r="C269" s="50">
        <f t="shared" si="27"/>
        <v>28</v>
      </c>
      <c r="D269" s="64" t="e">
        <f t="shared" si="28"/>
        <v>#N/A</v>
      </c>
      <c r="E269" s="121" cm="1">
        <f t="array" ref="E269">INDEX(InputArea,B269,C269)</f>
        <v>0</v>
      </c>
      <c r="F269" s="59" t="str">
        <f t="shared" si="29"/>
        <v>F,</v>
      </c>
      <c r="G269" s="59" t="str">
        <f t="shared" si="30"/>
        <v>かん</v>
      </c>
      <c r="H269" s="134"/>
      <c r="I269" s="135"/>
      <c r="J269" s="84">
        <f t="shared" si="31"/>
        <v>1</v>
      </c>
      <c r="K269" s="83"/>
      <c r="L269" s="64" t="e">
        <v>#N/A</v>
      </c>
      <c r="M269" s="121">
        <v>0</v>
      </c>
      <c r="N269" s="59" t="str">
        <v>F,</v>
      </c>
      <c r="O269" s="126" t="str">
        <v>かん</v>
      </c>
      <c r="P269" s="126">
        <v>0</v>
      </c>
      <c r="Q269" s="127">
        <v>0</v>
      </c>
      <c r="R269" s="84">
        <v>1</v>
      </c>
      <c r="T269" s="100" t="e">
        <v>#N/A</v>
      </c>
      <c r="U269" s="121">
        <v>0</v>
      </c>
      <c r="V269" s="59" t="str">
        <v>F,</v>
      </c>
      <c r="W269" s="126" t="str">
        <v>かん</v>
      </c>
      <c r="X269" s="126">
        <v>0</v>
      </c>
      <c r="Y269" s="127">
        <v>0</v>
      </c>
      <c r="Z269" s="90">
        <v>1</v>
      </c>
    </row>
    <row r="270" spans="1:26" x14ac:dyDescent="0.4">
      <c r="A270" s="52">
        <v>269</v>
      </c>
      <c r="B270" s="51">
        <f t="shared" si="26"/>
        <v>9</v>
      </c>
      <c r="C270" s="50">
        <f t="shared" si="27"/>
        <v>29</v>
      </c>
      <c r="D270" s="64" t="e">
        <f t="shared" si="28"/>
        <v>#N/A</v>
      </c>
      <c r="E270" s="121" cm="1">
        <f t="array" ref="E270">INDEX(InputArea,B270,C270)</f>
        <v>0</v>
      </c>
      <c r="F270" s="59" t="str">
        <f t="shared" si="29"/>
        <v>F.</v>
      </c>
      <c r="G270" s="59" t="str">
        <f t="shared" si="30"/>
        <v>から</v>
      </c>
      <c r="H270" s="134"/>
      <c r="I270" s="135"/>
      <c r="J270" s="84">
        <f t="shared" si="31"/>
        <v>1</v>
      </c>
      <c r="K270" s="83"/>
      <c r="L270" s="64" t="e">
        <v>#N/A</v>
      </c>
      <c r="M270" s="121">
        <v>0</v>
      </c>
      <c r="N270" s="59" t="str">
        <v>F.</v>
      </c>
      <c r="O270" s="126" t="str">
        <v>から</v>
      </c>
      <c r="P270" s="126">
        <v>0</v>
      </c>
      <c r="Q270" s="127">
        <v>0</v>
      </c>
      <c r="R270" s="84">
        <v>1</v>
      </c>
      <c r="T270" s="100" t="e">
        <v>#N/A</v>
      </c>
      <c r="U270" s="121">
        <v>0</v>
      </c>
      <c r="V270" s="59" t="str">
        <v>F.</v>
      </c>
      <c r="W270" s="126" t="str">
        <v>から</v>
      </c>
      <c r="X270" s="126">
        <v>0</v>
      </c>
      <c r="Y270" s="127">
        <v>0</v>
      </c>
      <c r="Z270" s="90">
        <v>1</v>
      </c>
    </row>
    <row r="271" spans="1:26" x14ac:dyDescent="0.4">
      <c r="A271" s="52">
        <v>270</v>
      </c>
      <c r="B271" s="51">
        <f t="shared" si="26"/>
        <v>9</v>
      </c>
      <c r="C271" s="50">
        <f t="shared" si="27"/>
        <v>30</v>
      </c>
      <c r="D271" s="64" t="e">
        <f t="shared" si="28"/>
        <v>#N/A</v>
      </c>
      <c r="E271" s="121" cm="1">
        <f t="array" ref="E271">INDEX(InputArea,B271,C271)</f>
        <v>0</v>
      </c>
      <c r="F271" s="59" t="str">
        <f t="shared" si="29"/>
        <v>F/</v>
      </c>
      <c r="G271" s="59" t="str">
        <f t="shared" si="30"/>
        <v>かれ</v>
      </c>
      <c r="H271" s="134"/>
      <c r="I271" s="135"/>
      <c r="J271" s="84">
        <f t="shared" si="31"/>
        <v>1</v>
      </c>
      <c r="K271" s="83"/>
      <c r="L271" s="64" t="e">
        <v>#N/A</v>
      </c>
      <c r="M271" s="121">
        <v>0</v>
      </c>
      <c r="N271" s="59" t="str">
        <v>F/</v>
      </c>
      <c r="O271" s="126" t="str">
        <v>かれ</v>
      </c>
      <c r="P271" s="126">
        <v>0</v>
      </c>
      <c r="Q271" s="127">
        <v>0</v>
      </c>
      <c r="R271" s="84">
        <v>1</v>
      </c>
      <c r="T271" s="100" t="e">
        <v>#N/A</v>
      </c>
      <c r="U271" s="121">
        <v>0</v>
      </c>
      <c r="V271" s="59" t="str">
        <v>F/</v>
      </c>
      <c r="W271" s="126" t="str">
        <v>かれ</v>
      </c>
      <c r="X271" s="126">
        <v>0</v>
      </c>
      <c r="Y271" s="127">
        <v>0</v>
      </c>
      <c r="Z271" s="90">
        <v>1</v>
      </c>
    </row>
    <row r="272" spans="1:26" x14ac:dyDescent="0.4">
      <c r="A272" s="52">
        <v>271</v>
      </c>
      <c r="B272" s="51">
        <f t="shared" si="26"/>
        <v>10</v>
      </c>
      <c r="C272" s="50">
        <f t="shared" si="27"/>
        <v>1</v>
      </c>
      <c r="D272" s="64" t="e">
        <f t="shared" si="28"/>
        <v>#N/A</v>
      </c>
      <c r="E272" s="121" cm="1">
        <f t="array" ref="E272">INDEX(InputArea,B272,C272)</f>
        <v>0</v>
      </c>
      <c r="F272" s="59" t="str">
        <f t="shared" si="29"/>
        <v>GQ</v>
      </c>
      <c r="G272" s="59" t="str">
        <f t="shared" si="30"/>
        <v>っヴ</v>
      </c>
      <c r="H272" s="137"/>
      <c r="I272" s="135"/>
      <c r="J272" s="84">
        <f t="shared" si="31"/>
        <v>0</v>
      </c>
      <c r="K272" s="83"/>
      <c r="L272" s="64" t="e">
        <v>#N/A</v>
      </c>
      <c r="M272" s="121">
        <v>0</v>
      </c>
      <c r="N272" s="59" t="str">
        <v>GQ</v>
      </c>
      <c r="O272" s="126" t="str">
        <v>っヴ</v>
      </c>
      <c r="P272" s="126">
        <v>0</v>
      </c>
      <c r="Q272" s="127">
        <v>0</v>
      </c>
      <c r="R272" s="84">
        <v>0</v>
      </c>
      <c r="T272" s="100" t="e">
        <v>#N/A</v>
      </c>
      <c r="U272" s="121">
        <v>0</v>
      </c>
      <c r="V272" s="59" t="str">
        <v>GQ</v>
      </c>
      <c r="W272" s="126" t="str">
        <v>っヴ</v>
      </c>
      <c r="X272" s="126">
        <v>0</v>
      </c>
      <c r="Y272" s="127">
        <v>0</v>
      </c>
      <c r="Z272" s="90">
        <v>0</v>
      </c>
    </row>
    <row r="273" spans="1:26" x14ac:dyDescent="0.4">
      <c r="A273" s="52">
        <v>272</v>
      </c>
      <c r="B273" s="51">
        <f t="shared" si="26"/>
        <v>10</v>
      </c>
      <c r="C273" s="50">
        <f t="shared" si="27"/>
        <v>2</v>
      </c>
      <c r="D273" s="64" t="e">
        <f t="shared" si="28"/>
        <v>#N/A</v>
      </c>
      <c r="E273" s="121" cm="1">
        <f t="array" ref="E273">INDEX(InputArea,B273,C273)</f>
        <v>0</v>
      </c>
      <c r="F273" s="59" t="str">
        <f t="shared" si="29"/>
        <v>GW</v>
      </c>
      <c r="G273" s="59" t="str">
        <f t="shared" si="30"/>
        <v>っき</v>
      </c>
      <c r="H273" s="134"/>
      <c r="I273" s="135"/>
      <c r="J273" s="84">
        <f t="shared" si="31"/>
        <v>0</v>
      </c>
      <c r="K273" s="83"/>
      <c r="L273" s="64" t="e">
        <v>#N/A</v>
      </c>
      <c r="M273" s="121">
        <v>0</v>
      </c>
      <c r="N273" s="59" t="str">
        <v>GW</v>
      </c>
      <c r="O273" s="126" t="str">
        <v>っき</v>
      </c>
      <c r="P273" s="126">
        <v>0</v>
      </c>
      <c r="Q273" s="127">
        <v>0</v>
      </c>
      <c r="R273" s="84">
        <v>0</v>
      </c>
      <c r="T273" s="100" t="e">
        <v>#N/A</v>
      </c>
      <c r="U273" s="121">
        <v>0</v>
      </c>
      <c r="V273" s="59" t="str">
        <v>GW</v>
      </c>
      <c r="W273" s="126" t="str">
        <v>っき</v>
      </c>
      <c r="X273" s="126">
        <v>0</v>
      </c>
      <c r="Y273" s="127">
        <v>0</v>
      </c>
      <c r="Z273" s="90">
        <v>0</v>
      </c>
    </row>
    <row r="274" spans="1:26" x14ac:dyDescent="0.4">
      <c r="A274" s="52">
        <v>273</v>
      </c>
      <c r="B274" s="51">
        <f t="shared" si="26"/>
        <v>10</v>
      </c>
      <c r="C274" s="50">
        <f t="shared" si="27"/>
        <v>3</v>
      </c>
      <c r="D274" s="64" t="e">
        <f t="shared" si="28"/>
        <v>#N/A</v>
      </c>
      <c r="E274" s="121" cm="1">
        <f t="array" ref="E274">INDEX(InputArea,B274,C274)</f>
        <v>0</v>
      </c>
      <c r="F274" s="59" t="str">
        <f t="shared" si="29"/>
        <v>GE</v>
      </c>
      <c r="G274" s="59" t="str">
        <f t="shared" si="30"/>
        <v>って</v>
      </c>
      <c r="H274" s="134"/>
      <c r="I274" s="136" t="s">
        <v>258</v>
      </c>
      <c r="J274" s="84">
        <f t="shared" si="31"/>
        <v>0</v>
      </c>
      <c r="K274" s="83"/>
      <c r="L274" s="64" t="e">
        <v>#N/A</v>
      </c>
      <c r="M274" s="121">
        <v>0</v>
      </c>
      <c r="N274" s="59" t="str">
        <v>GE</v>
      </c>
      <c r="O274" s="126" t="str">
        <v>って</v>
      </c>
      <c r="P274" s="126">
        <v>0</v>
      </c>
      <c r="Q274" s="127" t="str">
        <v>げ</v>
      </c>
      <c r="R274" s="84">
        <v>0</v>
      </c>
      <c r="T274" s="100" t="e">
        <v>#N/A</v>
      </c>
      <c r="U274" s="121">
        <v>0</v>
      </c>
      <c r="V274" s="59" t="str">
        <v>GE</v>
      </c>
      <c r="W274" s="126" t="str">
        <v>って</v>
      </c>
      <c r="X274" s="126">
        <v>0</v>
      </c>
      <c r="Y274" s="127" t="str">
        <v>げ</v>
      </c>
      <c r="Z274" s="90">
        <v>0</v>
      </c>
    </row>
    <row r="275" spans="1:26" x14ac:dyDescent="0.4">
      <c r="A275" s="52">
        <v>274</v>
      </c>
      <c r="B275" s="51">
        <f t="shared" si="26"/>
        <v>10</v>
      </c>
      <c r="C275" s="50">
        <f t="shared" si="27"/>
        <v>4</v>
      </c>
      <c r="D275" s="64" t="e">
        <f t="shared" si="28"/>
        <v>#N/A</v>
      </c>
      <c r="E275" s="121" cm="1">
        <f t="array" ref="E275">INDEX(InputArea,B275,C275)</f>
        <v>0</v>
      </c>
      <c r="F275" s="59" t="str">
        <f t="shared" si="29"/>
        <v>GR</v>
      </c>
      <c r="G275" s="59" t="str">
        <f t="shared" si="30"/>
        <v>っし</v>
      </c>
      <c r="H275" s="134"/>
      <c r="I275" s="135"/>
      <c r="J275" s="84">
        <f t="shared" si="31"/>
        <v>0</v>
      </c>
      <c r="K275" s="83"/>
      <c r="L275" s="64" t="e">
        <v>#N/A</v>
      </c>
      <c r="M275" s="121">
        <v>0</v>
      </c>
      <c r="N275" s="59" t="str">
        <v>GR</v>
      </c>
      <c r="O275" s="126" t="str">
        <v>っし</v>
      </c>
      <c r="P275" s="126">
        <v>0</v>
      </c>
      <c r="Q275" s="127">
        <v>0</v>
      </c>
      <c r="R275" s="84">
        <v>0</v>
      </c>
      <c r="T275" s="100" t="e">
        <v>#N/A</v>
      </c>
      <c r="U275" s="121">
        <v>0</v>
      </c>
      <c r="V275" s="59" t="str">
        <v>GR</v>
      </c>
      <c r="W275" s="126" t="str">
        <v>っし</v>
      </c>
      <c r="X275" s="126">
        <v>0</v>
      </c>
      <c r="Y275" s="127">
        <v>0</v>
      </c>
      <c r="Z275" s="90">
        <v>0</v>
      </c>
    </row>
    <row r="276" spans="1:26" x14ac:dyDescent="0.4">
      <c r="A276" s="52">
        <v>275</v>
      </c>
      <c r="B276" s="51">
        <f t="shared" si="26"/>
        <v>10</v>
      </c>
      <c r="C276" s="50">
        <f t="shared" si="27"/>
        <v>5</v>
      </c>
      <c r="D276" s="64" t="e">
        <f t="shared" si="28"/>
        <v>#N/A</v>
      </c>
      <c r="E276" s="121" cm="1">
        <f t="array" ref="E276">INDEX(InputArea,B276,C276)</f>
        <v>0</v>
      </c>
      <c r="F276" s="59" t="str">
        <f t="shared" si="29"/>
        <v>GT</v>
      </c>
      <c r="G276" s="59" t="str">
        <f t="shared" si="30"/>
        <v>っ←</v>
      </c>
      <c r="H276" s="134"/>
      <c r="I276" s="135"/>
      <c r="J276" s="84">
        <f t="shared" si="31"/>
        <v>0</v>
      </c>
      <c r="K276" s="83"/>
      <c r="L276" s="64" t="e">
        <v>#N/A</v>
      </c>
      <c r="M276" s="121">
        <v>0</v>
      </c>
      <c r="N276" s="59" t="str">
        <v>GT</v>
      </c>
      <c r="O276" s="126" t="str">
        <v>っ←</v>
      </c>
      <c r="P276" s="126">
        <v>0</v>
      </c>
      <c r="Q276" s="127">
        <v>0</v>
      </c>
      <c r="R276" s="84">
        <v>0</v>
      </c>
      <c r="T276" s="100" t="e">
        <v>#N/A</v>
      </c>
      <c r="U276" s="121">
        <v>0</v>
      </c>
      <c r="V276" s="59" t="str">
        <v>GT</v>
      </c>
      <c r="W276" s="126" t="str">
        <v>っ←</v>
      </c>
      <c r="X276" s="126">
        <v>0</v>
      </c>
      <c r="Y276" s="127">
        <v>0</v>
      </c>
      <c r="Z276" s="90">
        <v>0</v>
      </c>
    </row>
    <row r="277" spans="1:26" x14ac:dyDescent="0.4">
      <c r="A277" s="52">
        <v>276</v>
      </c>
      <c r="B277" s="51">
        <f t="shared" si="26"/>
        <v>10</v>
      </c>
      <c r="C277" s="50">
        <f t="shared" si="27"/>
        <v>6</v>
      </c>
      <c r="D277" s="64" t="e">
        <f t="shared" si="28"/>
        <v>#N/A</v>
      </c>
      <c r="E277" s="121" cm="1">
        <f t="array" ref="E277">INDEX(InputArea,B277,C277)</f>
        <v>0</v>
      </c>
      <c r="F277" s="59" t="str">
        <f t="shared" si="29"/>
        <v>GA</v>
      </c>
      <c r="G277" s="59" t="str">
        <f t="shared" si="30"/>
        <v>っろ</v>
      </c>
      <c r="H277" s="134"/>
      <c r="I277" s="136" t="s">
        <v>266</v>
      </c>
      <c r="J277" s="84">
        <f t="shared" si="31"/>
        <v>0</v>
      </c>
      <c r="K277" s="83"/>
      <c r="L277" s="64" t="e">
        <v>#N/A</v>
      </c>
      <c r="M277" s="121">
        <v>0</v>
      </c>
      <c r="N277" s="59" t="str">
        <v>GA</v>
      </c>
      <c r="O277" s="126" t="str">
        <v>っろ</v>
      </c>
      <c r="P277" s="126">
        <v>0</v>
      </c>
      <c r="Q277" s="127" t="str">
        <v>が</v>
      </c>
      <c r="R277" s="84">
        <v>0</v>
      </c>
      <c r="T277" s="100" t="e">
        <v>#N/A</v>
      </c>
      <c r="U277" s="121">
        <v>0</v>
      </c>
      <c r="V277" s="59" t="str">
        <v>GA</v>
      </c>
      <c r="W277" s="126" t="str">
        <v>っろ</v>
      </c>
      <c r="X277" s="126">
        <v>0</v>
      </c>
      <c r="Y277" s="127" t="str">
        <v>が</v>
      </c>
      <c r="Z277" s="90">
        <v>0</v>
      </c>
    </row>
    <row r="278" spans="1:26" x14ac:dyDescent="0.4">
      <c r="A278" s="52">
        <v>277</v>
      </c>
      <c r="B278" s="51">
        <f t="shared" si="26"/>
        <v>10</v>
      </c>
      <c r="C278" s="50">
        <f t="shared" si="27"/>
        <v>7</v>
      </c>
      <c r="D278" s="64" t="e">
        <f t="shared" si="28"/>
        <v>#N/A</v>
      </c>
      <c r="E278" s="121" cm="1">
        <f t="array" ref="E278">INDEX(InputArea,B278,C278)</f>
        <v>0</v>
      </c>
      <c r="F278" s="59" t="str">
        <f t="shared" si="29"/>
        <v>GS</v>
      </c>
      <c r="G278" s="59" t="str">
        <f t="shared" si="30"/>
        <v>っけ</v>
      </c>
      <c r="H278" s="134"/>
      <c r="I278" s="135"/>
      <c r="J278" s="84">
        <f t="shared" si="31"/>
        <v>0</v>
      </c>
      <c r="K278" s="83"/>
      <c r="L278" s="64" t="e">
        <v>#N/A</v>
      </c>
      <c r="M278" s="121">
        <v>0</v>
      </c>
      <c r="N278" s="59" t="str">
        <v>GS</v>
      </c>
      <c r="O278" s="126" t="str">
        <v>っけ</v>
      </c>
      <c r="P278" s="126">
        <v>0</v>
      </c>
      <c r="Q278" s="127">
        <v>0</v>
      </c>
      <c r="R278" s="84">
        <v>0</v>
      </c>
      <c r="T278" s="100" t="e">
        <v>#N/A</v>
      </c>
      <c r="U278" s="121">
        <v>0</v>
      </c>
      <c r="V278" s="59" t="str">
        <v>GS</v>
      </c>
      <c r="W278" s="126" t="str">
        <v>っけ</v>
      </c>
      <c r="X278" s="126">
        <v>0</v>
      </c>
      <c r="Y278" s="127">
        <v>0</v>
      </c>
      <c r="Z278" s="90">
        <v>0</v>
      </c>
    </row>
    <row r="279" spans="1:26" x14ac:dyDescent="0.4">
      <c r="A279" s="52">
        <v>278</v>
      </c>
      <c r="B279" s="51">
        <f t="shared" si="26"/>
        <v>10</v>
      </c>
      <c r="C279" s="50">
        <f t="shared" si="27"/>
        <v>8</v>
      </c>
      <c r="D279" s="64" t="e">
        <f t="shared" si="28"/>
        <v>#N/A</v>
      </c>
      <c r="E279" s="121" cm="1">
        <f t="array" ref="E279">INDEX(InputArea,B279,C279)</f>
        <v>0</v>
      </c>
      <c r="F279" s="59" t="str">
        <f t="shared" si="29"/>
        <v>GD</v>
      </c>
      <c r="G279" s="59" t="str">
        <f t="shared" si="30"/>
        <v>っと</v>
      </c>
      <c r="H279" s="134"/>
      <c r="I279" s="135"/>
      <c r="J279" s="84">
        <f t="shared" si="31"/>
        <v>0</v>
      </c>
      <c r="K279" s="83"/>
      <c r="L279" s="64" t="e">
        <v>#N/A</v>
      </c>
      <c r="M279" s="121">
        <v>0</v>
      </c>
      <c r="N279" s="59" t="str">
        <v>GD</v>
      </c>
      <c r="O279" s="126" t="str">
        <v>っと</v>
      </c>
      <c r="P279" s="126">
        <v>0</v>
      </c>
      <c r="Q279" s="127">
        <v>0</v>
      </c>
      <c r="R279" s="84">
        <v>0</v>
      </c>
      <c r="T279" s="100" t="e">
        <v>#N/A</v>
      </c>
      <c r="U279" s="121">
        <v>0</v>
      </c>
      <c r="V279" s="59" t="str">
        <v>GD</v>
      </c>
      <c r="W279" s="126" t="str">
        <v>っと</v>
      </c>
      <c r="X279" s="126">
        <v>0</v>
      </c>
      <c r="Y279" s="127">
        <v>0</v>
      </c>
      <c r="Z279" s="90">
        <v>0</v>
      </c>
    </row>
    <row r="280" spans="1:26" x14ac:dyDescent="0.4">
      <c r="A280" s="52">
        <v>279</v>
      </c>
      <c r="B280" s="51">
        <f t="shared" si="26"/>
        <v>10</v>
      </c>
      <c r="C280" s="50">
        <f t="shared" si="27"/>
        <v>9</v>
      </c>
      <c r="D280" s="64" t="e">
        <f t="shared" si="28"/>
        <v>#N/A</v>
      </c>
      <c r="E280" s="121" cm="1">
        <f t="array" ref="E280">INDEX(InputArea,B280,C280)</f>
        <v>0</v>
      </c>
      <c r="F280" s="59" t="str">
        <f t="shared" si="29"/>
        <v>GF</v>
      </c>
      <c r="G280" s="59" t="str">
        <f t="shared" si="30"/>
        <v>っか</v>
      </c>
      <c r="H280" s="137" t="s">
        <v>290</v>
      </c>
      <c r="I280" s="135"/>
      <c r="J280" s="84">
        <f t="shared" si="31"/>
        <v>0</v>
      </c>
      <c r="K280" s="83"/>
      <c r="L280" s="64" t="e">
        <v>#N/A</v>
      </c>
      <c r="M280" s="121">
        <v>0</v>
      </c>
      <c r="N280" s="59" t="str">
        <v>GF</v>
      </c>
      <c r="O280" s="126" t="str">
        <v>っか</v>
      </c>
      <c r="P280" s="126" t="str">
        <v>IME OFF</v>
      </c>
      <c r="Q280" s="127">
        <v>0</v>
      </c>
      <c r="R280" s="84">
        <v>0</v>
      </c>
      <c r="T280" s="100" t="e">
        <v>#N/A</v>
      </c>
      <c r="U280" s="121">
        <v>0</v>
      </c>
      <c r="V280" s="59" t="str">
        <v>GF</v>
      </c>
      <c r="W280" s="126" t="str">
        <v>っか</v>
      </c>
      <c r="X280" s="126" t="str">
        <v>IME OFF</v>
      </c>
      <c r="Y280" s="127">
        <v>0</v>
      </c>
      <c r="Z280" s="90">
        <v>0</v>
      </c>
    </row>
    <row r="281" spans="1:26" x14ac:dyDescent="0.4">
      <c r="A281" s="52">
        <v>280</v>
      </c>
      <c r="B281" s="51">
        <f t="shared" si="26"/>
        <v>10</v>
      </c>
      <c r="C281" s="50">
        <f t="shared" si="27"/>
        <v>10</v>
      </c>
      <c r="D281" s="64" t="e">
        <f t="shared" si="28"/>
        <v>#N/A</v>
      </c>
      <c r="E281" s="121" cm="1">
        <f t="array" ref="E281">INDEX(InputArea,B281,C281)</f>
        <v>0</v>
      </c>
      <c r="F281" s="59" t="str">
        <f t="shared" si="29"/>
        <v>GG</v>
      </c>
      <c r="G281" s="59" t="str">
        <f t="shared" si="30"/>
        <v>っっ</v>
      </c>
      <c r="H281" s="134"/>
      <c r="I281" s="136" t="s">
        <v>396</v>
      </c>
      <c r="J281" s="84">
        <f t="shared" si="31"/>
        <v>0</v>
      </c>
      <c r="K281" s="83"/>
      <c r="L281" s="64" t="e">
        <v>#N/A</v>
      </c>
      <c r="M281" s="121">
        <v>0</v>
      </c>
      <c r="N281" s="59" t="str">
        <v>GG</v>
      </c>
      <c r="O281" s="126" t="str">
        <v>っっ</v>
      </c>
      <c r="P281" s="126">
        <v>0</v>
      </c>
      <c r="Q281" s="127" t="str">
        <v>っｇ</v>
      </c>
      <c r="R281" s="84">
        <v>0</v>
      </c>
      <c r="T281" s="100" t="e">
        <v>#N/A</v>
      </c>
      <c r="U281" s="121">
        <v>0</v>
      </c>
      <c r="V281" s="59" t="str">
        <v>GG</v>
      </c>
      <c r="W281" s="126" t="str">
        <v>っっ</v>
      </c>
      <c r="X281" s="126">
        <v>0</v>
      </c>
      <c r="Y281" s="127" t="str">
        <v>っｇ</v>
      </c>
      <c r="Z281" s="90">
        <v>0</v>
      </c>
    </row>
    <row r="282" spans="1:26" x14ac:dyDescent="0.4">
      <c r="A282" s="52">
        <v>281</v>
      </c>
      <c r="B282" s="51">
        <f t="shared" si="26"/>
        <v>10</v>
      </c>
      <c r="C282" s="50">
        <f t="shared" si="27"/>
        <v>11</v>
      </c>
      <c r="D282" s="64" t="e">
        <f t="shared" si="28"/>
        <v>#N/A</v>
      </c>
      <c r="E282" s="121" cm="1">
        <f t="array" ref="E282">INDEX(InputArea,B282,C282)</f>
        <v>0</v>
      </c>
      <c r="F282" s="59" t="str">
        <f t="shared" si="29"/>
        <v>GZ</v>
      </c>
      <c r="G282" s="59" t="str">
        <f t="shared" si="30"/>
        <v>っほ</v>
      </c>
      <c r="H282" s="134"/>
      <c r="I282" s="135"/>
      <c r="J282" s="84">
        <f t="shared" si="31"/>
        <v>0</v>
      </c>
      <c r="K282" s="83"/>
      <c r="L282" s="64" t="e">
        <v>#N/A</v>
      </c>
      <c r="M282" s="121">
        <v>0</v>
      </c>
      <c r="N282" s="59" t="str">
        <v>GZ</v>
      </c>
      <c r="O282" s="126" t="str">
        <v>っほ</v>
      </c>
      <c r="P282" s="126">
        <v>0</v>
      </c>
      <c r="Q282" s="127">
        <v>0</v>
      </c>
      <c r="R282" s="84">
        <v>0</v>
      </c>
      <c r="T282" s="100" t="e">
        <v>#N/A</v>
      </c>
      <c r="U282" s="121">
        <v>0</v>
      </c>
      <c r="V282" s="59" t="str">
        <v>GZ</v>
      </c>
      <c r="W282" s="126" t="str">
        <v>っほ</v>
      </c>
      <c r="X282" s="126">
        <v>0</v>
      </c>
      <c r="Y282" s="127">
        <v>0</v>
      </c>
      <c r="Z282" s="90">
        <v>0</v>
      </c>
    </row>
    <row r="283" spans="1:26" x14ac:dyDescent="0.4">
      <c r="A283" s="52">
        <v>282</v>
      </c>
      <c r="B283" s="51">
        <f t="shared" si="26"/>
        <v>10</v>
      </c>
      <c r="C283" s="50">
        <f t="shared" si="27"/>
        <v>12</v>
      </c>
      <c r="D283" s="64" t="e">
        <f t="shared" si="28"/>
        <v>#N/A</v>
      </c>
      <c r="E283" s="121" cm="1">
        <f t="array" ref="E283">INDEX(InputArea,B283,C283)</f>
        <v>0</v>
      </c>
      <c r="F283" s="59" t="str">
        <f t="shared" si="29"/>
        <v>GX</v>
      </c>
      <c r="G283" s="59" t="str">
        <f t="shared" si="30"/>
        <v>っひ</v>
      </c>
      <c r="H283" s="134"/>
      <c r="I283" s="135"/>
      <c r="J283" s="84">
        <f t="shared" si="31"/>
        <v>0</v>
      </c>
      <c r="K283" s="83"/>
      <c r="L283" s="64" t="e">
        <v>#N/A</v>
      </c>
      <c r="M283" s="121">
        <v>0</v>
      </c>
      <c r="N283" s="59" t="str">
        <v>GX</v>
      </c>
      <c r="O283" s="126" t="str">
        <v>っひ</v>
      </c>
      <c r="P283" s="126">
        <v>0</v>
      </c>
      <c r="Q283" s="127">
        <v>0</v>
      </c>
      <c r="R283" s="84">
        <v>0</v>
      </c>
      <c r="T283" s="100" t="e">
        <v>#N/A</v>
      </c>
      <c r="U283" s="121">
        <v>0</v>
      </c>
      <c r="V283" s="59" t="str">
        <v>GX</v>
      </c>
      <c r="W283" s="126" t="str">
        <v>っひ</v>
      </c>
      <c r="X283" s="126">
        <v>0</v>
      </c>
      <c r="Y283" s="127">
        <v>0</v>
      </c>
      <c r="Z283" s="90">
        <v>0</v>
      </c>
    </row>
    <row r="284" spans="1:26" x14ac:dyDescent="0.4">
      <c r="A284" s="52">
        <v>283</v>
      </c>
      <c r="B284" s="51">
        <f t="shared" si="26"/>
        <v>10</v>
      </c>
      <c r="C284" s="50">
        <f t="shared" si="27"/>
        <v>13</v>
      </c>
      <c r="D284" s="64" t="e">
        <f t="shared" si="28"/>
        <v>#N/A</v>
      </c>
      <c r="E284" s="121" cm="1">
        <f t="array" ref="E284">INDEX(InputArea,B284,C284)</f>
        <v>0</v>
      </c>
      <c r="F284" s="59" t="str">
        <f t="shared" si="29"/>
        <v>GC</v>
      </c>
      <c r="G284" s="59" t="str">
        <f t="shared" si="30"/>
        <v>っは</v>
      </c>
      <c r="H284" s="134"/>
      <c r="I284" s="135"/>
      <c r="J284" s="84">
        <f t="shared" si="31"/>
        <v>0</v>
      </c>
      <c r="K284" s="83"/>
      <c r="L284" s="64" t="e">
        <v>#N/A</v>
      </c>
      <c r="M284" s="121">
        <v>0</v>
      </c>
      <c r="N284" s="59" t="str">
        <v>GC</v>
      </c>
      <c r="O284" s="126" t="str">
        <v>っは</v>
      </c>
      <c r="P284" s="126">
        <v>0</v>
      </c>
      <c r="Q284" s="127">
        <v>0</v>
      </c>
      <c r="R284" s="84">
        <v>0</v>
      </c>
      <c r="T284" s="100" t="e">
        <v>#N/A</v>
      </c>
      <c r="U284" s="121">
        <v>0</v>
      </c>
      <c r="V284" s="59" t="str">
        <v>GC</v>
      </c>
      <c r="W284" s="126" t="str">
        <v>っは</v>
      </c>
      <c r="X284" s="126">
        <v>0</v>
      </c>
      <c r="Y284" s="127">
        <v>0</v>
      </c>
      <c r="Z284" s="90">
        <v>0</v>
      </c>
    </row>
    <row r="285" spans="1:26" x14ac:dyDescent="0.4">
      <c r="A285" s="52">
        <v>284</v>
      </c>
      <c r="B285" s="51">
        <f t="shared" si="26"/>
        <v>10</v>
      </c>
      <c r="C285" s="50">
        <f t="shared" si="27"/>
        <v>14</v>
      </c>
      <c r="D285" s="64" t="e">
        <f t="shared" si="28"/>
        <v>#N/A</v>
      </c>
      <c r="E285" s="121" cm="1">
        <f t="array" ref="E285">INDEX(InputArea,B285,C285)</f>
        <v>0</v>
      </c>
      <c r="F285" s="59" t="str">
        <f t="shared" si="29"/>
        <v>GV</v>
      </c>
      <c r="G285" s="59" t="str">
        <f t="shared" si="30"/>
        <v>っこ</v>
      </c>
      <c r="H285" s="134"/>
      <c r="I285" s="135"/>
      <c r="J285" s="84">
        <f t="shared" si="31"/>
        <v>0</v>
      </c>
      <c r="K285" s="83"/>
      <c r="L285" s="64" t="e">
        <v>#N/A</v>
      </c>
      <c r="M285" s="121">
        <v>0</v>
      </c>
      <c r="N285" s="59" t="str">
        <v>GV</v>
      </c>
      <c r="O285" s="126" t="str">
        <v>っこ</v>
      </c>
      <c r="P285" s="126">
        <v>0</v>
      </c>
      <c r="Q285" s="127">
        <v>0</v>
      </c>
      <c r="R285" s="84">
        <v>0</v>
      </c>
      <c r="T285" s="100" t="e">
        <v>#N/A</v>
      </c>
      <c r="U285" s="121">
        <v>0</v>
      </c>
      <c r="V285" s="59" t="str">
        <v>GV</v>
      </c>
      <c r="W285" s="126" t="str">
        <v>っこ</v>
      </c>
      <c r="X285" s="126">
        <v>0</v>
      </c>
      <c r="Y285" s="127">
        <v>0</v>
      </c>
      <c r="Z285" s="90">
        <v>0</v>
      </c>
    </row>
    <row r="286" spans="1:26" x14ac:dyDescent="0.4">
      <c r="A286" s="52">
        <v>285</v>
      </c>
      <c r="B286" s="51">
        <f t="shared" si="26"/>
        <v>10</v>
      </c>
      <c r="C286" s="50">
        <f t="shared" si="27"/>
        <v>15</v>
      </c>
      <c r="D286" s="64" t="e">
        <f t="shared" si="28"/>
        <v>#N/A</v>
      </c>
      <c r="E286" s="121" cm="1">
        <f t="array" ref="E286">INDEX(InputArea,B286,C286)</f>
        <v>0</v>
      </c>
      <c r="F286" s="59" t="str">
        <f t="shared" si="29"/>
        <v>GB</v>
      </c>
      <c r="G286" s="59" t="str">
        <f t="shared" si="30"/>
        <v>っそ</v>
      </c>
      <c r="H286" s="134"/>
      <c r="I286" s="135"/>
      <c r="J286" s="84">
        <f t="shared" si="31"/>
        <v>0</v>
      </c>
      <c r="K286" s="83"/>
      <c r="L286" s="64" t="e">
        <v>#N/A</v>
      </c>
      <c r="M286" s="121">
        <v>0</v>
      </c>
      <c r="N286" s="59" t="str">
        <v>GB</v>
      </c>
      <c r="O286" s="126" t="str">
        <v>っそ</v>
      </c>
      <c r="P286" s="126">
        <v>0</v>
      </c>
      <c r="Q286" s="127">
        <v>0</v>
      </c>
      <c r="R286" s="84">
        <v>0</v>
      </c>
      <c r="T286" s="100" t="e">
        <v>#N/A</v>
      </c>
      <c r="U286" s="121">
        <v>0</v>
      </c>
      <c r="V286" s="59" t="str">
        <v>GB</v>
      </c>
      <c r="W286" s="126" t="str">
        <v>っそ</v>
      </c>
      <c r="X286" s="126">
        <v>0</v>
      </c>
      <c r="Y286" s="127">
        <v>0</v>
      </c>
      <c r="Z286" s="90">
        <v>0</v>
      </c>
    </row>
    <row r="287" spans="1:26" x14ac:dyDescent="0.4">
      <c r="A287" s="52">
        <v>286</v>
      </c>
      <c r="B287" s="51">
        <f t="shared" si="26"/>
        <v>10</v>
      </c>
      <c r="C287" s="50">
        <f t="shared" si="27"/>
        <v>16</v>
      </c>
      <c r="D287" s="64" t="e">
        <f t="shared" si="28"/>
        <v>#N/A</v>
      </c>
      <c r="E287" s="121" cm="1">
        <f t="array" ref="E287">INDEX(InputArea,B287,C287)</f>
        <v>0</v>
      </c>
      <c r="F287" s="59" t="str">
        <f t="shared" si="29"/>
        <v>GY</v>
      </c>
      <c r="G287" s="59" t="str">
        <f t="shared" si="30"/>
        <v>っ→</v>
      </c>
      <c r="H287" s="134"/>
      <c r="I287" s="136" t="s">
        <v>397</v>
      </c>
      <c r="J287" s="84">
        <f t="shared" si="31"/>
        <v>1</v>
      </c>
      <c r="K287" s="83"/>
      <c r="L287" s="64" t="e">
        <v>#N/A</v>
      </c>
      <c r="M287" s="121">
        <v>0</v>
      </c>
      <c r="N287" s="59" t="str">
        <v>GY</v>
      </c>
      <c r="O287" s="126" t="str">
        <v>っ→</v>
      </c>
      <c r="P287" s="126">
        <v>0</v>
      </c>
      <c r="Q287" s="127" t="str">
        <v>ｇｙ</v>
      </c>
      <c r="R287" s="84">
        <v>1</v>
      </c>
      <c r="T287" s="100" t="e">
        <v>#N/A</v>
      </c>
      <c r="U287" s="121">
        <v>0</v>
      </c>
      <c r="V287" s="59" t="str">
        <v>GY</v>
      </c>
      <c r="W287" s="126" t="str">
        <v>っ→</v>
      </c>
      <c r="X287" s="126">
        <v>0</v>
      </c>
      <c r="Y287" s="127" t="str">
        <v>ｇｙ</v>
      </c>
      <c r="Z287" s="90">
        <v>1</v>
      </c>
    </row>
    <row r="288" spans="1:26" x14ac:dyDescent="0.4">
      <c r="A288" s="52">
        <v>287</v>
      </c>
      <c r="B288" s="51">
        <f t="shared" si="26"/>
        <v>10</v>
      </c>
      <c r="C288" s="50">
        <f t="shared" si="27"/>
        <v>17</v>
      </c>
      <c r="D288" s="64" t="e">
        <f t="shared" si="28"/>
        <v>#N/A</v>
      </c>
      <c r="E288" s="121" cm="1">
        <f t="array" ref="E288">INDEX(InputArea,B288,C288)</f>
        <v>0</v>
      </c>
      <c r="F288" s="59" t="str">
        <f t="shared" si="29"/>
        <v>GU</v>
      </c>
      <c r="G288" s="59" t="str">
        <f t="shared" si="30"/>
        <v>っBS</v>
      </c>
      <c r="H288" s="134"/>
      <c r="I288" s="136" t="s">
        <v>263</v>
      </c>
      <c r="J288" s="84">
        <f t="shared" si="31"/>
        <v>1</v>
      </c>
      <c r="K288" s="83"/>
      <c r="L288" s="64" t="e">
        <v>#N/A</v>
      </c>
      <c r="M288" s="121">
        <v>0</v>
      </c>
      <c r="N288" s="59" t="str">
        <v>GU</v>
      </c>
      <c r="O288" s="126" t="str">
        <v>っBS</v>
      </c>
      <c r="P288" s="126">
        <v>0</v>
      </c>
      <c r="Q288" s="127" t="str">
        <v>ぐ</v>
      </c>
      <c r="R288" s="84">
        <v>1</v>
      </c>
      <c r="T288" s="100" t="e">
        <v>#N/A</v>
      </c>
      <c r="U288" s="121">
        <v>0</v>
      </c>
      <c r="V288" s="59" t="str">
        <v>GU</v>
      </c>
      <c r="W288" s="126" t="str">
        <v>っBS</v>
      </c>
      <c r="X288" s="126">
        <v>0</v>
      </c>
      <c r="Y288" s="127" t="str">
        <v>ぐ</v>
      </c>
      <c r="Z288" s="90">
        <v>1</v>
      </c>
    </row>
    <row r="289" spans="1:26" x14ac:dyDescent="0.4">
      <c r="A289" s="52">
        <v>288</v>
      </c>
      <c r="B289" s="51">
        <f t="shared" si="26"/>
        <v>10</v>
      </c>
      <c r="C289" s="50">
        <f t="shared" si="27"/>
        <v>18</v>
      </c>
      <c r="D289" s="64" t="e">
        <f t="shared" si="28"/>
        <v>#N/A</v>
      </c>
      <c r="E289" s="121" cm="1">
        <f t="array" ref="E289">INDEX(InputArea,B289,C289)</f>
        <v>0</v>
      </c>
      <c r="F289" s="59" t="str">
        <f t="shared" si="29"/>
        <v>GI</v>
      </c>
      <c r="G289" s="59" t="str">
        <f t="shared" si="30"/>
        <v>っる</v>
      </c>
      <c r="H289" s="134"/>
      <c r="I289" s="136" t="s">
        <v>248</v>
      </c>
      <c r="J289" s="84">
        <f t="shared" si="31"/>
        <v>1</v>
      </c>
      <c r="K289" s="83"/>
      <c r="L289" s="64" t="e">
        <v>#N/A</v>
      </c>
      <c r="M289" s="121">
        <v>0</v>
      </c>
      <c r="N289" s="59" t="str">
        <v>GI</v>
      </c>
      <c r="O289" s="126" t="str">
        <v>っる</v>
      </c>
      <c r="P289" s="126">
        <v>0</v>
      </c>
      <c r="Q289" s="127" t="str">
        <v>ぎ</v>
      </c>
      <c r="R289" s="84">
        <v>1</v>
      </c>
      <c r="T289" s="100" t="e">
        <v>#N/A</v>
      </c>
      <c r="U289" s="121">
        <v>0</v>
      </c>
      <c r="V289" s="59" t="str">
        <v>GI</v>
      </c>
      <c r="W289" s="126" t="str">
        <v>っる</v>
      </c>
      <c r="X289" s="126">
        <v>0</v>
      </c>
      <c r="Y289" s="127" t="str">
        <v>ぎ</v>
      </c>
      <c r="Z289" s="90">
        <v>1</v>
      </c>
    </row>
    <row r="290" spans="1:26" x14ac:dyDescent="0.4">
      <c r="A290" s="52">
        <v>289</v>
      </c>
      <c r="B290" s="51">
        <f t="shared" si="26"/>
        <v>10</v>
      </c>
      <c r="C290" s="50">
        <f t="shared" si="27"/>
        <v>19</v>
      </c>
      <c r="D290" s="64" t="e">
        <f t="shared" si="28"/>
        <v>#N/A</v>
      </c>
      <c r="E290" s="121" cm="1">
        <f t="array" ref="E290">INDEX(InputArea,B290,C290)</f>
        <v>0</v>
      </c>
      <c r="F290" s="59" t="str">
        <f t="shared" si="29"/>
        <v>GO</v>
      </c>
      <c r="G290" s="59" t="str">
        <f t="shared" si="30"/>
        <v>っす</v>
      </c>
      <c r="H290" s="134"/>
      <c r="I290" s="136" t="s">
        <v>277</v>
      </c>
      <c r="J290" s="84">
        <f t="shared" si="31"/>
        <v>1</v>
      </c>
      <c r="K290" s="83"/>
      <c r="L290" s="64" t="e">
        <v>#N/A</v>
      </c>
      <c r="M290" s="121">
        <v>0</v>
      </c>
      <c r="N290" s="59" t="str">
        <v>GO</v>
      </c>
      <c r="O290" s="126" t="str">
        <v>っす</v>
      </c>
      <c r="P290" s="126">
        <v>0</v>
      </c>
      <c r="Q290" s="127" t="str">
        <v>ご</v>
      </c>
      <c r="R290" s="84">
        <v>1</v>
      </c>
      <c r="T290" s="100" t="e">
        <v>#N/A</v>
      </c>
      <c r="U290" s="121">
        <v>0</v>
      </c>
      <c r="V290" s="59" t="str">
        <v>GO</v>
      </c>
      <c r="W290" s="126" t="str">
        <v>っす</v>
      </c>
      <c r="X290" s="126">
        <v>0</v>
      </c>
      <c r="Y290" s="127" t="str">
        <v>ご</v>
      </c>
      <c r="Z290" s="90">
        <v>1</v>
      </c>
    </row>
    <row r="291" spans="1:26" x14ac:dyDescent="0.4">
      <c r="A291" s="52">
        <v>290</v>
      </c>
      <c r="B291" s="51">
        <f t="shared" si="26"/>
        <v>10</v>
      </c>
      <c r="C291" s="50">
        <f t="shared" si="27"/>
        <v>20</v>
      </c>
      <c r="D291" s="64" t="e">
        <f t="shared" si="28"/>
        <v>#N/A</v>
      </c>
      <c r="E291" s="121" cm="1">
        <f t="array" ref="E291">INDEX(InputArea,B291,C291)</f>
        <v>0</v>
      </c>
      <c r="F291" s="59" t="str">
        <f t="shared" si="29"/>
        <v>GP</v>
      </c>
      <c r="G291" s="59" t="str">
        <f t="shared" si="30"/>
        <v>っへ</v>
      </c>
      <c r="H291" s="134"/>
      <c r="I291" s="135"/>
      <c r="J291" s="84">
        <f t="shared" si="31"/>
        <v>1</v>
      </c>
      <c r="K291" s="83"/>
      <c r="L291" s="64" t="e">
        <v>#N/A</v>
      </c>
      <c r="M291" s="121">
        <v>0</v>
      </c>
      <c r="N291" s="59" t="str">
        <v>GP</v>
      </c>
      <c r="O291" s="126" t="str">
        <v>っへ</v>
      </c>
      <c r="P291" s="126">
        <v>0</v>
      </c>
      <c r="Q291" s="127">
        <v>0</v>
      </c>
      <c r="R291" s="84">
        <v>1</v>
      </c>
      <c r="T291" s="100" t="e">
        <v>#N/A</v>
      </c>
      <c r="U291" s="121">
        <v>0</v>
      </c>
      <c r="V291" s="59" t="str">
        <v>GP</v>
      </c>
      <c r="W291" s="126" t="str">
        <v>っへ</v>
      </c>
      <c r="X291" s="126">
        <v>0</v>
      </c>
      <c r="Y291" s="127">
        <v>0</v>
      </c>
      <c r="Z291" s="90">
        <v>1</v>
      </c>
    </row>
    <row r="292" spans="1:26" x14ac:dyDescent="0.4">
      <c r="A292" s="52">
        <v>291</v>
      </c>
      <c r="B292" s="51">
        <f t="shared" si="26"/>
        <v>10</v>
      </c>
      <c r="C292" s="50">
        <f t="shared" si="27"/>
        <v>21</v>
      </c>
      <c r="D292" s="64" t="e">
        <f t="shared" si="28"/>
        <v>#N/A</v>
      </c>
      <c r="E292" s="121" cm="1">
        <f t="array" ref="E292">INDEX(InputArea,B292,C292)</f>
        <v>0</v>
      </c>
      <c r="F292" s="59" t="str">
        <f t="shared" si="29"/>
        <v>GH</v>
      </c>
      <c r="G292" s="59" t="str">
        <f t="shared" si="30"/>
        <v>っく</v>
      </c>
      <c r="H292" s="134"/>
      <c r="I292" s="135"/>
      <c r="J292" s="84">
        <f t="shared" si="31"/>
        <v>1</v>
      </c>
      <c r="K292" s="83"/>
      <c r="L292" s="64" t="e">
        <v>#N/A</v>
      </c>
      <c r="M292" s="121">
        <v>0</v>
      </c>
      <c r="N292" s="59" t="str">
        <v>GH</v>
      </c>
      <c r="O292" s="126" t="str">
        <v>っく</v>
      </c>
      <c r="P292" s="126">
        <v>0</v>
      </c>
      <c r="Q292" s="127">
        <v>0</v>
      </c>
      <c r="R292" s="84">
        <v>1</v>
      </c>
      <c r="T292" s="100" t="e">
        <v>#N/A</v>
      </c>
      <c r="U292" s="121">
        <v>0</v>
      </c>
      <c r="V292" s="59" t="str">
        <v>GH</v>
      </c>
      <c r="W292" s="126" t="str">
        <v>っく</v>
      </c>
      <c r="X292" s="126">
        <v>0</v>
      </c>
      <c r="Y292" s="127">
        <v>0</v>
      </c>
      <c r="Z292" s="90">
        <v>1</v>
      </c>
    </row>
    <row r="293" spans="1:26" x14ac:dyDescent="0.4">
      <c r="A293" s="52">
        <v>292</v>
      </c>
      <c r="B293" s="51">
        <f t="shared" si="26"/>
        <v>10</v>
      </c>
      <c r="C293" s="50">
        <f t="shared" si="27"/>
        <v>22</v>
      </c>
      <c r="D293" s="64" t="e">
        <f t="shared" si="28"/>
        <v>#N/A</v>
      </c>
      <c r="E293" s="121" cm="1">
        <f t="array" ref="E293">INDEX(InputArea,B293,C293)</f>
        <v>0</v>
      </c>
      <c r="F293" s="59" t="str">
        <f t="shared" si="29"/>
        <v>GJ</v>
      </c>
      <c r="G293" s="59" t="str">
        <f t="shared" si="30"/>
        <v>っあ</v>
      </c>
      <c r="H293" s="137" t="s">
        <v>270</v>
      </c>
      <c r="I293" s="135"/>
      <c r="J293" s="84">
        <f t="shared" si="31"/>
        <v>1</v>
      </c>
      <c r="K293" s="83"/>
      <c r="L293" s="64" t="e">
        <v>#N/A</v>
      </c>
      <c r="M293" s="121">
        <v>0</v>
      </c>
      <c r="N293" s="59" t="str">
        <v>GJ</v>
      </c>
      <c r="O293" s="126" t="str">
        <v>っあ</v>
      </c>
      <c r="P293" s="126" t="str">
        <v>ぢ</v>
      </c>
      <c r="Q293" s="127">
        <v>0</v>
      </c>
      <c r="R293" s="84">
        <v>1</v>
      </c>
      <c r="T293" s="100" t="e">
        <v>#N/A</v>
      </c>
      <c r="U293" s="121">
        <v>0</v>
      </c>
      <c r="V293" s="59" t="str">
        <v>GJ</v>
      </c>
      <c r="W293" s="126" t="str">
        <v>っあ</v>
      </c>
      <c r="X293" s="126" t="str">
        <v>ぢ</v>
      </c>
      <c r="Y293" s="127">
        <v>0</v>
      </c>
      <c r="Z293" s="90">
        <v>1</v>
      </c>
    </row>
    <row r="294" spans="1:26" x14ac:dyDescent="0.4">
      <c r="A294" s="52">
        <v>293</v>
      </c>
      <c r="B294" s="51">
        <f t="shared" si="26"/>
        <v>10</v>
      </c>
      <c r="C294" s="50">
        <f t="shared" si="27"/>
        <v>23</v>
      </c>
      <c r="D294" s="64" t="e">
        <f t="shared" si="28"/>
        <v>#N/A</v>
      </c>
      <c r="E294" s="121" cm="1">
        <f t="array" ref="E294">INDEX(InputArea,B294,C294)</f>
        <v>0</v>
      </c>
      <c r="F294" s="59" t="str">
        <f t="shared" si="29"/>
        <v>GK</v>
      </c>
      <c r="G294" s="59" t="str">
        <f t="shared" si="30"/>
        <v>っい</v>
      </c>
      <c r="H294" s="134"/>
      <c r="I294" s="135"/>
      <c r="J294" s="84">
        <f t="shared" si="31"/>
        <v>1</v>
      </c>
      <c r="K294" s="83"/>
      <c r="L294" s="64" t="e">
        <v>#N/A</v>
      </c>
      <c r="M294" s="121">
        <v>0</v>
      </c>
      <c r="N294" s="59" t="str">
        <v>GK</v>
      </c>
      <c r="O294" s="126" t="str">
        <v>っい</v>
      </c>
      <c r="P294" s="126">
        <v>0</v>
      </c>
      <c r="Q294" s="127">
        <v>0</v>
      </c>
      <c r="R294" s="84">
        <v>1</v>
      </c>
      <c r="T294" s="100" t="e">
        <v>#N/A</v>
      </c>
      <c r="U294" s="121">
        <v>0</v>
      </c>
      <c r="V294" s="59" t="str">
        <v>GK</v>
      </c>
      <c r="W294" s="126" t="str">
        <v>っい</v>
      </c>
      <c r="X294" s="126">
        <v>0</v>
      </c>
      <c r="Y294" s="127">
        <v>0</v>
      </c>
      <c r="Z294" s="90">
        <v>1</v>
      </c>
    </row>
    <row r="295" spans="1:26" x14ac:dyDescent="0.4">
      <c r="A295" s="52">
        <v>294</v>
      </c>
      <c r="B295" s="51">
        <f t="shared" si="26"/>
        <v>10</v>
      </c>
      <c r="C295" s="50">
        <f t="shared" si="27"/>
        <v>24</v>
      </c>
      <c r="D295" s="64" t="e">
        <f t="shared" si="28"/>
        <v>#N/A</v>
      </c>
      <c r="E295" s="121" cm="1">
        <f t="array" ref="E295">INDEX(InputArea,B295,C295)</f>
        <v>0</v>
      </c>
      <c r="F295" s="59" t="str">
        <f t="shared" si="29"/>
        <v>GL</v>
      </c>
      <c r="G295" s="59" t="str">
        <f t="shared" si="30"/>
        <v>っう</v>
      </c>
      <c r="H295" s="134"/>
      <c r="I295" s="135"/>
      <c r="J295" s="84">
        <f t="shared" si="31"/>
        <v>1</v>
      </c>
      <c r="K295" s="83"/>
      <c r="L295" s="64" t="e">
        <v>#N/A</v>
      </c>
      <c r="M295" s="121">
        <v>0</v>
      </c>
      <c r="N295" s="59" t="str">
        <v>GL</v>
      </c>
      <c r="O295" s="126" t="str">
        <v>っう</v>
      </c>
      <c r="P295" s="126">
        <v>0</v>
      </c>
      <c r="Q295" s="127">
        <v>0</v>
      </c>
      <c r="R295" s="84">
        <v>1</v>
      </c>
      <c r="T295" s="100" t="e">
        <v>#N/A</v>
      </c>
      <c r="U295" s="121">
        <v>0</v>
      </c>
      <c r="V295" s="59" t="str">
        <v>GL</v>
      </c>
      <c r="W295" s="126" t="str">
        <v>っう</v>
      </c>
      <c r="X295" s="126">
        <v>0</v>
      </c>
      <c r="Y295" s="127">
        <v>0</v>
      </c>
      <c r="Z295" s="90">
        <v>1</v>
      </c>
    </row>
    <row r="296" spans="1:26" x14ac:dyDescent="0.4">
      <c r="A296" s="52">
        <v>295</v>
      </c>
      <c r="B296" s="51">
        <f t="shared" si="26"/>
        <v>10</v>
      </c>
      <c r="C296" s="50">
        <f t="shared" si="27"/>
        <v>25</v>
      </c>
      <c r="D296" s="64" t="e">
        <f t="shared" si="28"/>
        <v>#N/A</v>
      </c>
      <c r="E296" s="121" cm="1">
        <f t="array" ref="E296">INDEX(InputArea,B296,C296)</f>
        <v>0</v>
      </c>
      <c r="F296" s="59" t="str">
        <f t="shared" si="29"/>
        <v>G;</v>
      </c>
      <c r="G296" s="59" t="str">
        <f t="shared" si="30"/>
        <v>っー</v>
      </c>
      <c r="H296" s="134"/>
      <c r="I296" s="135"/>
      <c r="J296" s="84">
        <f t="shared" si="31"/>
        <v>1</v>
      </c>
      <c r="K296" s="83"/>
      <c r="L296" s="64" t="e">
        <v>#N/A</v>
      </c>
      <c r="M296" s="121">
        <v>0</v>
      </c>
      <c r="N296" s="59" t="str">
        <v>G;</v>
      </c>
      <c r="O296" s="126" t="str">
        <v>っー</v>
      </c>
      <c r="P296" s="126">
        <v>0</v>
      </c>
      <c r="Q296" s="127">
        <v>0</v>
      </c>
      <c r="R296" s="84">
        <v>1</v>
      </c>
      <c r="T296" s="100" t="e">
        <v>#N/A</v>
      </c>
      <c r="U296" s="121">
        <v>0</v>
      </c>
      <c r="V296" s="59" t="str">
        <v>G;</v>
      </c>
      <c r="W296" s="126" t="str">
        <v>っー</v>
      </c>
      <c r="X296" s="126">
        <v>0</v>
      </c>
      <c r="Y296" s="127">
        <v>0</v>
      </c>
      <c r="Z296" s="90">
        <v>1</v>
      </c>
    </row>
    <row r="297" spans="1:26" x14ac:dyDescent="0.4">
      <c r="A297" s="52">
        <v>296</v>
      </c>
      <c r="B297" s="51">
        <f t="shared" si="26"/>
        <v>10</v>
      </c>
      <c r="C297" s="50">
        <f t="shared" si="27"/>
        <v>26</v>
      </c>
      <c r="D297" s="64" t="e">
        <f t="shared" si="28"/>
        <v>#N/A</v>
      </c>
      <c r="E297" s="121" cm="1">
        <f t="array" ref="E297">INDEX(InputArea,B297,C297)</f>
        <v>0</v>
      </c>
      <c r="F297" s="59" t="str">
        <f t="shared" si="29"/>
        <v>GN</v>
      </c>
      <c r="G297" s="59" t="str">
        <f t="shared" si="30"/>
        <v>った</v>
      </c>
      <c r="H297" s="134"/>
      <c r="I297" s="135"/>
      <c r="J297" s="84">
        <f t="shared" si="31"/>
        <v>1</v>
      </c>
      <c r="K297" s="83"/>
      <c r="L297" s="64" t="e">
        <v>#N/A</v>
      </c>
      <c r="M297" s="121">
        <v>0</v>
      </c>
      <c r="N297" s="59" t="str">
        <v>GN</v>
      </c>
      <c r="O297" s="126" t="str">
        <v>った</v>
      </c>
      <c r="P297" s="126">
        <v>0</v>
      </c>
      <c r="Q297" s="127">
        <v>0</v>
      </c>
      <c r="R297" s="84">
        <v>1</v>
      </c>
      <c r="T297" s="100" t="e">
        <v>#N/A</v>
      </c>
      <c r="U297" s="121">
        <v>0</v>
      </c>
      <c r="V297" s="59" t="str">
        <v>GN</v>
      </c>
      <c r="W297" s="126" t="str">
        <v>った</v>
      </c>
      <c r="X297" s="126">
        <v>0</v>
      </c>
      <c r="Y297" s="127">
        <v>0</v>
      </c>
      <c r="Z297" s="90">
        <v>1</v>
      </c>
    </row>
    <row r="298" spans="1:26" x14ac:dyDescent="0.4">
      <c r="A298" s="52">
        <v>297</v>
      </c>
      <c r="B298" s="51">
        <f t="shared" si="26"/>
        <v>10</v>
      </c>
      <c r="C298" s="50">
        <f t="shared" si="27"/>
        <v>27</v>
      </c>
      <c r="D298" s="64" t="e">
        <f t="shared" si="28"/>
        <v>#N/A</v>
      </c>
      <c r="E298" s="121" cm="1">
        <f t="array" ref="E298">INDEX(InputArea,B298,C298)</f>
        <v>0</v>
      </c>
      <c r="F298" s="59" t="str">
        <f t="shared" si="29"/>
        <v>GM</v>
      </c>
      <c r="G298" s="59" t="str">
        <f t="shared" si="30"/>
        <v>っな</v>
      </c>
      <c r="H298" s="134"/>
      <c r="I298" s="135"/>
      <c r="J298" s="84">
        <f t="shared" si="31"/>
        <v>1</v>
      </c>
      <c r="K298" s="83"/>
      <c r="L298" s="64" t="e">
        <v>#N/A</v>
      </c>
      <c r="M298" s="121">
        <v>0</v>
      </c>
      <c r="N298" s="59" t="str">
        <v>GM</v>
      </c>
      <c r="O298" s="126" t="str">
        <v>っな</v>
      </c>
      <c r="P298" s="126">
        <v>0</v>
      </c>
      <c r="Q298" s="127">
        <v>0</v>
      </c>
      <c r="R298" s="84">
        <v>1</v>
      </c>
      <c r="T298" s="100" t="e">
        <v>#N/A</v>
      </c>
      <c r="U298" s="121">
        <v>0</v>
      </c>
      <c r="V298" s="59" t="str">
        <v>GM</v>
      </c>
      <c r="W298" s="126" t="str">
        <v>っな</v>
      </c>
      <c r="X298" s="126">
        <v>0</v>
      </c>
      <c r="Y298" s="127">
        <v>0</v>
      </c>
      <c r="Z298" s="90">
        <v>1</v>
      </c>
    </row>
    <row r="299" spans="1:26" x14ac:dyDescent="0.4">
      <c r="A299" s="52">
        <v>298</v>
      </c>
      <c r="B299" s="51">
        <f t="shared" si="26"/>
        <v>10</v>
      </c>
      <c r="C299" s="50">
        <f t="shared" si="27"/>
        <v>28</v>
      </c>
      <c r="D299" s="64" t="e">
        <f t="shared" si="28"/>
        <v>#N/A</v>
      </c>
      <c r="E299" s="121" cm="1">
        <f t="array" ref="E299">INDEX(InputArea,B299,C299)</f>
        <v>0</v>
      </c>
      <c r="F299" s="59" t="str">
        <f t="shared" si="29"/>
        <v>G,</v>
      </c>
      <c r="G299" s="59" t="str">
        <f t="shared" si="30"/>
        <v>っん</v>
      </c>
      <c r="H299" s="134"/>
      <c r="I299" s="135"/>
      <c r="J299" s="84">
        <f t="shared" si="31"/>
        <v>1</v>
      </c>
      <c r="K299" s="83"/>
      <c r="L299" s="64" t="e">
        <v>#N/A</v>
      </c>
      <c r="M299" s="121">
        <v>0</v>
      </c>
      <c r="N299" s="59" t="str">
        <v>G,</v>
      </c>
      <c r="O299" s="126" t="str">
        <v>っん</v>
      </c>
      <c r="P299" s="126">
        <v>0</v>
      </c>
      <c r="Q299" s="127">
        <v>0</v>
      </c>
      <c r="R299" s="84">
        <v>1</v>
      </c>
      <c r="T299" s="100" t="e">
        <v>#N/A</v>
      </c>
      <c r="U299" s="121">
        <v>0</v>
      </c>
      <c r="V299" s="59" t="str">
        <v>G,</v>
      </c>
      <c r="W299" s="126" t="str">
        <v>っん</v>
      </c>
      <c r="X299" s="126">
        <v>0</v>
      </c>
      <c r="Y299" s="127">
        <v>0</v>
      </c>
      <c r="Z299" s="90">
        <v>1</v>
      </c>
    </row>
    <row r="300" spans="1:26" x14ac:dyDescent="0.4">
      <c r="A300" s="52">
        <v>299</v>
      </c>
      <c r="B300" s="51">
        <f t="shared" si="26"/>
        <v>10</v>
      </c>
      <c r="C300" s="50">
        <f t="shared" si="27"/>
        <v>29</v>
      </c>
      <c r="D300" s="64" t="e">
        <f t="shared" si="28"/>
        <v>#N/A</v>
      </c>
      <c r="E300" s="121" cm="1">
        <f t="array" ref="E300">INDEX(InputArea,B300,C300)</f>
        <v>0</v>
      </c>
      <c r="F300" s="59" t="str">
        <f t="shared" si="29"/>
        <v>G.</v>
      </c>
      <c r="G300" s="59" t="str">
        <f t="shared" si="30"/>
        <v>っら</v>
      </c>
      <c r="H300" s="134"/>
      <c r="I300" s="135"/>
      <c r="J300" s="84">
        <f t="shared" si="31"/>
        <v>1</v>
      </c>
      <c r="K300" s="83"/>
      <c r="L300" s="64" t="e">
        <v>#N/A</v>
      </c>
      <c r="M300" s="121">
        <v>0</v>
      </c>
      <c r="N300" s="59" t="str">
        <v>G.</v>
      </c>
      <c r="O300" s="126" t="str">
        <v>っら</v>
      </c>
      <c r="P300" s="126">
        <v>0</v>
      </c>
      <c r="Q300" s="127">
        <v>0</v>
      </c>
      <c r="R300" s="84">
        <v>1</v>
      </c>
      <c r="T300" s="100" t="e">
        <v>#N/A</v>
      </c>
      <c r="U300" s="121">
        <v>0</v>
      </c>
      <c r="V300" s="59" t="str">
        <v>G.</v>
      </c>
      <c r="W300" s="126" t="str">
        <v>っら</v>
      </c>
      <c r="X300" s="126">
        <v>0</v>
      </c>
      <c r="Y300" s="127">
        <v>0</v>
      </c>
      <c r="Z300" s="90">
        <v>1</v>
      </c>
    </row>
    <row r="301" spans="1:26" x14ac:dyDescent="0.4">
      <c r="A301" s="52">
        <v>300</v>
      </c>
      <c r="B301" s="51">
        <f t="shared" si="26"/>
        <v>10</v>
      </c>
      <c r="C301" s="50">
        <f t="shared" si="27"/>
        <v>30</v>
      </c>
      <c r="D301" s="64" t="e">
        <f t="shared" si="28"/>
        <v>#N/A</v>
      </c>
      <c r="E301" s="121" cm="1">
        <f t="array" ref="E301">INDEX(InputArea,B301,C301)</f>
        <v>0</v>
      </c>
      <c r="F301" s="59" t="str">
        <f t="shared" si="29"/>
        <v>G/</v>
      </c>
      <c r="G301" s="59" t="str">
        <f t="shared" si="30"/>
        <v>っれ</v>
      </c>
      <c r="H301" s="134"/>
      <c r="I301" s="135"/>
      <c r="J301" s="84">
        <f t="shared" si="31"/>
        <v>1</v>
      </c>
      <c r="K301" s="83"/>
      <c r="L301" s="64" t="e">
        <v>#N/A</v>
      </c>
      <c r="M301" s="121">
        <v>0</v>
      </c>
      <c r="N301" s="59" t="str">
        <v>G/</v>
      </c>
      <c r="O301" s="126" t="str">
        <v>っれ</v>
      </c>
      <c r="P301" s="126">
        <v>0</v>
      </c>
      <c r="Q301" s="127">
        <v>0</v>
      </c>
      <c r="R301" s="84">
        <v>1</v>
      </c>
      <c r="T301" s="100" t="e">
        <v>#N/A</v>
      </c>
      <c r="U301" s="121">
        <v>0</v>
      </c>
      <c r="V301" s="59" t="str">
        <v>G/</v>
      </c>
      <c r="W301" s="126" t="str">
        <v>っれ</v>
      </c>
      <c r="X301" s="126">
        <v>0</v>
      </c>
      <c r="Y301" s="127">
        <v>0</v>
      </c>
      <c r="Z301" s="90">
        <v>1</v>
      </c>
    </row>
    <row r="302" spans="1:26" x14ac:dyDescent="0.4">
      <c r="A302" s="52">
        <v>301</v>
      </c>
      <c r="B302" s="51">
        <f t="shared" si="26"/>
        <v>11</v>
      </c>
      <c r="C302" s="50">
        <f t="shared" si="27"/>
        <v>1</v>
      </c>
      <c r="D302" s="64" t="e">
        <f t="shared" si="28"/>
        <v>#N/A</v>
      </c>
      <c r="E302" s="121" cm="1">
        <f t="array" ref="E302">INDEX(InputArea,B302,C302)</f>
        <v>0</v>
      </c>
      <c r="F302" s="59" t="str">
        <f t="shared" si="29"/>
        <v>ZQ</v>
      </c>
      <c r="G302" s="59" t="str">
        <f t="shared" si="30"/>
        <v>ほヴ</v>
      </c>
      <c r="H302" s="134"/>
      <c r="I302" s="135"/>
      <c r="J302" s="84">
        <f t="shared" si="31"/>
        <v>0</v>
      </c>
      <c r="K302" s="83"/>
      <c r="L302" s="64" t="e">
        <v>#N/A</v>
      </c>
      <c r="M302" s="121">
        <v>0</v>
      </c>
      <c r="N302" s="59" t="str">
        <v>ZQ</v>
      </c>
      <c r="O302" s="126" t="str">
        <v>ほヴ</v>
      </c>
      <c r="P302" s="126">
        <v>0</v>
      </c>
      <c r="Q302" s="127">
        <v>0</v>
      </c>
      <c r="R302" s="84">
        <v>0</v>
      </c>
      <c r="T302" s="100" t="e">
        <v>#N/A</v>
      </c>
      <c r="U302" s="121">
        <v>0</v>
      </c>
      <c r="V302" s="59" t="str">
        <v>ZQ</v>
      </c>
      <c r="W302" s="126" t="str">
        <v>ほヴ</v>
      </c>
      <c r="X302" s="126">
        <v>0</v>
      </c>
      <c r="Y302" s="127">
        <v>0</v>
      </c>
      <c r="Z302" s="90">
        <v>0</v>
      </c>
    </row>
    <row r="303" spans="1:26" x14ac:dyDescent="0.4">
      <c r="A303" s="52">
        <v>302</v>
      </c>
      <c r="B303" s="51">
        <f t="shared" si="26"/>
        <v>11</v>
      </c>
      <c r="C303" s="50">
        <f t="shared" si="27"/>
        <v>2</v>
      </c>
      <c r="D303" s="64" t="e">
        <f t="shared" si="28"/>
        <v>#N/A</v>
      </c>
      <c r="E303" s="121" cm="1">
        <f t="array" ref="E303">INDEX(InputArea,B303,C303)</f>
        <v>0</v>
      </c>
      <c r="F303" s="59" t="str">
        <f t="shared" si="29"/>
        <v>ZW</v>
      </c>
      <c r="G303" s="59" t="str">
        <f t="shared" si="30"/>
        <v>ほき</v>
      </c>
      <c r="H303" s="134"/>
      <c r="I303" s="135"/>
      <c r="J303" s="84">
        <f t="shared" si="31"/>
        <v>0</v>
      </c>
      <c r="K303" s="83"/>
      <c r="L303" s="64" t="e">
        <v>#N/A</v>
      </c>
      <c r="M303" s="121">
        <v>0</v>
      </c>
      <c r="N303" s="59" t="str">
        <v>ZW</v>
      </c>
      <c r="O303" s="126" t="str">
        <v>ほき</v>
      </c>
      <c r="P303" s="126">
        <v>0</v>
      </c>
      <c r="Q303" s="127">
        <v>0</v>
      </c>
      <c r="R303" s="84">
        <v>0</v>
      </c>
      <c r="T303" s="100" t="e">
        <v>#N/A</v>
      </c>
      <c r="U303" s="121">
        <v>0</v>
      </c>
      <c r="V303" s="59" t="str">
        <v>ZW</v>
      </c>
      <c r="W303" s="126" t="str">
        <v>ほき</v>
      </c>
      <c r="X303" s="126">
        <v>0</v>
      </c>
      <c r="Y303" s="127">
        <v>0</v>
      </c>
      <c r="Z303" s="90">
        <v>0</v>
      </c>
    </row>
    <row r="304" spans="1:26" x14ac:dyDescent="0.4">
      <c r="A304" s="52">
        <v>303</v>
      </c>
      <c r="B304" s="51">
        <f t="shared" si="26"/>
        <v>11</v>
      </c>
      <c r="C304" s="50">
        <f t="shared" si="27"/>
        <v>3</v>
      </c>
      <c r="D304" s="64" t="e">
        <f t="shared" si="28"/>
        <v>#N/A</v>
      </c>
      <c r="E304" s="121" cm="1">
        <f t="array" ref="E304">INDEX(InputArea,B304,C304)</f>
        <v>0</v>
      </c>
      <c r="F304" s="59" t="str">
        <f t="shared" si="29"/>
        <v>ZE</v>
      </c>
      <c r="G304" s="59" t="str">
        <f t="shared" si="30"/>
        <v>ほて</v>
      </c>
      <c r="H304" s="134"/>
      <c r="I304" s="136" t="s">
        <v>267</v>
      </c>
      <c r="J304" s="84">
        <f t="shared" si="31"/>
        <v>0</v>
      </c>
      <c r="K304" s="83"/>
      <c r="L304" s="64" t="e">
        <v>#N/A</v>
      </c>
      <c r="M304" s="121">
        <v>0</v>
      </c>
      <c r="N304" s="59" t="str">
        <v>ZE</v>
      </c>
      <c r="O304" s="126" t="str">
        <v>ほて</v>
      </c>
      <c r="P304" s="126">
        <v>0</v>
      </c>
      <c r="Q304" s="127" t="str">
        <v>ぜ</v>
      </c>
      <c r="R304" s="84">
        <v>0</v>
      </c>
      <c r="T304" s="100" t="e">
        <v>#N/A</v>
      </c>
      <c r="U304" s="121">
        <v>0</v>
      </c>
      <c r="V304" s="59" t="str">
        <v>ZE</v>
      </c>
      <c r="W304" s="126" t="str">
        <v>ほて</v>
      </c>
      <c r="X304" s="126">
        <v>0</v>
      </c>
      <c r="Y304" s="127" t="str">
        <v>ぜ</v>
      </c>
      <c r="Z304" s="90">
        <v>0</v>
      </c>
    </row>
    <row r="305" spans="1:26" x14ac:dyDescent="0.4">
      <c r="A305" s="52">
        <v>304</v>
      </c>
      <c r="B305" s="51">
        <f t="shared" si="26"/>
        <v>11</v>
      </c>
      <c r="C305" s="50">
        <f t="shared" si="27"/>
        <v>4</v>
      </c>
      <c r="D305" s="64" t="e">
        <f t="shared" si="28"/>
        <v>#N/A</v>
      </c>
      <c r="E305" s="121" cm="1">
        <f t="array" ref="E305">INDEX(InputArea,B305,C305)</f>
        <v>0</v>
      </c>
      <c r="F305" s="59" t="str">
        <f t="shared" si="29"/>
        <v>ZR</v>
      </c>
      <c r="G305" s="59" t="str">
        <f t="shared" si="30"/>
        <v>ほし</v>
      </c>
      <c r="H305" s="134"/>
      <c r="I305" s="135"/>
      <c r="J305" s="84">
        <f t="shared" si="31"/>
        <v>0</v>
      </c>
      <c r="K305" s="83"/>
      <c r="L305" s="64" t="e">
        <v>#N/A</v>
      </c>
      <c r="M305" s="121">
        <v>0</v>
      </c>
      <c r="N305" s="59" t="str">
        <v>ZR</v>
      </c>
      <c r="O305" s="126" t="str">
        <v>ほし</v>
      </c>
      <c r="P305" s="126">
        <v>0</v>
      </c>
      <c r="Q305" s="127">
        <v>0</v>
      </c>
      <c r="R305" s="84">
        <v>0</v>
      </c>
      <c r="T305" s="100" t="e">
        <v>#N/A</v>
      </c>
      <c r="U305" s="121">
        <v>0</v>
      </c>
      <c r="V305" s="59" t="str">
        <v>ZR</v>
      </c>
      <c r="W305" s="126" t="str">
        <v>ほし</v>
      </c>
      <c r="X305" s="126">
        <v>0</v>
      </c>
      <c r="Y305" s="127">
        <v>0</v>
      </c>
      <c r="Z305" s="90">
        <v>0</v>
      </c>
    </row>
    <row r="306" spans="1:26" x14ac:dyDescent="0.4">
      <c r="A306" s="52">
        <v>305</v>
      </c>
      <c r="B306" s="51">
        <f t="shared" si="26"/>
        <v>11</v>
      </c>
      <c r="C306" s="50">
        <f t="shared" si="27"/>
        <v>5</v>
      </c>
      <c r="D306" s="64" t="e">
        <f t="shared" si="28"/>
        <v>#N/A</v>
      </c>
      <c r="E306" s="121" cm="1">
        <f t="array" ref="E306">INDEX(InputArea,B306,C306)</f>
        <v>0</v>
      </c>
      <c r="F306" s="59" t="str">
        <f t="shared" si="29"/>
        <v>ZT</v>
      </c>
      <c r="G306" s="59" t="str">
        <f t="shared" si="30"/>
        <v>ほ←</v>
      </c>
      <c r="H306" s="134"/>
      <c r="I306" s="135"/>
      <c r="J306" s="84">
        <f t="shared" si="31"/>
        <v>0</v>
      </c>
      <c r="K306" s="83"/>
      <c r="L306" s="64" t="e">
        <v>#N/A</v>
      </c>
      <c r="M306" s="121">
        <v>0</v>
      </c>
      <c r="N306" s="59" t="str">
        <v>ZT</v>
      </c>
      <c r="O306" s="126" t="str">
        <v>ほ←</v>
      </c>
      <c r="P306" s="126">
        <v>0</v>
      </c>
      <c r="Q306" s="127">
        <v>0</v>
      </c>
      <c r="R306" s="84">
        <v>0</v>
      </c>
      <c r="T306" s="100" t="e">
        <v>#N/A</v>
      </c>
      <c r="U306" s="121">
        <v>0</v>
      </c>
      <c r="V306" s="59" t="str">
        <v>ZT</v>
      </c>
      <c r="W306" s="126" t="str">
        <v>ほ←</v>
      </c>
      <c r="X306" s="126">
        <v>0</v>
      </c>
      <c r="Y306" s="127">
        <v>0</v>
      </c>
      <c r="Z306" s="90">
        <v>0</v>
      </c>
    </row>
    <row r="307" spans="1:26" x14ac:dyDescent="0.4">
      <c r="A307" s="52">
        <v>306</v>
      </c>
      <c r="B307" s="51">
        <f t="shared" si="26"/>
        <v>11</v>
      </c>
      <c r="C307" s="50">
        <f t="shared" si="27"/>
        <v>6</v>
      </c>
      <c r="D307" s="64" t="e">
        <f t="shared" si="28"/>
        <v>#N/A</v>
      </c>
      <c r="E307" s="121" cm="1">
        <f t="array" ref="E307">INDEX(InputArea,B307,C307)</f>
        <v>0</v>
      </c>
      <c r="F307" s="59" t="str">
        <f t="shared" si="29"/>
        <v>ZA</v>
      </c>
      <c r="G307" s="59" t="str">
        <f t="shared" si="30"/>
        <v>ほろ</v>
      </c>
      <c r="H307" s="134"/>
      <c r="I307" s="136" t="s">
        <v>283</v>
      </c>
      <c r="J307" s="84">
        <f t="shared" si="31"/>
        <v>0</v>
      </c>
      <c r="K307" s="83"/>
      <c r="L307" s="64" t="e">
        <v>#N/A</v>
      </c>
      <c r="M307" s="121">
        <v>0</v>
      </c>
      <c r="N307" s="59" t="str">
        <v>ZA</v>
      </c>
      <c r="O307" s="126" t="str">
        <v>ほろ</v>
      </c>
      <c r="P307" s="126">
        <v>0</v>
      </c>
      <c r="Q307" s="127" t="str">
        <v>ざ</v>
      </c>
      <c r="R307" s="84">
        <v>0</v>
      </c>
      <c r="T307" s="100" t="e">
        <v>#N/A</v>
      </c>
      <c r="U307" s="121">
        <v>0</v>
      </c>
      <c r="V307" s="59" t="str">
        <v>ZA</v>
      </c>
      <c r="W307" s="126" t="str">
        <v>ほろ</v>
      </c>
      <c r="X307" s="126">
        <v>0</v>
      </c>
      <c r="Y307" s="127" t="str">
        <v>ざ</v>
      </c>
      <c r="Z307" s="90">
        <v>0</v>
      </c>
    </row>
    <row r="308" spans="1:26" x14ac:dyDescent="0.4">
      <c r="A308" s="52">
        <v>307</v>
      </c>
      <c r="B308" s="51">
        <f t="shared" si="26"/>
        <v>11</v>
      </c>
      <c r="C308" s="50">
        <f t="shared" si="27"/>
        <v>7</v>
      </c>
      <c r="D308" s="64" t="e">
        <f t="shared" si="28"/>
        <v>#N/A</v>
      </c>
      <c r="E308" s="121" cm="1">
        <f t="array" ref="E308">INDEX(InputArea,B308,C308)</f>
        <v>0</v>
      </c>
      <c r="F308" s="59" t="str">
        <f t="shared" si="29"/>
        <v>ZS</v>
      </c>
      <c r="G308" s="59" t="str">
        <f t="shared" si="30"/>
        <v>ほけ</v>
      </c>
      <c r="H308" s="134"/>
      <c r="I308" s="135"/>
      <c r="J308" s="84">
        <f t="shared" si="31"/>
        <v>0</v>
      </c>
      <c r="K308" s="83"/>
      <c r="L308" s="64" t="e">
        <v>#N/A</v>
      </c>
      <c r="M308" s="121">
        <v>0</v>
      </c>
      <c r="N308" s="59" t="str">
        <v>ZS</v>
      </c>
      <c r="O308" s="126" t="str">
        <v>ほけ</v>
      </c>
      <c r="P308" s="126">
        <v>0</v>
      </c>
      <c r="Q308" s="127">
        <v>0</v>
      </c>
      <c r="R308" s="84">
        <v>0</v>
      </c>
      <c r="T308" s="100" t="e">
        <v>#N/A</v>
      </c>
      <c r="U308" s="121">
        <v>0</v>
      </c>
      <c r="V308" s="59" t="str">
        <v>ZS</v>
      </c>
      <c r="W308" s="126" t="str">
        <v>ほけ</v>
      </c>
      <c r="X308" s="126">
        <v>0</v>
      </c>
      <c r="Y308" s="127">
        <v>0</v>
      </c>
      <c r="Z308" s="90">
        <v>0</v>
      </c>
    </row>
    <row r="309" spans="1:26" x14ac:dyDescent="0.4">
      <c r="A309" s="52">
        <v>308</v>
      </c>
      <c r="B309" s="51">
        <f t="shared" si="26"/>
        <v>11</v>
      </c>
      <c r="C309" s="50">
        <f t="shared" si="27"/>
        <v>8</v>
      </c>
      <c r="D309" s="64" t="e">
        <f t="shared" si="28"/>
        <v>#N/A</v>
      </c>
      <c r="E309" s="121" cm="1">
        <f t="array" ref="E309">INDEX(InputArea,B309,C309)</f>
        <v>0</v>
      </c>
      <c r="F309" s="59" t="str">
        <f t="shared" si="29"/>
        <v>ZD</v>
      </c>
      <c r="G309" s="59" t="str">
        <f t="shared" si="30"/>
        <v>ほと</v>
      </c>
      <c r="H309" s="134"/>
      <c r="I309" s="135"/>
      <c r="J309" s="84">
        <f t="shared" si="31"/>
        <v>0</v>
      </c>
      <c r="K309" s="83"/>
      <c r="L309" s="64" t="e">
        <v>#N/A</v>
      </c>
      <c r="M309" s="121">
        <v>0</v>
      </c>
      <c r="N309" s="59" t="str">
        <v>ZD</v>
      </c>
      <c r="O309" s="126" t="str">
        <v>ほと</v>
      </c>
      <c r="P309" s="126">
        <v>0</v>
      </c>
      <c r="Q309" s="127">
        <v>0</v>
      </c>
      <c r="R309" s="84">
        <v>0</v>
      </c>
      <c r="T309" s="100" t="e">
        <v>#N/A</v>
      </c>
      <c r="U309" s="121">
        <v>0</v>
      </c>
      <c r="V309" s="59" t="str">
        <v>ZD</v>
      </c>
      <c r="W309" s="126" t="str">
        <v>ほと</v>
      </c>
      <c r="X309" s="126">
        <v>0</v>
      </c>
      <c r="Y309" s="127">
        <v>0</v>
      </c>
      <c r="Z309" s="90">
        <v>0</v>
      </c>
    </row>
    <row r="310" spans="1:26" x14ac:dyDescent="0.4">
      <c r="A310" s="52">
        <v>309</v>
      </c>
      <c r="B310" s="51">
        <f t="shared" si="26"/>
        <v>11</v>
      </c>
      <c r="C310" s="50">
        <f t="shared" si="27"/>
        <v>9</v>
      </c>
      <c r="D310" s="64" t="e">
        <f t="shared" si="28"/>
        <v>#N/A</v>
      </c>
      <c r="E310" s="121" cm="1">
        <f t="array" ref="E310">INDEX(InputArea,B310,C310)</f>
        <v>0</v>
      </c>
      <c r="F310" s="59" t="str">
        <f t="shared" si="29"/>
        <v>ZF</v>
      </c>
      <c r="G310" s="59" t="str">
        <f t="shared" si="30"/>
        <v>ほか</v>
      </c>
      <c r="H310" s="134"/>
      <c r="I310" s="135"/>
      <c r="J310" s="84">
        <f t="shared" si="31"/>
        <v>0</v>
      </c>
      <c r="K310" s="83"/>
      <c r="L310" s="64" t="e">
        <v>#N/A</v>
      </c>
      <c r="M310" s="121">
        <v>0</v>
      </c>
      <c r="N310" s="59" t="str">
        <v>ZF</v>
      </c>
      <c r="O310" s="126" t="str">
        <v>ほか</v>
      </c>
      <c r="P310" s="126">
        <v>0</v>
      </c>
      <c r="Q310" s="127">
        <v>0</v>
      </c>
      <c r="R310" s="84">
        <v>0</v>
      </c>
      <c r="T310" s="100" t="e">
        <v>#N/A</v>
      </c>
      <c r="U310" s="121">
        <v>0</v>
      </c>
      <c r="V310" s="59" t="str">
        <v>ZF</v>
      </c>
      <c r="W310" s="126" t="str">
        <v>ほか</v>
      </c>
      <c r="X310" s="126">
        <v>0</v>
      </c>
      <c r="Y310" s="127">
        <v>0</v>
      </c>
      <c r="Z310" s="90">
        <v>0</v>
      </c>
    </row>
    <row r="311" spans="1:26" x14ac:dyDescent="0.4">
      <c r="A311" s="52">
        <v>310</v>
      </c>
      <c r="B311" s="51">
        <f t="shared" si="26"/>
        <v>11</v>
      </c>
      <c r="C311" s="50">
        <f t="shared" si="27"/>
        <v>10</v>
      </c>
      <c r="D311" s="64" t="e">
        <f t="shared" si="28"/>
        <v>#N/A</v>
      </c>
      <c r="E311" s="121" cm="1">
        <f t="array" ref="E311">INDEX(InputArea,B311,C311)</f>
        <v>0</v>
      </c>
      <c r="F311" s="59" t="str">
        <f t="shared" si="29"/>
        <v>ZG</v>
      </c>
      <c r="G311" s="59" t="str">
        <f t="shared" si="30"/>
        <v>ほっ</v>
      </c>
      <c r="H311" s="134"/>
      <c r="I311" s="135"/>
      <c r="J311" s="84">
        <f t="shared" si="31"/>
        <v>0</v>
      </c>
      <c r="K311" s="83"/>
      <c r="L311" s="64" t="e">
        <v>#N/A</v>
      </c>
      <c r="M311" s="121">
        <v>0</v>
      </c>
      <c r="N311" s="59" t="str">
        <v>ZG</v>
      </c>
      <c r="O311" s="126" t="str">
        <v>ほっ</v>
      </c>
      <c r="P311" s="126">
        <v>0</v>
      </c>
      <c r="Q311" s="127">
        <v>0</v>
      </c>
      <c r="R311" s="84">
        <v>0</v>
      </c>
      <c r="T311" s="100" t="e">
        <v>#N/A</v>
      </c>
      <c r="U311" s="121">
        <v>0</v>
      </c>
      <c r="V311" s="59" t="str">
        <v>ZG</v>
      </c>
      <c r="W311" s="126" t="str">
        <v>ほっ</v>
      </c>
      <c r="X311" s="126">
        <v>0</v>
      </c>
      <c r="Y311" s="127">
        <v>0</v>
      </c>
      <c r="Z311" s="90">
        <v>0</v>
      </c>
    </row>
    <row r="312" spans="1:26" x14ac:dyDescent="0.4">
      <c r="A312" s="52">
        <v>311</v>
      </c>
      <c r="B312" s="51">
        <f t="shared" si="26"/>
        <v>11</v>
      </c>
      <c r="C312" s="50">
        <f t="shared" si="27"/>
        <v>11</v>
      </c>
      <c r="D312" s="64" t="e">
        <f t="shared" si="28"/>
        <v>#N/A</v>
      </c>
      <c r="E312" s="121" cm="1">
        <f t="array" ref="E312">INDEX(InputArea,B312,C312)</f>
        <v>0</v>
      </c>
      <c r="F312" s="59" t="str">
        <f t="shared" si="29"/>
        <v>ZZ</v>
      </c>
      <c r="G312" s="59" t="str">
        <f t="shared" si="30"/>
        <v>ほほ</v>
      </c>
      <c r="H312" s="134"/>
      <c r="I312" s="136" t="s">
        <v>398</v>
      </c>
      <c r="J312" s="84">
        <f t="shared" si="31"/>
        <v>0</v>
      </c>
      <c r="K312" s="83"/>
      <c r="L312" s="64" t="e">
        <v>#N/A</v>
      </c>
      <c r="M312" s="121">
        <v>0</v>
      </c>
      <c r="N312" s="59" t="str">
        <v>ZZ</v>
      </c>
      <c r="O312" s="126" t="str">
        <v>ほほ</v>
      </c>
      <c r="P312" s="126">
        <v>0</v>
      </c>
      <c r="Q312" s="127" t="str">
        <v>っｚ</v>
      </c>
      <c r="R312" s="84">
        <v>0</v>
      </c>
      <c r="T312" s="100" t="e">
        <v>#N/A</v>
      </c>
      <c r="U312" s="121">
        <v>0</v>
      </c>
      <c r="V312" s="59" t="str">
        <v>ZZ</v>
      </c>
      <c r="W312" s="126" t="str">
        <v>ほほ</v>
      </c>
      <c r="X312" s="126">
        <v>0</v>
      </c>
      <c r="Y312" s="127" t="str">
        <v>っｚ</v>
      </c>
      <c r="Z312" s="90">
        <v>0</v>
      </c>
    </row>
    <row r="313" spans="1:26" x14ac:dyDescent="0.4">
      <c r="A313" s="52">
        <v>312</v>
      </c>
      <c r="B313" s="51">
        <f t="shared" si="26"/>
        <v>11</v>
      </c>
      <c r="C313" s="50">
        <f t="shared" si="27"/>
        <v>12</v>
      </c>
      <c r="D313" s="64" t="e">
        <f t="shared" si="28"/>
        <v>#N/A</v>
      </c>
      <c r="E313" s="121" cm="1">
        <f t="array" ref="E313">INDEX(InputArea,B313,C313)</f>
        <v>0</v>
      </c>
      <c r="F313" s="59" t="str">
        <f t="shared" si="29"/>
        <v>ZX</v>
      </c>
      <c r="G313" s="59" t="str">
        <f t="shared" si="30"/>
        <v>ほひ</v>
      </c>
      <c r="H313" s="134"/>
      <c r="I313" s="135"/>
      <c r="J313" s="84">
        <f t="shared" si="31"/>
        <v>0</v>
      </c>
      <c r="K313" s="83"/>
      <c r="L313" s="64" t="e">
        <v>#N/A</v>
      </c>
      <c r="M313" s="121">
        <v>0</v>
      </c>
      <c r="N313" s="59" t="str">
        <v>ZX</v>
      </c>
      <c r="O313" s="126" t="str">
        <v>ほひ</v>
      </c>
      <c r="P313" s="126">
        <v>0</v>
      </c>
      <c r="Q313" s="127">
        <v>0</v>
      </c>
      <c r="R313" s="84">
        <v>0</v>
      </c>
      <c r="T313" s="100" t="e">
        <v>#N/A</v>
      </c>
      <c r="U313" s="121">
        <v>0</v>
      </c>
      <c r="V313" s="59" t="str">
        <v>ZX</v>
      </c>
      <c r="W313" s="126" t="str">
        <v>ほひ</v>
      </c>
      <c r="X313" s="126">
        <v>0</v>
      </c>
      <c r="Y313" s="127">
        <v>0</v>
      </c>
      <c r="Z313" s="90">
        <v>0</v>
      </c>
    </row>
    <row r="314" spans="1:26" x14ac:dyDescent="0.4">
      <c r="A314" s="52">
        <v>313</v>
      </c>
      <c r="B314" s="51">
        <f t="shared" si="26"/>
        <v>11</v>
      </c>
      <c r="C314" s="50">
        <f t="shared" si="27"/>
        <v>13</v>
      </c>
      <c r="D314" s="64" t="e">
        <f t="shared" si="28"/>
        <v>#N/A</v>
      </c>
      <c r="E314" s="121" cm="1">
        <f t="array" ref="E314">INDEX(InputArea,B314,C314)</f>
        <v>0</v>
      </c>
      <c r="F314" s="59" t="str">
        <f t="shared" si="29"/>
        <v>ZC</v>
      </c>
      <c r="G314" s="59" t="str">
        <f t="shared" si="30"/>
        <v>ほは</v>
      </c>
      <c r="H314" s="134"/>
      <c r="I314" s="135"/>
      <c r="J314" s="84">
        <f t="shared" si="31"/>
        <v>0</v>
      </c>
      <c r="K314" s="83"/>
      <c r="L314" s="64" t="e">
        <v>#N/A</v>
      </c>
      <c r="M314" s="121">
        <v>0</v>
      </c>
      <c r="N314" s="59" t="str">
        <v>ZC</v>
      </c>
      <c r="O314" s="126" t="str">
        <v>ほは</v>
      </c>
      <c r="P314" s="126">
        <v>0</v>
      </c>
      <c r="Q314" s="127">
        <v>0</v>
      </c>
      <c r="R314" s="84">
        <v>0</v>
      </c>
      <c r="T314" s="100" t="e">
        <v>#N/A</v>
      </c>
      <c r="U314" s="121">
        <v>0</v>
      </c>
      <c r="V314" s="59" t="str">
        <v>ZC</v>
      </c>
      <c r="W314" s="126" t="str">
        <v>ほは</v>
      </c>
      <c r="X314" s="126">
        <v>0</v>
      </c>
      <c r="Y314" s="127">
        <v>0</v>
      </c>
      <c r="Z314" s="90">
        <v>0</v>
      </c>
    </row>
    <row r="315" spans="1:26" x14ac:dyDescent="0.4">
      <c r="A315" s="52">
        <v>314</v>
      </c>
      <c r="B315" s="51">
        <f t="shared" si="26"/>
        <v>11</v>
      </c>
      <c r="C315" s="50">
        <f t="shared" si="27"/>
        <v>14</v>
      </c>
      <c r="D315" s="64" t="e">
        <f t="shared" si="28"/>
        <v>#N/A</v>
      </c>
      <c r="E315" s="121" cm="1">
        <f t="array" ref="E315">INDEX(InputArea,B315,C315)</f>
        <v>0</v>
      </c>
      <c r="F315" s="59" t="str">
        <f t="shared" si="29"/>
        <v>ZV</v>
      </c>
      <c r="G315" s="59" t="str">
        <f t="shared" si="30"/>
        <v>ほこ</v>
      </c>
      <c r="H315" s="134"/>
      <c r="I315" s="135"/>
      <c r="J315" s="84">
        <f t="shared" si="31"/>
        <v>0</v>
      </c>
      <c r="K315" s="83"/>
      <c r="L315" s="64" t="e">
        <v>#N/A</v>
      </c>
      <c r="M315" s="121">
        <v>0</v>
      </c>
      <c r="N315" s="59" t="str">
        <v>ZV</v>
      </c>
      <c r="O315" s="126" t="str">
        <v>ほこ</v>
      </c>
      <c r="P315" s="126">
        <v>0</v>
      </c>
      <c r="Q315" s="127">
        <v>0</v>
      </c>
      <c r="R315" s="84">
        <v>0</v>
      </c>
      <c r="T315" s="100" t="e">
        <v>#N/A</v>
      </c>
      <c r="U315" s="121">
        <v>0</v>
      </c>
      <c r="V315" s="59" t="str">
        <v>ZV</v>
      </c>
      <c r="W315" s="126" t="str">
        <v>ほこ</v>
      </c>
      <c r="X315" s="126">
        <v>0</v>
      </c>
      <c r="Y315" s="127">
        <v>0</v>
      </c>
      <c r="Z315" s="90">
        <v>0</v>
      </c>
    </row>
    <row r="316" spans="1:26" x14ac:dyDescent="0.4">
      <c r="A316" s="52">
        <v>315</v>
      </c>
      <c r="B316" s="51">
        <f t="shared" si="26"/>
        <v>11</v>
      </c>
      <c r="C316" s="50">
        <f t="shared" si="27"/>
        <v>15</v>
      </c>
      <c r="D316" s="64" t="e">
        <f t="shared" si="28"/>
        <v>#N/A</v>
      </c>
      <c r="E316" s="121" cm="1">
        <f t="array" ref="E316">INDEX(InputArea,B316,C316)</f>
        <v>0</v>
      </c>
      <c r="F316" s="59" t="str">
        <f t="shared" si="29"/>
        <v>ZB</v>
      </c>
      <c r="G316" s="59" t="str">
        <f t="shared" si="30"/>
        <v>ほそ</v>
      </c>
      <c r="H316" s="134"/>
      <c r="I316" s="135"/>
      <c r="J316" s="84">
        <f t="shared" si="31"/>
        <v>0</v>
      </c>
      <c r="K316" s="83"/>
      <c r="L316" s="64" t="e">
        <v>#N/A</v>
      </c>
      <c r="M316" s="121">
        <v>0</v>
      </c>
      <c r="N316" s="59" t="str">
        <v>ZB</v>
      </c>
      <c r="O316" s="126" t="str">
        <v>ほそ</v>
      </c>
      <c r="P316" s="126">
        <v>0</v>
      </c>
      <c r="Q316" s="127">
        <v>0</v>
      </c>
      <c r="R316" s="84">
        <v>0</v>
      </c>
      <c r="T316" s="100" t="e">
        <v>#N/A</v>
      </c>
      <c r="U316" s="121">
        <v>0</v>
      </c>
      <c r="V316" s="59" t="str">
        <v>ZB</v>
      </c>
      <c r="W316" s="126" t="str">
        <v>ほそ</v>
      </c>
      <c r="X316" s="126">
        <v>0</v>
      </c>
      <c r="Y316" s="127">
        <v>0</v>
      </c>
      <c r="Z316" s="90">
        <v>0</v>
      </c>
    </row>
    <row r="317" spans="1:26" x14ac:dyDescent="0.4">
      <c r="A317" s="52">
        <v>316</v>
      </c>
      <c r="B317" s="51">
        <f t="shared" si="26"/>
        <v>11</v>
      </c>
      <c r="C317" s="50">
        <f t="shared" si="27"/>
        <v>16</v>
      </c>
      <c r="D317" s="64" t="e">
        <f t="shared" si="28"/>
        <v>#N/A</v>
      </c>
      <c r="E317" s="121" cm="1">
        <f t="array" ref="E317">INDEX(InputArea,B317,C317)</f>
        <v>0</v>
      </c>
      <c r="F317" s="59" t="str">
        <f t="shared" si="29"/>
        <v>ZY</v>
      </c>
      <c r="G317" s="59" t="str">
        <f t="shared" si="30"/>
        <v>ほ→</v>
      </c>
      <c r="H317" s="134"/>
      <c r="I317" s="136" t="s">
        <v>399</v>
      </c>
      <c r="J317" s="84">
        <f t="shared" si="31"/>
        <v>1</v>
      </c>
      <c r="K317" s="83"/>
      <c r="L317" s="64" t="e">
        <v>#N/A</v>
      </c>
      <c r="M317" s="121">
        <v>0</v>
      </c>
      <c r="N317" s="59" t="str">
        <v>ZY</v>
      </c>
      <c r="O317" s="126" t="str">
        <v>ほ→</v>
      </c>
      <c r="P317" s="126">
        <v>0</v>
      </c>
      <c r="Q317" s="127" t="str">
        <v>ｚｙ</v>
      </c>
      <c r="R317" s="84">
        <v>1</v>
      </c>
      <c r="T317" s="100" t="e">
        <v>#N/A</v>
      </c>
      <c r="U317" s="121">
        <v>0</v>
      </c>
      <c r="V317" s="59" t="str">
        <v>ZY</v>
      </c>
      <c r="W317" s="126" t="str">
        <v>ほ→</v>
      </c>
      <c r="X317" s="126">
        <v>0</v>
      </c>
      <c r="Y317" s="127" t="str">
        <v>ｚｙ</v>
      </c>
      <c r="Z317" s="90">
        <v>1</v>
      </c>
    </row>
    <row r="318" spans="1:26" x14ac:dyDescent="0.4">
      <c r="A318" s="52">
        <v>317</v>
      </c>
      <c r="B318" s="51">
        <f t="shared" si="26"/>
        <v>11</v>
      </c>
      <c r="C318" s="50">
        <f t="shared" si="27"/>
        <v>17</v>
      </c>
      <c r="D318" s="64" t="e">
        <f t="shared" si="28"/>
        <v>#N/A</v>
      </c>
      <c r="E318" s="121" cm="1">
        <f t="array" ref="E318">INDEX(InputArea,B318,C318)</f>
        <v>0</v>
      </c>
      <c r="F318" s="59" t="str">
        <f t="shared" si="29"/>
        <v>ZU</v>
      </c>
      <c r="G318" s="59" t="str">
        <f t="shared" si="30"/>
        <v>ほBS</v>
      </c>
      <c r="H318" s="134"/>
      <c r="I318" s="136" t="s">
        <v>264</v>
      </c>
      <c r="J318" s="84">
        <f t="shared" si="31"/>
        <v>1</v>
      </c>
      <c r="K318" s="83"/>
      <c r="L318" s="64" t="e">
        <v>#N/A</v>
      </c>
      <c r="M318" s="121">
        <v>0</v>
      </c>
      <c r="N318" s="59" t="str">
        <v>ZU</v>
      </c>
      <c r="O318" s="126" t="str">
        <v>ほBS</v>
      </c>
      <c r="P318" s="126">
        <v>0</v>
      </c>
      <c r="Q318" s="127" t="str">
        <v>ず</v>
      </c>
      <c r="R318" s="84">
        <v>1</v>
      </c>
      <c r="T318" s="100" t="e">
        <v>#N/A</v>
      </c>
      <c r="U318" s="121">
        <v>0</v>
      </c>
      <c r="V318" s="59" t="str">
        <v>ZU</v>
      </c>
      <c r="W318" s="126" t="str">
        <v>ほBS</v>
      </c>
      <c r="X318" s="126">
        <v>0</v>
      </c>
      <c r="Y318" s="127" t="str">
        <v>ず</v>
      </c>
      <c r="Z318" s="90">
        <v>1</v>
      </c>
    </row>
    <row r="319" spans="1:26" x14ac:dyDescent="0.4">
      <c r="A319" s="52">
        <v>318</v>
      </c>
      <c r="B319" s="51">
        <f t="shared" si="26"/>
        <v>11</v>
      </c>
      <c r="C319" s="50">
        <f t="shared" si="27"/>
        <v>18</v>
      </c>
      <c r="D319" s="64" t="e">
        <f t="shared" si="28"/>
        <v>#N/A</v>
      </c>
      <c r="E319" s="121" cm="1">
        <f t="array" ref="E319">INDEX(InputArea,B319,C319)</f>
        <v>0</v>
      </c>
      <c r="F319" s="59" t="str">
        <f t="shared" si="29"/>
        <v>ZI</v>
      </c>
      <c r="G319" s="59" t="str">
        <f t="shared" si="30"/>
        <v>ほる</v>
      </c>
      <c r="H319" s="134"/>
      <c r="I319" s="136" t="s">
        <v>256</v>
      </c>
      <c r="J319" s="84">
        <f t="shared" si="31"/>
        <v>1</v>
      </c>
      <c r="K319" s="83"/>
      <c r="L319" s="64" t="e">
        <v>#N/A</v>
      </c>
      <c r="M319" s="121">
        <v>0</v>
      </c>
      <c r="N319" s="59" t="str">
        <v>ZI</v>
      </c>
      <c r="O319" s="126" t="str">
        <v>ほる</v>
      </c>
      <c r="P319" s="126">
        <v>0</v>
      </c>
      <c r="Q319" s="127" t="str">
        <v>じ</v>
      </c>
      <c r="R319" s="84">
        <v>1</v>
      </c>
      <c r="T319" s="100" t="e">
        <v>#N/A</v>
      </c>
      <c r="U319" s="121">
        <v>0</v>
      </c>
      <c r="V319" s="59" t="str">
        <v>ZI</v>
      </c>
      <c r="W319" s="126" t="str">
        <v>ほる</v>
      </c>
      <c r="X319" s="126">
        <v>0</v>
      </c>
      <c r="Y319" s="127" t="str">
        <v>じ</v>
      </c>
      <c r="Z319" s="90">
        <v>1</v>
      </c>
    </row>
    <row r="320" spans="1:26" x14ac:dyDescent="0.4">
      <c r="A320" s="52">
        <v>319</v>
      </c>
      <c r="B320" s="51">
        <f t="shared" si="26"/>
        <v>11</v>
      </c>
      <c r="C320" s="50">
        <f t="shared" si="27"/>
        <v>19</v>
      </c>
      <c r="D320" s="64" t="e">
        <f t="shared" si="28"/>
        <v>#N/A</v>
      </c>
      <c r="E320" s="121" cm="1">
        <f t="array" ref="E320">INDEX(InputArea,B320,C320)</f>
        <v>0</v>
      </c>
      <c r="F320" s="59" t="str">
        <f t="shared" si="29"/>
        <v>ZO</v>
      </c>
      <c r="G320" s="59" t="str">
        <f t="shared" si="30"/>
        <v>ほす</v>
      </c>
      <c r="H320" s="134"/>
      <c r="I320" s="136" t="s">
        <v>281</v>
      </c>
      <c r="J320" s="84">
        <f t="shared" si="31"/>
        <v>1</v>
      </c>
      <c r="K320" s="83"/>
      <c r="L320" s="64" t="e">
        <v>#N/A</v>
      </c>
      <c r="M320" s="121">
        <v>0</v>
      </c>
      <c r="N320" s="59" t="str">
        <v>ZO</v>
      </c>
      <c r="O320" s="126" t="str">
        <v>ほす</v>
      </c>
      <c r="P320" s="126">
        <v>0</v>
      </c>
      <c r="Q320" s="127" t="str">
        <v>ぞ</v>
      </c>
      <c r="R320" s="84">
        <v>1</v>
      </c>
      <c r="T320" s="100" t="e">
        <v>#N/A</v>
      </c>
      <c r="U320" s="121">
        <v>0</v>
      </c>
      <c r="V320" s="59" t="str">
        <v>ZO</v>
      </c>
      <c r="W320" s="126" t="str">
        <v>ほす</v>
      </c>
      <c r="X320" s="126">
        <v>0</v>
      </c>
      <c r="Y320" s="127" t="str">
        <v>ぞ</v>
      </c>
      <c r="Z320" s="90">
        <v>1</v>
      </c>
    </row>
    <row r="321" spans="1:26" x14ac:dyDescent="0.4">
      <c r="A321" s="52">
        <v>320</v>
      </c>
      <c r="B321" s="51">
        <f t="shared" si="26"/>
        <v>11</v>
      </c>
      <c r="C321" s="50">
        <f t="shared" si="27"/>
        <v>20</v>
      </c>
      <c r="D321" s="64" t="e">
        <f t="shared" si="28"/>
        <v>#N/A</v>
      </c>
      <c r="E321" s="121" cm="1">
        <f t="array" ref="E321">INDEX(InputArea,B321,C321)</f>
        <v>0</v>
      </c>
      <c r="F321" s="59" t="str">
        <f t="shared" si="29"/>
        <v>ZP</v>
      </c>
      <c r="G321" s="59" t="str">
        <f t="shared" si="30"/>
        <v>ほへ</v>
      </c>
      <c r="H321" s="134"/>
      <c r="I321" s="135"/>
      <c r="J321" s="84">
        <f t="shared" si="31"/>
        <v>1</v>
      </c>
      <c r="K321" s="83"/>
      <c r="L321" s="64" t="e">
        <v>#N/A</v>
      </c>
      <c r="M321" s="121">
        <v>0</v>
      </c>
      <c r="N321" s="59" t="str">
        <v>ZP</v>
      </c>
      <c r="O321" s="126" t="str">
        <v>ほへ</v>
      </c>
      <c r="P321" s="126">
        <v>0</v>
      </c>
      <c r="Q321" s="127">
        <v>0</v>
      </c>
      <c r="R321" s="84">
        <v>1</v>
      </c>
      <c r="T321" s="100" t="e">
        <v>#N/A</v>
      </c>
      <c r="U321" s="121">
        <v>0</v>
      </c>
      <c r="V321" s="59" t="str">
        <v>ZP</v>
      </c>
      <c r="W321" s="126" t="str">
        <v>ほへ</v>
      </c>
      <c r="X321" s="126">
        <v>0</v>
      </c>
      <c r="Y321" s="127">
        <v>0</v>
      </c>
      <c r="Z321" s="90">
        <v>1</v>
      </c>
    </row>
    <row r="322" spans="1:26" x14ac:dyDescent="0.4">
      <c r="A322" s="52">
        <v>321</v>
      </c>
      <c r="B322" s="51">
        <f t="shared" ref="B322:B385" si="32">_xlfn.CEILING.MATH(A322/COLUMNS(InputArea))</f>
        <v>11</v>
      </c>
      <c r="C322" s="50">
        <f t="shared" ref="C322:C385" si="33">MOD(A322-1,COLUMNS(InputArea))+1</f>
        <v>21</v>
      </c>
      <c r="D322" s="64" t="e">
        <f t="shared" ref="D322:D385" si="34">_xlfn.RANK.EQ(E322,InputArea,1)</f>
        <v>#N/A</v>
      </c>
      <c r="E322" s="121" cm="1">
        <f t="array" ref="E322">INDEX(InputArea,B322,C322)</f>
        <v>0</v>
      </c>
      <c r="F322" s="59" t="str">
        <f t="shared" ref="F322:F385" si="35">_xlfn.CONCAT(INDEX(RowName,B322),INDEX(ColName,,C322))</f>
        <v>ZH</v>
      </c>
      <c r="G322" s="59" t="str">
        <f t="shared" ref="G322:G385" si="36">_xlfn.CONCAT(INDEX(RowKana,B322),INDEX(ColKana,,C322))</f>
        <v>ほく</v>
      </c>
      <c r="H322" s="134"/>
      <c r="I322" s="135"/>
      <c r="J322" s="84">
        <f t="shared" si="31"/>
        <v>1</v>
      </c>
      <c r="K322" s="83"/>
      <c r="L322" s="64" t="e">
        <v>#N/A</v>
      </c>
      <c r="M322" s="121">
        <v>0</v>
      </c>
      <c r="N322" s="59" t="str">
        <v>ZH</v>
      </c>
      <c r="O322" s="126" t="str">
        <v>ほく</v>
      </c>
      <c r="P322" s="126">
        <v>0</v>
      </c>
      <c r="Q322" s="127">
        <v>0</v>
      </c>
      <c r="R322" s="84">
        <v>1</v>
      </c>
      <c r="T322" s="100" t="e">
        <v>#N/A</v>
      </c>
      <c r="U322" s="121">
        <v>0</v>
      </c>
      <c r="V322" s="59" t="str">
        <v>ZH</v>
      </c>
      <c r="W322" s="126" t="str">
        <v>ほく</v>
      </c>
      <c r="X322" s="126">
        <v>0</v>
      </c>
      <c r="Y322" s="127">
        <v>0</v>
      </c>
      <c r="Z322" s="90">
        <v>1</v>
      </c>
    </row>
    <row r="323" spans="1:26" x14ac:dyDescent="0.4">
      <c r="A323" s="52">
        <v>322</v>
      </c>
      <c r="B323" s="51">
        <f t="shared" si="32"/>
        <v>11</v>
      </c>
      <c r="C323" s="50">
        <f t="shared" si="33"/>
        <v>22</v>
      </c>
      <c r="D323" s="64" t="e">
        <f t="shared" si="34"/>
        <v>#N/A</v>
      </c>
      <c r="E323" s="121" cm="1">
        <f t="array" ref="E323">INDEX(InputArea,B323,C323)</f>
        <v>0</v>
      </c>
      <c r="F323" s="59" t="str">
        <f t="shared" si="35"/>
        <v>ZJ</v>
      </c>
      <c r="G323" s="59" t="str">
        <f t="shared" si="36"/>
        <v>ほあ</v>
      </c>
      <c r="H323" s="137" t="s">
        <v>271</v>
      </c>
      <c r="I323" s="135"/>
      <c r="J323" s="84">
        <f t="shared" ref="J323:J386" si="37">(_xlfn.CEILING.MATH(B323/15)-1)*2+_xlfn.CEILING.MATH(C323/15)-1</f>
        <v>1</v>
      </c>
      <c r="K323" s="83"/>
      <c r="L323" s="64" t="e">
        <v>#N/A</v>
      </c>
      <c r="M323" s="121">
        <v>0</v>
      </c>
      <c r="N323" s="59" t="str">
        <v>ZJ</v>
      </c>
      <c r="O323" s="126" t="str">
        <v>ほあ</v>
      </c>
      <c r="P323" s="126" t="str">
        <v>ぼ</v>
      </c>
      <c r="Q323" s="127">
        <v>0</v>
      </c>
      <c r="R323" s="84">
        <v>1</v>
      </c>
      <c r="T323" s="100" t="e">
        <v>#N/A</v>
      </c>
      <c r="U323" s="121">
        <v>0</v>
      </c>
      <c r="V323" s="59" t="str">
        <v>ZJ</v>
      </c>
      <c r="W323" s="126" t="str">
        <v>ほあ</v>
      </c>
      <c r="X323" s="126" t="str">
        <v>ぼ</v>
      </c>
      <c r="Y323" s="127">
        <v>0</v>
      </c>
      <c r="Z323" s="90">
        <v>1</v>
      </c>
    </row>
    <row r="324" spans="1:26" x14ac:dyDescent="0.4">
      <c r="A324" s="52">
        <v>323</v>
      </c>
      <c r="B324" s="51">
        <f t="shared" si="32"/>
        <v>11</v>
      </c>
      <c r="C324" s="50">
        <f t="shared" si="33"/>
        <v>23</v>
      </c>
      <c r="D324" s="64" t="e">
        <f t="shared" si="34"/>
        <v>#N/A</v>
      </c>
      <c r="E324" s="121" cm="1">
        <f t="array" ref="E324">INDEX(InputArea,B324,C324)</f>
        <v>0</v>
      </c>
      <c r="F324" s="59" t="str">
        <f t="shared" si="35"/>
        <v>ZK</v>
      </c>
      <c r="G324" s="59" t="str">
        <f t="shared" si="36"/>
        <v>ほい</v>
      </c>
      <c r="H324" s="134"/>
      <c r="I324" s="135"/>
      <c r="J324" s="84">
        <f t="shared" si="37"/>
        <v>1</v>
      </c>
      <c r="K324" s="83"/>
      <c r="L324" s="64" t="e">
        <v>#N/A</v>
      </c>
      <c r="M324" s="121">
        <v>0</v>
      </c>
      <c r="N324" s="59" t="str">
        <v>ZK</v>
      </c>
      <c r="O324" s="126" t="str">
        <v>ほい</v>
      </c>
      <c r="P324" s="126">
        <v>0</v>
      </c>
      <c r="Q324" s="127">
        <v>0</v>
      </c>
      <c r="R324" s="84">
        <v>1</v>
      </c>
      <c r="T324" s="100" t="e">
        <v>#N/A</v>
      </c>
      <c r="U324" s="121">
        <v>0</v>
      </c>
      <c r="V324" s="59" t="str">
        <v>ZK</v>
      </c>
      <c r="W324" s="126" t="str">
        <v>ほい</v>
      </c>
      <c r="X324" s="126">
        <v>0</v>
      </c>
      <c r="Y324" s="127">
        <v>0</v>
      </c>
      <c r="Z324" s="90">
        <v>1</v>
      </c>
    </row>
    <row r="325" spans="1:26" x14ac:dyDescent="0.4">
      <c r="A325" s="52">
        <v>324</v>
      </c>
      <c r="B325" s="51">
        <f t="shared" si="32"/>
        <v>11</v>
      </c>
      <c r="C325" s="50">
        <f t="shared" si="33"/>
        <v>24</v>
      </c>
      <c r="D325" s="64" t="e">
        <f t="shared" si="34"/>
        <v>#N/A</v>
      </c>
      <c r="E325" s="121" cm="1">
        <f t="array" ref="E325">INDEX(InputArea,B325,C325)</f>
        <v>0</v>
      </c>
      <c r="F325" s="59" t="str">
        <f t="shared" si="35"/>
        <v>ZL</v>
      </c>
      <c r="G325" s="59" t="str">
        <f t="shared" si="36"/>
        <v>ほう</v>
      </c>
      <c r="H325" s="134"/>
      <c r="I325" s="135"/>
      <c r="J325" s="84">
        <f t="shared" si="37"/>
        <v>1</v>
      </c>
      <c r="K325" s="83"/>
      <c r="L325" s="64" t="e">
        <v>#N/A</v>
      </c>
      <c r="M325" s="121">
        <v>0</v>
      </c>
      <c r="N325" s="59" t="str">
        <v>ZL</v>
      </c>
      <c r="O325" s="126" t="str">
        <v>ほう</v>
      </c>
      <c r="P325" s="126">
        <v>0</v>
      </c>
      <c r="Q325" s="127">
        <v>0</v>
      </c>
      <c r="R325" s="84">
        <v>1</v>
      </c>
      <c r="T325" s="100" t="e">
        <v>#N/A</v>
      </c>
      <c r="U325" s="121">
        <v>0</v>
      </c>
      <c r="V325" s="59" t="str">
        <v>ZL</v>
      </c>
      <c r="W325" s="126" t="str">
        <v>ほう</v>
      </c>
      <c r="X325" s="126">
        <v>0</v>
      </c>
      <c r="Y325" s="127">
        <v>0</v>
      </c>
      <c r="Z325" s="90">
        <v>1</v>
      </c>
    </row>
    <row r="326" spans="1:26" x14ac:dyDescent="0.4">
      <c r="A326" s="52">
        <v>325</v>
      </c>
      <c r="B326" s="51">
        <f t="shared" si="32"/>
        <v>11</v>
      </c>
      <c r="C326" s="50">
        <f t="shared" si="33"/>
        <v>25</v>
      </c>
      <c r="D326" s="64" t="e">
        <f t="shared" si="34"/>
        <v>#N/A</v>
      </c>
      <c r="E326" s="121" cm="1">
        <f t="array" ref="E326">INDEX(InputArea,B326,C326)</f>
        <v>0</v>
      </c>
      <c r="F326" s="59" t="str">
        <f t="shared" si="35"/>
        <v>Z;</v>
      </c>
      <c r="G326" s="59" t="str">
        <f t="shared" si="36"/>
        <v>ほー</v>
      </c>
      <c r="H326" s="134"/>
      <c r="I326" s="135"/>
      <c r="J326" s="84">
        <f t="shared" si="37"/>
        <v>1</v>
      </c>
      <c r="K326" s="83"/>
      <c r="L326" s="64" t="e">
        <v>#N/A</v>
      </c>
      <c r="M326" s="121">
        <v>0</v>
      </c>
      <c r="N326" s="59" t="str">
        <v>Z;</v>
      </c>
      <c r="O326" s="126" t="str">
        <v>ほー</v>
      </c>
      <c r="P326" s="126">
        <v>0</v>
      </c>
      <c r="Q326" s="127">
        <v>0</v>
      </c>
      <c r="R326" s="84">
        <v>1</v>
      </c>
      <c r="T326" s="100" t="e">
        <v>#N/A</v>
      </c>
      <c r="U326" s="121">
        <v>0</v>
      </c>
      <c r="V326" s="59" t="str">
        <v>Z;</v>
      </c>
      <c r="W326" s="126" t="str">
        <v>ほー</v>
      </c>
      <c r="X326" s="126">
        <v>0</v>
      </c>
      <c r="Y326" s="127">
        <v>0</v>
      </c>
      <c r="Z326" s="90">
        <v>1</v>
      </c>
    </row>
    <row r="327" spans="1:26" x14ac:dyDescent="0.4">
      <c r="A327" s="52">
        <v>326</v>
      </c>
      <c r="B327" s="51">
        <f t="shared" si="32"/>
        <v>11</v>
      </c>
      <c r="C327" s="50">
        <f t="shared" si="33"/>
        <v>26</v>
      </c>
      <c r="D327" s="64" t="e">
        <f t="shared" si="34"/>
        <v>#N/A</v>
      </c>
      <c r="E327" s="121" cm="1">
        <f t="array" ref="E327">INDEX(InputArea,B327,C327)</f>
        <v>0</v>
      </c>
      <c r="F327" s="59" t="str">
        <f t="shared" si="35"/>
        <v>ZN</v>
      </c>
      <c r="G327" s="59" t="str">
        <f t="shared" si="36"/>
        <v>ほた</v>
      </c>
      <c r="H327" s="134"/>
      <c r="I327" s="135"/>
      <c r="J327" s="84">
        <f t="shared" si="37"/>
        <v>1</v>
      </c>
      <c r="K327" s="83"/>
      <c r="L327" s="64" t="e">
        <v>#N/A</v>
      </c>
      <c r="M327" s="121">
        <v>0</v>
      </c>
      <c r="N327" s="59" t="str">
        <v>ZN</v>
      </c>
      <c r="O327" s="126" t="str">
        <v>ほた</v>
      </c>
      <c r="P327" s="126">
        <v>0</v>
      </c>
      <c r="Q327" s="127">
        <v>0</v>
      </c>
      <c r="R327" s="84">
        <v>1</v>
      </c>
      <c r="T327" s="100" t="e">
        <v>#N/A</v>
      </c>
      <c r="U327" s="121">
        <v>0</v>
      </c>
      <c r="V327" s="59" t="str">
        <v>ZN</v>
      </c>
      <c r="W327" s="126" t="str">
        <v>ほた</v>
      </c>
      <c r="X327" s="126">
        <v>0</v>
      </c>
      <c r="Y327" s="127">
        <v>0</v>
      </c>
      <c r="Z327" s="90">
        <v>1</v>
      </c>
    </row>
    <row r="328" spans="1:26" x14ac:dyDescent="0.4">
      <c r="A328" s="52">
        <v>327</v>
      </c>
      <c r="B328" s="51">
        <f t="shared" si="32"/>
        <v>11</v>
      </c>
      <c r="C328" s="50">
        <f t="shared" si="33"/>
        <v>27</v>
      </c>
      <c r="D328" s="64" t="e">
        <f t="shared" si="34"/>
        <v>#N/A</v>
      </c>
      <c r="E328" s="121" cm="1">
        <f t="array" ref="E328">INDEX(InputArea,B328,C328)</f>
        <v>0</v>
      </c>
      <c r="F328" s="59" t="str">
        <f t="shared" si="35"/>
        <v>ZM</v>
      </c>
      <c r="G328" s="59" t="str">
        <f t="shared" si="36"/>
        <v>ほな</v>
      </c>
      <c r="H328" s="134"/>
      <c r="I328" s="135"/>
      <c r="J328" s="84">
        <f t="shared" si="37"/>
        <v>1</v>
      </c>
      <c r="K328" s="83"/>
      <c r="L328" s="64" t="e">
        <v>#N/A</v>
      </c>
      <c r="M328" s="121">
        <v>0</v>
      </c>
      <c r="N328" s="59" t="str">
        <v>ZM</v>
      </c>
      <c r="O328" s="126" t="str">
        <v>ほな</v>
      </c>
      <c r="P328" s="126">
        <v>0</v>
      </c>
      <c r="Q328" s="127">
        <v>0</v>
      </c>
      <c r="R328" s="84">
        <v>1</v>
      </c>
      <c r="T328" s="100" t="e">
        <v>#N/A</v>
      </c>
      <c r="U328" s="121">
        <v>0</v>
      </c>
      <c r="V328" s="59" t="str">
        <v>ZM</v>
      </c>
      <c r="W328" s="126" t="str">
        <v>ほな</v>
      </c>
      <c r="X328" s="126">
        <v>0</v>
      </c>
      <c r="Y328" s="127">
        <v>0</v>
      </c>
      <c r="Z328" s="90">
        <v>1</v>
      </c>
    </row>
    <row r="329" spans="1:26" x14ac:dyDescent="0.4">
      <c r="A329" s="52">
        <v>328</v>
      </c>
      <c r="B329" s="51">
        <f t="shared" si="32"/>
        <v>11</v>
      </c>
      <c r="C329" s="50">
        <f t="shared" si="33"/>
        <v>28</v>
      </c>
      <c r="D329" s="64" t="e">
        <f t="shared" si="34"/>
        <v>#N/A</v>
      </c>
      <c r="E329" s="121" cm="1">
        <f t="array" ref="E329">INDEX(InputArea,B329,C329)</f>
        <v>0</v>
      </c>
      <c r="F329" s="59" t="str">
        <f t="shared" si="35"/>
        <v>Z,</v>
      </c>
      <c r="G329" s="59" t="str">
        <f t="shared" si="36"/>
        <v>ほん</v>
      </c>
      <c r="H329" s="134"/>
      <c r="I329" s="135"/>
      <c r="J329" s="84">
        <f t="shared" si="37"/>
        <v>1</v>
      </c>
      <c r="K329" s="83"/>
      <c r="L329" s="64" t="e">
        <v>#N/A</v>
      </c>
      <c r="M329" s="121">
        <v>0</v>
      </c>
      <c r="N329" s="59" t="str">
        <v>Z,</v>
      </c>
      <c r="O329" s="126" t="str">
        <v>ほん</v>
      </c>
      <c r="P329" s="126">
        <v>0</v>
      </c>
      <c r="Q329" s="127">
        <v>0</v>
      </c>
      <c r="R329" s="84">
        <v>1</v>
      </c>
      <c r="T329" s="100" t="e">
        <v>#N/A</v>
      </c>
      <c r="U329" s="121">
        <v>0</v>
      </c>
      <c r="V329" s="59" t="str">
        <v>Z,</v>
      </c>
      <c r="W329" s="126" t="str">
        <v>ほん</v>
      </c>
      <c r="X329" s="126">
        <v>0</v>
      </c>
      <c r="Y329" s="127">
        <v>0</v>
      </c>
      <c r="Z329" s="90">
        <v>1</v>
      </c>
    </row>
    <row r="330" spans="1:26" x14ac:dyDescent="0.4">
      <c r="A330" s="52">
        <v>329</v>
      </c>
      <c r="B330" s="51">
        <f t="shared" si="32"/>
        <v>11</v>
      </c>
      <c r="C330" s="50">
        <f t="shared" si="33"/>
        <v>29</v>
      </c>
      <c r="D330" s="64" t="e">
        <f t="shared" si="34"/>
        <v>#N/A</v>
      </c>
      <c r="E330" s="121" cm="1">
        <f t="array" ref="E330">INDEX(InputArea,B330,C330)</f>
        <v>0</v>
      </c>
      <c r="F330" s="59" t="str">
        <f t="shared" si="35"/>
        <v>Z.</v>
      </c>
      <c r="G330" s="59" t="str">
        <f t="shared" si="36"/>
        <v>ほら</v>
      </c>
      <c r="H330" s="134"/>
      <c r="I330" s="135"/>
      <c r="J330" s="84">
        <f t="shared" si="37"/>
        <v>1</v>
      </c>
      <c r="K330" s="83"/>
      <c r="L330" s="64" t="e">
        <v>#N/A</v>
      </c>
      <c r="M330" s="121">
        <v>0</v>
      </c>
      <c r="N330" s="59" t="str">
        <v>Z.</v>
      </c>
      <c r="O330" s="126" t="str">
        <v>ほら</v>
      </c>
      <c r="P330" s="126">
        <v>0</v>
      </c>
      <c r="Q330" s="127">
        <v>0</v>
      </c>
      <c r="R330" s="84">
        <v>1</v>
      </c>
      <c r="T330" s="100" t="e">
        <v>#N/A</v>
      </c>
      <c r="U330" s="121">
        <v>0</v>
      </c>
      <c r="V330" s="59" t="str">
        <v>Z.</v>
      </c>
      <c r="W330" s="126" t="str">
        <v>ほら</v>
      </c>
      <c r="X330" s="126">
        <v>0</v>
      </c>
      <c r="Y330" s="127">
        <v>0</v>
      </c>
      <c r="Z330" s="90">
        <v>1</v>
      </c>
    </row>
    <row r="331" spans="1:26" x14ac:dyDescent="0.4">
      <c r="A331" s="52">
        <v>330</v>
      </c>
      <c r="B331" s="51">
        <f t="shared" si="32"/>
        <v>11</v>
      </c>
      <c r="C331" s="50">
        <f t="shared" si="33"/>
        <v>30</v>
      </c>
      <c r="D331" s="64" t="e">
        <f t="shared" si="34"/>
        <v>#N/A</v>
      </c>
      <c r="E331" s="121" cm="1">
        <f t="array" ref="E331">INDEX(InputArea,B331,C331)</f>
        <v>0</v>
      </c>
      <c r="F331" s="59" t="str">
        <f t="shared" si="35"/>
        <v>Z/</v>
      </c>
      <c r="G331" s="59" t="str">
        <f t="shared" si="36"/>
        <v>ほれ</v>
      </c>
      <c r="H331" s="134"/>
      <c r="I331" s="135"/>
      <c r="J331" s="84">
        <f t="shared" si="37"/>
        <v>1</v>
      </c>
      <c r="K331" s="83"/>
      <c r="L331" s="64" t="e">
        <v>#N/A</v>
      </c>
      <c r="M331" s="121">
        <v>0</v>
      </c>
      <c r="N331" s="59" t="str">
        <v>Z/</v>
      </c>
      <c r="O331" s="126" t="str">
        <v>ほれ</v>
      </c>
      <c r="P331" s="126">
        <v>0</v>
      </c>
      <c r="Q331" s="127">
        <v>0</v>
      </c>
      <c r="R331" s="84">
        <v>1</v>
      </c>
      <c r="T331" s="100" t="e">
        <v>#N/A</v>
      </c>
      <c r="U331" s="121">
        <v>0</v>
      </c>
      <c r="V331" s="59" t="str">
        <v>Z/</v>
      </c>
      <c r="W331" s="126" t="str">
        <v>ほれ</v>
      </c>
      <c r="X331" s="126">
        <v>0</v>
      </c>
      <c r="Y331" s="127">
        <v>0</v>
      </c>
      <c r="Z331" s="90">
        <v>1</v>
      </c>
    </row>
    <row r="332" spans="1:26" x14ac:dyDescent="0.4">
      <c r="A332" s="52">
        <v>331</v>
      </c>
      <c r="B332" s="51">
        <f t="shared" si="32"/>
        <v>12</v>
      </c>
      <c r="C332" s="50">
        <f t="shared" si="33"/>
        <v>1</v>
      </c>
      <c r="D332" s="64" t="e">
        <f t="shared" si="34"/>
        <v>#N/A</v>
      </c>
      <c r="E332" s="121" cm="1">
        <f t="array" ref="E332">INDEX(InputArea,B332,C332)</f>
        <v>0</v>
      </c>
      <c r="F332" s="59" t="str">
        <f t="shared" si="35"/>
        <v>XQ</v>
      </c>
      <c r="G332" s="59" t="str">
        <f t="shared" si="36"/>
        <v>ひヴ</v>
      </c>
      <c r="H332" s="134"/>
      <c r="I332" s="135"/>
      <c r="J332" s="84">
        <f t="shared" si="37"/>
        <v>0</v>
      </c>
      <c r="K332" s="83"/>
      <c r="L332" s="64" t="e">
        <v>#N/A</v>
      </c>
      <c r="M332" s="121">
        <v>0</v>
      </c>
      <c r="N332" s="59" t="str">
        <v>XQ</v>
      </c>
      <c r="O332" s="126" t="str">
        <v>ひヴ</v>
      </c>
      <c r="P332" s="126">
        <v>0</v>
      </c>
      <c r="Q332" s="127">
        <v>0</v>
      </c>
      <c r="R332" s="84">
        <v>0</v>
      </c>
      <c r="T332" s="100" t="e">
        <v>#N/A</v>
      </c>
      <c r="U332" s="121">
        <v>0</v>
      </c>
      <c r="V332" s="59" t="str">
        <v>XQ</v>
      </c>
      <c r="W332" s="126" t="str">
        <v>ひヴ</v>
      </c>
      <c r="X332" s="126">
        <v>0</v>
      </c>
      <c r="Y332" s="127">
        <v>0</v>
      </c>
      <c r="Z332" s="90">
        <v>0</v>
      </c>
    </row>
    <row r="333" spans="1:26" x14ac:dyDescent="0.4">
      <c r="A333" s="52">
        <v>332</v>
      </c>
      <c r="B333" s="51">
        <f t="shared" si="32"/>
        <v>12</v>
      </c>
      <c r="C333" s="50">
        <f t="shared" si="33"/>
        <v>2</v>
      </c>
      <c r="D333" s="64" t="e">
        <f t="shared" si="34"/>
        <v>#N/A</v>
      </c>
      <c r="E333" s="121" cm="1">
        <f t="array" ref="E333">INDEX(InputArea,B333,C333)</f>
        <v>0</v>
      </c>
      <c r="F333" s="59" t="str">
        <f t="shared" si="35"/>
        <v>XW</v>
      </c>
      <c r="G333" s="59" t="str">
        <f t="shared" si="36"/>
        <v>ひき</v>
      </c>
      <c r="H333" s="134"/>
      <c r="I333" s="136" t="s">
        <v>400</v>
      </c>
      <c r="J333" s="84">
        <f t="shared" si="37"/>
        <v>0</v>
      </c>
      <c r="K333" s="83"/>
      <c r="L333" s="64" t="e">
        <v>#N/A</v>
      </c>
      <c r="M333" s="121">
        <v>0</v>
      </c>
      <c r="N333" s="59" t="str">
        <v>XW</v>
      </c>
      <c r="O333" s="126" t="str">
        <v>ひき</v>
      </c>
      <c r="P333" s="126">
        <v>0</v>
      </c>
      <c r="Q333" s="127" t="str">
        <v>ｘｗ</v>
      </c>
      <c r="R333" s="84">
        <v>0</v>
      </c>
      <c r="T333" s="100" t="e">
        <v>#N/A</v>
      </c>
      <c r="U333" s="121">
        <v>0</v>
      </c>
      <c r="V333" s="59" t="str">
        <v>XW</v>
      </c>
      <c r="W333" s="126" t="str">
        <v>ひき</v>
      </c>
      <c r="X333" s="126">
        <v>0</v>
      </c>
      <c r="Y333" s="127" t="str">
        <v>ｘｗ</v>
      </c>
      <c r="Z333" s="90">
        <v>0</v>
      </c>
    </row>
    <row r="334" spans="1:26" x14ac:dyDescent="0.4">
      <c r="A334" s="52">
        <v>333</v>
      </c>
      <c r="B334" s="51">
        <f t="shared" si="32"/>
        <v>12</v>
      </c>
      <c r="C334" s="50">
        <f t="shared" si="33"/>
        <v>3</v>
      </c>
      <c r="D334" s="64" t="e">
        <f t="shared" si="34"/>
        <v>#N/A</v>
      </c>
      <c r="E334" s="121" cm="1">
        <f t="array" ref="E334">INDEX(InputArea,B334,C334)</f>
        <v>0</v>
      </c>
      <c r="F334" s="59" t="str">
        <f t="shared" si="35"/>
        <v>XE</v>
      </c>
      <c r="G334" s="59" t="str">
        <f t="shared" si="36"/>
        <v>ひて</v>
      </c>
      <c r="H334" s="134"/>
      <c r="I334" s="136" t="s">
        <v>237</v>
      </c>
      <c r="J334" s="84">
        <f t="shared" si="37"/>
        <v>0</v>
      </c>
      <c r="K334" s="83"/>
      <c r="L334" s="64" t="e">
        <v>#N/A</v>
      </c>
      <c r="M334" s="121">
        <v>0</v>
      </c>
      <c r="N334" s="59" t="str">
        <v>XE</v>
      </c>
      <c r="O334" s="126" t="str">
        <v>ひて</v>
      </c>
      <c r="P334" s="126">
        <v>0</v>
      </c>
      <c r="Q334" s="127" t="str">
        <v>ぇ</v>
      </c>
      <c r="R334" s="84">
        <v>0</v>
      </c>
      <c r="T334" s="100" t="e">
        <v>#N/A</v>
      </c>
      <c r="U334" s="121">
        <v>0</v>
      </c>
      <c r="V334" s="59" t="str">
        <v>XE</v>
      </c>
      <c r="W334" s="126" t="str">
        <v>ひて</v>
      </c>
      <c r="X334" s="126">
        <v>0</v>
      </c>
      <c r="Y334" s="127" t="str">
        <v>ぇ</v>
      </c>
      <c r="Z334" s="90">
        <v>0</v>
      </c>
    </row>
    <row r="335" spans="1:26" x14ac:dyDescent="0.4">
      <c r="A335" s="52">
        <v>334</v>
      </c>
      <c r="B335" s="51">
        <f t="shared" si="32"/>
        <v>12</v>
      </c>
      <c r="C335" s="50">
        <f t="shared" si="33"/>
        <v>4</v>
      </c>
      <c r="D335" s="64" t="e">
        <f t="shared" si="34"/>
        <v>#N/A</v>
      </c>
      <c r="E335" s="121" cm="1">
        <f t="array" ref="E335">INDEX(InputArea,B335,C335)</f>
        <v>0</v>
      </c>
      <c r="F335" s="59" t="str">
        <f t="shared" si="35"/>
        <v>XR</v>
      </c>
      <c r="G335" s="59" t="str">
        <f t="shared" si="36"/>
        <v>ひし</v>
      </c>
      <c r="H335" s="134"/>
      <c r="I335" s="135"/>
      <c r="J335" s="84">
        <f t="shared" si="37"/>
        <v>0</v>
      </c>
      <c r="K335" s="83"/>
      <c r="L335" s="64" t="e">
        <v>#N/A</v>
      </c>
      <c r="M335" s="121">
        <v>0</v>
      </c>
      <c r="N335" s="59" t="str">
        <v>XR</v>
      </c>
      <c r="O335" s="126" t="str">
        <v>ひし</v>
      </c>
      <c r="P335" s="126">
        <v>0</v>
      </c>
      <c r="Q335" s="127">
        <v>0</v>
      </c>
      <c r="R335" s="84">
        <v>0</v>
      </c>
      <c r="T335" s="100" t="e">
        <v>#N/A</v>
      </c>
      <c r="U335" s="121">
        <v>0</v>
      </c>
      <c r="V335" s="59" t="str">
        <v>XR</v>
      </c>
      <c r="W335" s="126" t="str">
        <v>ひし</v>
      </c>
      <c r="X335" s="126">
        <v>0</v>
      </c>
      <c r="Y335" s="127">
        <v>0</v>
      </c>
      <c r="Z335" s="90">
        <v>0</v>
      </c>
    </row>
    <row r="336" spans="1:26" x14ac:dyDescent="0.4">
      <c r="A336" s="52">
        <v>335</v>
      </c>
      <c r="B336" s="51">
        <f t="shared" si="32"/>
        <v>12</v>
      </c>
      <c r="C336" s="50">
        <f t="shared" si="33"/>
        <v>5</v>
      </c>
      <c r="D336" s="64" t="e">
        <f t="shared" si="34"/>
        <v>#N/A</v>
      </c>
      <c r="E336" s="121" cm="1">
        <f t="array" ref="E336">INDEX(InputArea,B336,C336)</f>
        <v>0</v>
      </c>
      <c r="F336" s="59" t="str">
        <f t="shared" si="35"/>
        <v>XT</v>
      </c>
      <c r="G336" s="59" t="str">
        <f t="shared" si="36"/>
        <v>ひ←</v>
      </c>
      <c r="H336" s="134"/>
      <c r="I336" s="136" t="s">
        <v>401</v>
      </c>
      <c r="J336" s="84">
        <f t="shared" si="37"/>
        <v>0</v>
      </c>
      <c r="K336" s="83"/>
      <c r="L336" s="64" t="e">
        <v>#N/A</v>
      </c>
      <c r="M336" s="121">
        <v>0</v>
      </c>
      <c r="N336" s="59" t="str">
        <v>XT</v>
      </c>
      <c r="O336" s="126" t="str">
        <v>ひ←</v>
      </c>
      <c r="P336" s="126">
        <v>0</v>
      </c>
      <c r="Q336" s="127" t="str">
        <v>ｘｔ</v>
      </c>
      <c r="R336" s="84">
        <v>0</v>
      </c>
      <c r="T336" s="100" t="e">
        <v>#N/A</v>
      </c>
      <c r="U336" s="121">
        <v>0</v>
      </c>
      <c r="V336" s="59" t="str">
        <v>XT</v>
      </c>
      <c r="W336" s="126" t="str">
        <v>ひ←</v>
      </c>
      <c r="X336" s="126">
        <v>0</v>
      </c>
      <c r="Y336" s="127" t="str">
        <v>ｘｔ</v>
      </c>
      <c r="Z336" s="90">
        <v>0</v>
      </c>
    </row>
    <row r="337" spans="1:26" x14ac:dyDescent="0.4">
      <c r="A337" s="52">
        <v>336</v>
      </c>
      <c r="B337" s="51">
        <f t="shared" si="32"/>
        <v>12</v>
      </c>
      <c r="C337" s="50">
        <f t="shared" si="33"/>
        <v>6</v>
      </c>
      <c r="D337" s="64" t="e">
        <f t="shared" si="34"/>
        <v>#N/A</v>
      </c>
      <c r="E337" s="121" cm="1">
        <f t="array" ref="E337">INDEX(InputArea,B337,C337)</f>
        <v>0</v>
      </c>
      <c r="F337" s="59" t="str">
        <f t="shared" si="35"/>
        <v>XA</v>
      </c>
      <c r="G337" s="59" t="str">
        <f t="shared" si="36"/>
        <v>ひろ</v>
      </c>
      <c r="H337" s="134"/>
      <c r="I337" s="136" t="s">
        <v>240</v>
      </c>
      <c r="J337" s="84">
        <f t="shared" si="37"/>
        <v>0</v>
      </c>
      <c r="K337" s="83"/>
      <c r="L337" s="64" t="e">
        <v>#N/A</v>
      </c>
      <c r="M337" s="121">
        <v>0</v>
      </c>
      <c r="N337" s="59" t="str">
        <v>XA</v>
      </c>
      <c r="O337" s="126" t="str">
        <v>ひろ</v>
      </c>
      <c r="P337" s="126">
        <v>0</v>
      </c>
      <c r="Q337" s="127" t="str">
        <v>ぁ</v>
      </c>
      <c r="R337" s="84">
        <v>0</v>
      </c>
      <c r="T337" s="100" t="e">
        <v>#N/A</v>
      </c>
      <c r="U337" s="121">
        <v>0</v>
      </c>
      <c r="V337" s="59" t="str">
        <v>XA</v>
      </c>
      <c r="W337" s="126" t="str">
        <v>ひろ</v>
      </c>
      <c r="X337" s="126">
        <v>0</v>
      </c>
      <c r="Y337" s="127" t="str">
        <v>ぁ</v>
      </c>
      <c r="Z337" s="90">
        <v>0</v>
      </c>
    </row>
    <row r="338" spans="1:26" x14ac:dyDescent="0.4">
      <c r="A338" s="52">
        <v>337</v>
      </c>
      <c r="B338" s="51">
        <f t="shared" si="32"/>
        <v>12</v>
      </c>
      <c r="C338" s="50">
        <f t="shared" si="33"/>
        <v>7</v>
      </c>
      <c r="D338" s="64" t="e">
        <f t="shared" si="34"/>
        <v>#N/A</v>
      </c>
      <c r="E338" s="121" cm="1">
        <f t="array" ref="E338">INDEX(InputArea,B338,C338)</f>
        <v>0</v>
      </c>
      <c r="F338" s="59" t="str">
        <f t="shared" si="35"/>
        <v>XS</v>
      </c>
      <c r="G338" s="59" t="str">
        <f t="shared" si="36"/>
        <v>ひけ</v>
      </c>
      <c r="H338" s="134"/>
      <c r="I338" s="135"/>
      <c r="J338" s="84">
        <f t="shared" si="37"/>
        <v>0</v>
      </c>
      <c r="K338" s="83"/>
      <c r="L338" s="64" t="e">
        <v>#N/A</v>
      </c>
      <c r="M338" s="121">
        <v>0</v>
      </c>
      <c r="N338" s="59" t="str">
        <v>XS</v>
      </c>
      <c r="O338" s="126" t="str">
        <v>ひけ</v>
      </c>
      <c r="P338" s="126">
        <v>0</v>
      </c>
      <c r="Q338" s="127">
        <v>0</v>
      </c>
      <c r="R338" s="84">
        <v>0</v>
      </c>
      <c r="T338" s="100" t="e">
        <v>#N/A</v>
      </c>
      <c r="U338" s="121">
        <v>0</v>
      </c>
      <c r="V338" s="59" t="str">
        <v>XS</v>
      </c>
      <c r="W338" s="126" t="str">
        <v>ひけ</v>
      </c>
      <c r="X338" s="126">
        <v>0</v>
      </c>
      <c r="Y338" s="127">
        <v>0</v>
      </c>
      <c r="Z338" s="90">
        <v>0</v>
      </c>
    </row>
    <row r="339" spans="1:26" x14ac:dyDescent="0.4">
      <c r="A339" s="52">
        <v>338</v>
      </c>
      <c r="B339" s="51">
        <f t="shared" si="32"/>
        <v>12</v>
      </c>
      <c r="C339" s="50">
        <f t="shared" si="33"/>
        <v>8</v>
      </c>
      <c r="D339" s="64" t="e">
        <f t="shared" si="34"/>
        <v>#N/A</v>
      </c>
      <c r="E339" s="121" cm="1">
        <f t="array" ref="E339">INDEX(InputArea,B339,C339)</f>
        <v>0</v>
      </c>
      <c r="F339" s="59" t="str">
        <f t="shared" si="35"/>
        <v>XD</v>
      </c>
      <c r="G339" s="59" t="str">
        <f t="shared" si="36"/>
        <v>ひと</v>
      </c>
      <c r="H339" s="134"/>
      <c r="I339" s="135"/>
      <c r="J339" s="84">
        <f t="shared" si="37"/>
        <v>0</v>
      </c>
      <c r="K339" s="83"/>
      <c r="L339" s="64" t="e">
        <v>#N/A</v>
      </c>
      <c r="M339" s="121">
        <v>0</v>
      </c>
      <c r="N339" s="59" t="str">
        <v>XD</v>
      </c>
      <c r="O339" s="126" t="str">
        <v>ひと</v>
      </c>
      <c r="P339" s="126">
        <v>0</v>
      </c>
      <c r="Q339" s="127">
        <v>0</v>
      </c>
      <c r="R339" s="84">
        <v>0</v>
      </c>
      <c r="T339" s="100" t="e">
        <v>#N/A</v>
      </c>
      <c r="U339" s="121">
        <v>0</v>
      </c>
      <c r="V339" s="59" t="str">
        <v>XD</v>
      </c>
      <c r="W339" s="126" t="str">
        <v>ひと</v>
      </c>
      <c r="X339" s="126">
        <v>0</v>
      </c>
      <c r="Y339" s="127">
        <v>0</v>
      </c>
      <c r="Z339" s="90">
        <v>0</v>
      </c>
    </row>
    <row r="340" spans="1:26" x14ac:dyDescent="0.4">
      <c r="A340" s="52">
        <v>339</v>
      </c>
      <c r="B340" s="51">
        <f t="shared" si="32"/>
        <v>12</v>
      </c>
      <c r="C340" s="50">
        <f t="shared" si="33"/>
        <v>9</v>
      </c>
      <c r="D340" s="64" t="e">
        <f t="shared" si="34"/>
        <v>#N/A</v>
      </c>
      <c r="E340" s="121" cm="1">
        <f t="array" ref="E340">INDEX(InputArea,B340,C340)</f>
        <v>0</v>
      </c>
      <c r="F340" s="59" t="str">
        <f t="shared" si="35"/>
        <v>XF</v>
      </c>
      <c r="G340" s="59" t="str">
        <f t="shared" si="36"/>
        <v>ひか</v>
      </c>
      <c r="H340" s="134"/>
      <c r="I340" s="135"/>
      <c r="J340" s="84">
        <f t="shared" si="37"/>
        <v>0</v>
      </c>
      <c r="K340" s="83"/>
      <c r="L340" s="64" t="e">
        <v>#N/A</v>
      </c>
      <c r="M340" s="121">
        <v>0</v>
      </c>
      <c r="N340" s="59" t="str">
        <v>XF</v>
      </c>
      <c r="O340" s="126" t="str">
        <v>ひか</v>
      </c>
      <c r="P340" s="126">
        <v>0</v>
      </c>
      <c r="Q340" s="127">
        <v>0</v>
      </c>
      <c r="R340" s="84">
        <v>0</v>
      </c>
      <c r="T340" s="100" t="e">
        <v>#N/A</v>
      </c>
      <c r="U340" s="121">
        <v>0</v>
      </c>
      <c r="V340" s="59" t="str">
        <v>XF</v>
      </c>
      <c r="W340" s="126" t="str">
        <v>ひか</v>
      </c>
      <c r="X340" s="126">
        <v>0</v>
      </c>
      <c r="Y340" s="127">
        <v>0</v>
      </c>
      <c r="Z340" s="90">
        <v>0</v>
      </c>
    </row>
    <row r="341" spans="1:26" x14ac:dyDescent="0.4">
      <c r="A341" s="52">
        <v>340</v>
      </c>
      <c r="B341" s="51">
        <f t="shared" si="32"/>
        <v>12</v>
      </c>
      <c r="C341" s="50">
        <f t="shared" si="33"/>
        <v>10</v>
      </c>
      <c r="D341" s="64" t="e">
        <f t="shared" si="34"/>
        <v>#N/A</v>
      </c>
      <c r="E341" s="121" cm="1">
        <f t="array" ref="E341">INDEX(InputArea,B341,C341)</f>
        <v>0</v>
      </c>
      <c r="F341" s="59" t="str">
        <f t="shared" si="35"/>
        <v>XG</v>
      </c>
      <c r="G341" s="59" t="str">
        <f t="shared" si="36"/>
        <v>ひっ</v>
      </c>
      <c r="H341" s="134"/>
      <c r="I341" s="135"/>
      <c r="J341" s="84">
        <f t="shared" si="37"/>
        <v>0</v>
      </c>
      <c r="K341" s="83"/>
      <c r="L341" s="64" t="e">
        <v>#N/A</v>
      </c>
      <c r="M341" s="121">
        <v>0</v>
      </c>
      <c r="N341" s="59" t="str">
        <v>XG</v>
      </c>
      <c r="O341" s="126" t="str">
        <v>ひっ</v>
      </c>
      <c r="P341" s="126">
        <v>0</v>
      </c>
      <c r="Q341" s="127">
        <v>0</v>
      </c>
      <c r="R341" s="84">
        <v>0</v>
      </c>
      <c r="T341" s="100" t="e">
        <v>#N/A</v>
      </c>
      <c r="U341" s="121">
        <v>0</v>
      </c>
      <c r="V341" s="59" t="str">
        <v>XG</v>
      </c>
      <c r="W341" s="126" t="str">
        <v>ひっ</v>
      </c>
      <c r="X341" s="126">
        <v>0</v>
      </c>
      <c r="Y341" s="127">
        <v>0</v>
      </c>
      <c r="Z341" s="90">
        <v>0</v>
      </c>
    </row>
    <row r="342" spans="1:26" x14ac:dyDescent="0.4">
      <c r="A342" s="52">
        <v>341</v>
      </c>
      <c r="B342" s="51">
        <f t="shared" si="32"/>
        <v>12</v>
      </c>
      <c r="C342" s="50">
        <f t="shared" si="33"/>
        <v>11</v>
      </c>
      <c r="D342" s="64" t="e">
        <f t="shared" si="34"/>
        <v>#N/A</v>
      </c>
      <c r="E342" s="121" cm="1">
        <f t="array" ref="E342">INDEX(InputArea,B342,C342)</f>
        <v>0</v>
      </c>
      <c r="F342" s="59" t="str">
        <f t="shared" si="35"/>
        <v>XZ</v>
      </c>
      <c r="G342" s="59" t="str">
        <f t="shared" si="36"/>
        <v>ひほ</v>
      </c>
      <c r="H342" s="134"/>
      <c r="I342" s="135"/>
      <c r="J342" s="84">
        <f t="shared" si="37"/>
        <v>0</v>
      </c>
      <c r="K342" s="83"/>
      <c r="L342" s="64" t="e">
        <v>#N/A</v>
      </c>
      <c r="M342" s="121">
        <v>0</v>
      </c>
      <c r="N342" s="59" t="str">
        <v>XZ</v>
      </c>
      <c r="O342" s="126" t="str">
        <v>ひほ</v>
      </c>
      <c r="P342" s="126">
        <v>0</v>
      </c>
      <c r="Q342" s="127">
        <v>0</v>
      </c>
      <c r="R342" s="84">
        <v>0</v>
      </c>
      <c r="T342" s="100" t="e">
        <v>#N/A</v>
      </c>
      <c r="U342" s="121">
        <v>0</v>
      </c>
      <c r="V342" s="59" t="str">
        <v>XZ</v>
      </c>
      <c r="W342" s="126" t="str">
        <v>ひほ</v>
      </c>
      <c r="X342" s="126">
        <v>0</v>
      </c>
      <c r="Y342" s="127">
        <v>0</v>
      </c>
      <c r="Z342" s="90">
        <v>0</v>
      </c>
    </row>
    <row r="343" spans="1:26" x14ac:dyDescent="0.4">
      <c r="A343" s="52">
        <v>342</v>
      </c>
      <c r="B343" s="51">
        <f t="shared" si="32"/>
        <v>12</v>
      </c>
      <c r="C343" s="50">
        <f t="shared" si="33"/>
        <v>12</v>
      </c>
      <c r="D343" s="64" t="e">
        <f t="shared" si="34"/>
        <v>#N/A</v>
      </c>
      <c r="E343" s="121" cm="1">
        <f t="array" ref="E343">INDEX(InputArea,B343,C343)</f>
        <v>0</v>
      </c>
      <c r="F343" s="59" t="str">
        <f t="shared" si="35"/>
        <v>XX</v>
      </c>
      <c r="G343" s="59" t="str">
        <f t="shared" si="36"/>
        <v>ひひ</v>
      </c>
      <c r="H343" s="134"/>
      <c r="I343" s="136" t="s">
        <v>402</v>
      </c>
      <c r="J343" s="84">
        <f t="shared" si="37"/>
        <v>0</v>
      </c>
      <c r="K343" s="83"/>
      <c r="L343" s="64" t="e">
        <v>#N/A</v>
      </c>
      <c r="M343" s="121">
        <v>0</v>
      </c>
      <c r="N343" s="59" t="str">
        <v>XX</v>
      </c>
      <c r="O343" s="126" t="str">
        <v>ひひ</v>
      </c>
      <c r="P343" s="126">
        <v>0</v>
      </c>
      <c r="Q343" s="127" t="str">
        <v>っｘ</v>
      </c>
      <c r="R343" s="84">
        <v>0</v>
      </c>
      <c r="T343" s="100" t="e">
        <v>#N/A</v>
      </c>
      <c r="U343" s="121">
        <v>0</v>
      </c>
      <c r="V343" s="59" t="str">
        <v>XX</v>
      </c>
      <c r="W343" s="126" t="str">
        <v>ひひ</v>
      </c>
      <c r="X343" s="126">
        <v>0</v>
      </c>
      <c r="Y343" s="127" t="str">
        <v>っｘ</v>
      </c>
      <c r="Z343" s="90">
        <v>0</v>
      </c>
    </row>
    <row r="344" spans="1:26" x14ac:dyDescent="0.4">
      <c r="A344" s="52">
        <v>343</v>
      </c>
      <c r="B344" s="51">
        <f t="shared" si="32"/>
        <v>12</v>
      </c>
      <c r="C344" s="50">
        <f t="shared" si="33"/>
        <v>13</v>
      </c>
      <c r="D344" s="64" t="e">
        <f t="shared" si="34"/>
        <v>#N/A</v>
      </c>
      <c r="E344" s="121" cm="1">
        <f t="array" ref="E344">INDEX(InputArea,B344,C344)</f>
        <v>0</v>
      </c>
      <c r="F344" s="59" t="str">
        <f t="shared" si="35"/>
        <v>XC</v>
      </c>
      <c r="G344" s="59" t="str">
        <f t="shared" si="36"/>
        <v>ひは</v>
      </c>
      <c r="H344" s="134"/>
      <c r="I344" s="135"/>
      <c r="J344" s="84">
        <f t="shared" si="37"/>
        <v>0</v>
      </c>
      <c r="K344" s="83"/>
      <c r="L344" s="64" t="e">
        <v>#N/A</v>
      </c>
      <c r="M344" s="121">
        <v>0</v>
      </c>
      <c r="N344" s="59" t="str">
        <v>XC</v>
      </c>
      <c r="O344" s="126" t="str">
        <v>ひは</v>
      </c>
      <c r="P344" s="126">
        <v>0</v>
      </c>
      <c r="Q344" s="127">
        <v>0</v>
      </c>
      <c r="R344" s="84">
        <v>0</v>
      </c>
      <c r="T344" s="100" t="e">
        <v>#N/A</v>
      </c>
      <c r="U344" s="121">
        <v>0</v>
      </c>
      <c r="V344" s="59" t="str">
        <v>XC</v>
      </c>
      <c r="W344" s="126" t="str">
        <v>ひは</v>
      </c>
      <c r="X344" s="126">
        <v>0</v>
      </c>
      <c r="Y344" s="127">
        <v>0</v>
      </c>
      <c r="Z344" s="90">
        <v>0</v>
      </c>
    </row>
    <row r="345" spans="1:26" x14ac:dyDescent="0.4">
      <c r="A345" s="52">
        <v>344</v>
      </c>
      <c r="B345" s="51">
        <f t="shared" si="32"/>
        <v>12</v>
      </c>
      <c r="C345" s="50">
        <f t="shared" si="33"/>
        <v>14</v>
      </c>
      <c r="D345" s="64" t="e">
        <f t="shared" si="34"/>
        <v>#N/A</v>
      </c>
      <c r="E345" s="121" cm="1">
        <f t="array" ref="E345">INDEX(InputArea,B345,C345)</f>
        <v>0</v>
      </c>
      <c r="F345" s="59" t="str">
        <f t="shared" si="35"/>
        <v>XV</v>
      </c>
      <c r="G345" s="59" t="str">
        <f t="shared" si="36"/>
        <v>ひこ</v>
      </c>
      <c r="H345" s="134"/>
      <c r="I345" s="135"/>
      <c r="J345" s="84">
        <f t="shared" si="37"/>
        <v>0</v>
      </c>
      <c r="K345" s="83"/>
      <c r="L345" s="64" t="e">
        <v>#N/A</v>
      </c>
      <c r="M345" s="121">
        <v>0</v>
      </c>
      <c r="N345" s="59" t="str">
        <v>XV</v>
      </c>
      <c r="O345" s="126" t="str">
        <v>ひこ</v>
      </c>
      <c r="P345" s="126">
        <v>0</v>
      </c>
      <c r="Q345" s="127">
        <v>0</v>
      </c>
      <c r="R345" s="84">
        <v>0</v>
      </c>
      <c r="T345" s="100" t="e">
        <v>#N/A</v>
      </c>
      <c r="U345" s="121">
        <v>0</v>
      </c>
      <c r="V345" s="59" t="str">
        <v>XV</v>
      </c>
      <c r="W345" s="126" t="str">
        <v>ひこ</v>
      </c>
      <c r="X345" s="126">
        <v>0</v>
      </c>
      <c r="Y345" s="127">
        <v>0</v>
      </c>
      <c r="Z345" s="90">
        <v>0</v>
      </c>
    </row>
    <row r="346" spans="1:26" x14ac:dyDescent="0.4">
      <c r="A346" s="52">
        <v>345</v>
      </c>
      <c r="B346" s="51">
        <f t="shared" si="32"/>
        <v>12</v>
      </c>
      <c r="C346" s="50">
        <f t="shared" si="33"/>
        <v>15</v>
      </c>
      <c r="D346" s="64" t="e">
        <f t="shared" si="34"/>
        <v>#N/A</v>
      </c>
      <c r="E346" s="121" cm="1">
        <f t="array" ref="E346">INDEX(InputArea,B346,C346)</f>
        <v>0</v>
      </c>
      <c r="F346" s="59" t="str">
        <f t="shared" si="35"/>
        <v>XB</v>
      </c>
      <c r="G346" s="59" t="str">
        <f t="shared" si="36"/>
        <v>ひそ</v>
      </c>
      <c r="H346" s="134"/>
      <c r="I346" s="135"/>
      <c r="J346" s="84">
        <f t="shared" si="37"/>
        <v>0</v>
      </c>
      <c r="K346" s="83"/>
      <c r="L346" s="64" t="e">
        <v>#N/A</v>
      </c>
      <c r="M346" s="121">
        <v>0</v>
      </c>
      <c r="N346" s="59" t="str">
        <v>XB</v>
      </c>
      <c r="O346" s="126" t="str">
        <v>ひそ</v>
      </c>
      <c r="P346" s="126">
        <v>0</v>
      </c>
      <c r="Q346" s="127">
        <v>0</v>
      </c>
      <c r="R346" s="84">
        <v>0</v>
      </c>
      <c r="T346" s="100" t="e">
        <v>#N/A</v>
      </c>
      <c r="U346" s="121">
        <v>0</v>
      </c>
      <c r="V346" s="59" t="str">
        <v>XB</v>
      </c>
      <c r="W346" s="126" t="str">
        <v>ひそ</v>
      </c>
      <c r="X346" s="126">
        <v>0</v>
      </c>
      <c r="Y346" s="127">
        <v>0</v>
      </c>
      <c r="Z346" s="90">
        <v>0</v>
      </c>
    </row>
    <row r="347" spans="1:26" x14ac:dyDescent="0.4">
      <c r="A347" s="52">
        <v>346</v>
      </c>
      <c r="B347" s="51">
        <f t="shared" si="32"/>
        <v>12</v>
      </c>
      <c r="C347" s="50">
        <f t="shared" si="33"/>
        <v>16</v>
      </c>
      <c r="D347" s="64" t="e">
        <f t="shared" si="34"/>
        <v>#N/A</v>
      </c>
      <c r="E347" s="121" cm="1">
        <f t="array" ref="E347">INDEX(InputArea,B347,C347)</f>
        <v>0</v>
      </c>
      <c r="F347" s="59" t="str">
        <f t="shared" si="35"/>
        <v>XY</v>
      </c>
      <c r="G347" s="59" t="str">
        <f t="shared" si="36"/>
        <v>ひ→</v>
      </c>
      <c r="H347" s="134"/>
      <c r="I347" s="136" t="s">
        <v>403</v>
      </c>
      <c r="J347" s="84">
        <f t="shared" si="37"/>
        <v>1</v>
      </c>
      <c r="K347" s="83"/>
      <c r="L347" s="64" t="e">
        <v>#N/A</v>
      </c>
      <c r="M347" s="121">
        <v>0</v>
      </c>
      <c r="N347" s="59" t="str">
        <v>XY</v>
      </c>
      <c r="O347" s="126" t="str">
        <v>ひ→</v>
      </c>
      <c r="P347" s="126">
        <v>0</v>
      </c>
      <c r="Q347" s="127" t="str">
        <v>ｘｙ</v>
      </c>
      <c r="R347" s="84">
        <v>1</v>
      </c>
      <c r="T347" s="100" t="e">
        <v>#N/A</v>
      </c>
      <c r="U347" s="121">
        <v>0</v>
      </c>
      <c r="V347" s="59" t="str">
        <v>XY</v>
      </c>
      <c r="W347" s="126" t="str">
        <v>ひ→</v>
      </c>
      <c r="X347" s="126">
        <v>0</v>
      </c>
      <c r="Y347" s="127" t="str">
        <v>ｘｙ</v>
      </c>
      <c r="Z347" s="90">
        <v>1</v>
      </c>
    </row>
    <row r="348" spans="1:26" x14ac:dyDescent="0.4">
      <c r="A348" s="52">
        <v>347</v>
      </c>
      <c r="B348" s="51">
        <f t="shared" si="32"/>
        <v>12</v>
      </c>
      <c r="C348" s="50">
        <f t="shared" si="33"/>
        <v>17</v>
      </c>
      <c r="D348" s="64" t="e">
        <f t="shared" si="34"/>
        <v>#N/A</v>
      </c>
      <c r="E348" s="121" cm="1">
        <f t="array" ref="E348">INDEX(InputArea,B348,C348)</f>
        <v>0</v>
      </c>
      <c r="F348" s="59" t="str">
        <f t="shared" si="35"/>
        <v>XU</v>
      </c>
      <c r="G348" s="59" t="str">
        <f t="shared" si="36"/>
        <v>ひBS</v>
      </c>
      <c r="H348" s="134"/>
      <c r="I348" s="136" t="s">
        <v>242</v>
      </c>
      <c r="J348" s="84">
        <f t="shared" si="37"/>
        <v>1</v>
      </c>
      <c r="K348" s="83"/>
      <c r="L348" s="64" t="e">
        <v>#N/A</v>
      </c>
      <c r="M348" s="121">
        <v>0</v>
      </c>
      <c r="N348" s="59" t="str">
        <v>XU</v>
      </c>
      <c r="O348" s="126" t="str">
        <v>ひBS</v>
      </c>
      <c r="P348" s="126">
        <v>0</v>
      </c>
      <c r="Q348" s="127" t="str">
        <v>ぅ</v>
      </c>
      <c r="R348" s="84">
        <v>1</v>
      </c>
      <c r="T348" s="100" t="e">
        <v>#N/A</v>
      </c>
      <c r="U348" s="121">
        <v>0</v>
      </c>
      <c r="V348" s="59" t="str">
        <v>XU</v>
      </c>
      <c r="W348" s="126" t="str">
        <v>ひBS</v>
      </c>
      <c r="X348" s="126">
        <v>0</v>
      </c>
      <c r="Y348" s="127" t="str">
        <v>ぅ</v>
      </c>
      <c r="Z348" s="90">
        <v>1</v>
      </c>
    </row>
    <row r="349" spans="1:26" x14ac:dyDescent="0.4">
      <c r="A349" s="52">
        <v>348</v>
      </c>
      <c r="B349" s="51">
        <f t="shared" si="32"/>
        <v>12</v>
      </c>
      <c r="C349" s="50">
        <f t="shared" si="33"/>
        <v>18</v>
      </c>
      <c r="D349" s="64" t="e">
        <f t="shared" si="34"/>
        <v>#N/A</v>
      </c>
      <c r="E349" s="121" cm="1">
        <f t="array" ref="E349">INDEX(InputArea,B349,C349)</f>
        <v>0</v>
      </c>
      <c r="F349" s="59" t="str">
        <f t="shared" si="35"/>
        <v>XI</v>
      </c>
      <c r="G349" s="59" t="str">
        <f t="shared" si="36"/>
        <v>ひる</v>
      </c>
      <c r="H349" s="137" t="s">
        <v>272</v>
      </c>
      <c r="I349" s="136" t="s">
        <v>241</v>
      </c>
      <c r="J349" s="84">
        <f t="shared" si="37"/>
        <v>1</v>
      </c>
      <c r="K349" s="83"/>
      <c r="L349" s="64" t="e">
        <v>#N/A</v>
      </c>
      <c r="M349" s="121">
        <v>0</v>
      </c>
      <c r="N349" s="59" t="str">
        <v>XI</v>
      </c>
      <c r="O349" s="126" t="str">
        <v>ひる</v>
      </c>
      <c r="P349" s="126" t="str">
        <v>ひょ</v>
      </c>
      <c r="Q349" s="127" t="str">
        <v>ぃ</v>
      </c>
      <c r="R349" s="84">
        <v>1</v>
      </c>
      <c r="T349" s="100" t="e">
        <v>#N/A</v>
      </c>
      <c r="U349" s="121">
        <v>0</v>
      </c>
      <c r="V349" s="59" t="str">
        <v>XI</v>
      </c>
      <c r="W349" s="126" t="str">
        <v>ひる</v>
      </c>
      <c r="X349" s="126" t="str">
        <v>ひょ</v>
      </c>
      <c r="Y349" s="127" t="str">
        <v>ぃ</v>
      </c>
      <c r="Z349" s="90">
        <v>1</v>
      </c>
    </row>
    <row r="350" spans="1:26" x14ac:dyDescent="0.4">
      <c r="A350" s="52">
        <v>349</v>
      </c>
      <c r="B350" s="51">
        <f t="shared" si="32"/>
        <v>12</v>
      </c>
      <c r="C350" s="50">
        <f t="shared" si="33"/>
        <v>19</v>
      </c>
      <c r="D350" s="64" t="e">
        <f t="shared" si="34"/>
        <v>#N/A</v>
      </c>
      <c r="E350" s="121" cm="1">
        <f t="array" ref="E350">INDEX(InputArea,B350,C350)</f>
        <v>0</v>
      </c>
      <c r="F350" s="59" t="str">
        <f t="shared" si="35"/>
        <v>XO</v>
      </c>
      <c r="G350" s="59" t="str">
        <f t="shared" si="36"/>
        <v>ひす</v>
      </c>
      <c r="H350" s="134"/>
      <c r="I350" s="136" t="s">
        <v>243</v>
      </c>
      <c r="J350" s="84">
        <f t="shared" si="37"/>
        <v>1</v>
      </c>
      <c r="K350" s="83"/>
      <c r="L350" s="64" t="e">
        <v>#N/A</v>
      </c>
      <c r="M350" s="121">
        <v>0</v>
      </c>
      <c r="N350" s="59" t="str">
        <v>XO</v>
      </c>
      <c r="O350" s="126" t="str">
        <v>ひす</v>
      </c>
      <c r="P350" s="126">
        <v>0</v>
      </c>
      <c r="Q350" s="127" t="str">
        <v>ぉ</v>
      </c>
      <c r="R350" s="84">
        <v>1</v>
      </c>
      <c r="T350" s="100" t="e">
        <v>#N/A</v>
      </c>
      <c r="U350" s="121">
        <v>0</v>
      </c>
      <c r="V350" s="59" t="str">
        <v>XO</v>
      </c>
      <c r="W350" s="126" t="str">
        <v>ひす</v>
      </c>
      <c r="X350" s="126">
        <v>0</v>
      </c>
      <c r="Y350" s="127" t="str">
        <v>ぉ</v>
      </c>
      <c r="Z350" s="90">
        <v>1</v>
      </c>
    </row>
    <row r="351" spans="1:26" x14ac:dyDescent="0.4">
      <c r="A351" s="52">
        <v>350</v>
      </c>
      <c r="B351" s="51">
        <f t="shared" si="32"/>
        <v>12</v>
      </c>
      <c r="C351" s="50">
        <f t="shared" si="33"/>
        <v>20</v>
      </c>
      <c r="D351" s="64" t="e">
        <f t="shared" si="34"/>
        <v>#N/A</v>
      </c>
      <c r="E351" s="121" cm="1">
        <f t="array" ref="E351">INDEX(InputArea,B351,C351)</f>
        <v>0</v>
      </c>
      <c r="F351" s="59" t="str">
        <f t="shared" si="35"/>
        <v>XP</v>
      </c>
      <c r="G351" s="59" t="str">
        <f t="shared" si="36"/>
        <v>ひへ</v>
      </c>
      <c r="H351" s="137" t="s">
        <v>273</v>
      </c>
      <c r="I351" s="135"/>
      <c r="J351" s="84">
        <f t="shared" si="37"/>
        <v>1</v>
      </c>
      <c r="K351" s="83"/>
      <c r="L351" s="64" t="e">
        <v>#N/A</v>
      </c>
      <c r="M351" s="121">
        <v>0</v>
      </c>
      <c r="N351" s="59" t="str">
        <v>XP</v>
      </c>
      <c r="O351" s="126" t="str">
        <v>ひへ</v>
      </c>
      <c r="P351" s="126" t="str">
        <v>ひゅ</v>
      </c>
      <c r="Q351" s="127">
        <v>0</v>
      </c>
      <c r="R351" s="84">
        <v>1</v>
      </c>
      <c r="T351" s="100" t="e">
        <v>#N/A</v>
      </c>
      <c r="U351" s="121">
        <v>0</v>
      </c>
      <c r="V351" s="59" t="str">
        <v>XP</v>
      </c>
      <c r="W351" s="126" t="str">
        <v>ひへ</v>
      </c>
      <c r="X351" s="126" t="str">
        <v>ひゅ</v>
      </c>
      <c r="Y351" s="127">
        <v>0</v>
      </c>
      <c r="Z351" s="90">
        <v>1</v>
      </c>
    </row>
    <row r="352" spans="1:26" x14ac:dyDescent="0.4">
      <c r="A352" s="52">
        <v>351</v>
      </c>
      <c r="B352" s="51">
        <f t="shared" si="32"/>
        <v>12</v>
      </c>
      <c r="C352" s="50">
        <f t="shared" si="33"/>
        <v>21</v>
      </c>
      <c r="D352" s="64" t="e">
        <f t="shared" si="34"/>
        <v>#N/A</v>
      </c>
      <c r="E352" s="121" cm="1">
        <f t="array" ref="E352">INDEX(InputArea,B352,C352)</f>
        <v>0</v>
      </c>
      <c r="F352" s="59" t="str">
        <f t="shared" si="35"/>
        <v>XH</v>
      </c>
      <c r="G352" s="59" t="str">
        <f t="shared" si="36"/>
        <v>ひく</v>
      </c>
      <c r="H352" s="137" t="s">
        <v>274</v>
      </c>
      <c r="I352" s="135"/>
      <c r="J352" s="84">
        <f t="shared" si="37"/>
        <v>1</v>
      </c>
      <c r="K352" s="83"/>
      <c r="L352" s="64" t="e">
        <v>#N/A</v>
      </c>
      <c r="M352" s="121">
        <v>0</v>
      </c>
      <c r="N352" s="59" t="str">
        <v>XH</v>
      </c>
      <c r="O352" s="126" t="str">
        <v>ひく</v>
      </c>
      <c r="P352" s="126" t="str">
        <v>ひゃ</v>
      </c>
      <c r="Q352" s="127">
        <v>0</v>
      </c>
      <c r="R352" s="84">
        <v>1</v>
      </c>
      <c r="T352" s="100" t="e">
        <v>#N/A</v>
      </c>
      <c r="U352" s="121">
        <v>0</v>
      </c>
      <c r="V352" s="59" t="str">
        <v>XH</v>
      </c>
      <c r="W352" s="126" t="str">
        <v>ひく</v>
      </c>
      <c r="X352" s="126" t="str">
        <v>ひゃ</v>
      </c>
      <c r="Y352" s="127">
        <v>0</v>
      </c>
      <c r="Z352" s="90">
        <v>1</v>
      </c>
    </row>
    <row r="353" spans="1:26" x14ac:dyDescent="0.4">
      <c r="A353" s="52">
        <v>352</v>
      </c>
      <c r="B353" s="51">
        <f t="shared" si="32"/>
        <v>12</v>
      </c>
      <c r="C353" s="50">
        <f t="shared" si="33"/>
        <v>22</v>
      </c>
      <c r="D353" s="64" t="e">
        <f t="shared" si="34"/>
        <v>#N/A</v>
      </c>
      <c r="E353" s="121" cm="1">
        <f t="array" ref="E353">INDEX(InputArea,B353,C353)</f>
        <v>0</v>
      </c>
      <c r="F353" s="59" t="str">
        <f t="shared" si="35"/>
        <v>XJ</v>
      </c>
      <c r="G353" s="59" t="str">
        <f t="shared" si="36"/>
        <v>ひあ</v>
      </c>
      <c r="H353" s="137" t="s">
        <v>275</v>
      </c>
      <c r="I353" s="135"/>
      <c r="J353" s="84">
        <f t="shared" si="37"/>
        <v>1</v>
      </c>
      <c r="K353" s="83"/>
      <c r="L353" s="64" t="e">
        <v>#N/A</v>
      </c>
      <c r="M353" s="121">
        <v>0</v>
      </c>
      <c r="N353" s="59" t="str">
        <v>XJ</v>
      </c>
      <c r="O353" s="126" t="str">
        <v>ひあ</v>
      </c>
      <c r="P353" s="126" t="str">
        <v>び</v>
      </c>
      <c r="Q353" s="127">
        <v>0</v>
      </c>
      <c r="R353" s="84">
        <v>1</v>
      </c>
      <c r="T353" s="100" t="e">
        <v>#N/A</v>
      </c>
      <c r="U353" s="121">
        <v>0</v>
      </c>
      <c r="V353" s="59" t="str">
        <v>XJ</v>
      </c>
      <c r="W353" s="126" t="str">
        <v>ひあ</v>
      </c>
      <c r="X353" s="126" t="str">
        <v>び</v>
      </c>
      <c r="Y353" s="127">
        <v>0</v>
      </c>
      <c r="Z353" s="90">
        <v>1</v>
      </c>
    </row>
    <row r="354" spans="1:26" x14ac:dyDescent="0.4">
      <c r="A354" s="52">
        <v>353</v>
      </c>
      <c r="B354" s="51">
        <f t="shared" si="32"/>
        <v>12</v>
      </c>
      <c r="C354" s="50">
        <f t="shared" si="33"/>
        <v>23</v>
      </c>
      <c r="D354" s="64" t="e">
        <f t="shared" si="34"/>
        <v>#N/A</v>
      </c>
      <c r="E354" s="121" cm="1">
        <f t="array" ref="E354">INDEX(InputArea,B354,C354)</f>
        <v>0</v>
      </c>
      <c r="F354" s="59" t="str">
        <f t="shared" si="35"/>
        <v>XK</v>
      </c>
      <c r="G354" s="59" t="str">
        <f t="shared" si="36"/>
        <v>ひい</v>
      </c>
      <c r="H354" s="134"/>
      <c r="I354" s="135"/>
      <c r="J354" s="84">
        <f t="shared" si="37"/>
        <v>1</v>
      </c>
      <c r="K354" s="83"/>
      <c r="L354" s="64" t="e">
        <v>#N/A</v>
      </c>
      <c r="M354" s="121">
        <v>0</v>
      </c>
      <c r="N354" s="59" t="str">
        <v>XK</v>
      </c>
      <c r="O354" s="126" t="str">
        <v>ひい</v>
      </c>
      <c r="P354" s="126">
        <v>0</v>
      </c>
      <c r="Q354" s="127">
        <v>0</v>
      </c>
      <c r="R354" s="84">
        <v>1</v>
      </c>
      <c r="T354" s="100" t="e">
        <v>#N/A</v>
      </c>
      <c r="U354" s="121">
        <v>0</v>
      </c>
      <c r="V354" s="59" t="str">
        <v>XK</v>
      </c>
      <c r="W354" s="126" t="str">
        <v>ひい</v>
      </c>
      <c r="X354" s="126">
        <v>0</v>
      </c>
      <c r="Y354" s="127">
        <v>0</v>
      </c>
      <c r="Z354" s="90">
        <v>1</v>
      </c>
    </row>
    <row r="355" spans="1:26" x14ac:dyDescent="0.4">
      <c r="A355" s="52">
        <v>354</v>
      </c>
      <c r="B355" s="51">
        <f t="shared" si="32"/>
        <v>12</v>
      </c>
      <c r="C355" s="50">
        <f t="shared" si="33"/>
        <v>24</v>
      </c>
      <c r="D355" s="64" t="e">
        <f t="shared" si="34"/>
        <v>#N/A</v>
      </c>
      <c r="E355" s="121" cm="1">
        <f t="array" ref="E355">INDEX(InputArea,B355,C355)</f>
        <v>0</v>
      </c>
      <c r="F355" s="59" t="str">
        <f t="shared" si="35"/>
        <v>XL</v>
      </c>
      <c r="G355" s="59" t="str">
        <f t="shared" si="36"/>
        <v>ひう</v>
      </c>
      <c r="H355" s="134"/>
      <c r="I355" s="135"/>
      <c r="J355" s="84">
        <f t="shared" si="37"/>
        <v>1</v>
      </c>
      <c r="K355" s="83"/>
      <c r="L355" s="64" t="e">
        <v>#N/A</v>
      </c>
      <c r="M355" s="121">
        <v>0</v>
      </c>
      <c r="N355" s="59" t="str">
        <v>XL</v>
      </c>
      <c r="O355" s="126" t="str">
        <v>ひう</v>
      </c>
      <c r="P355" s="126">
        <v>0</v>
      </c>
      <c r="Q355" s="127">
        <v>0</v>
      </c>
      <c r="R355" s="84">
        <v>1</v>
      </c>
      <c r="T355" s="100" t="e">
        <v>#N/A</v>
      </c>
      <c r="U355" s="121">
        <v>0</v>
      </c>
      <c r="V355" s="59" t="str">
        <v>XL</v>
      </c>
      <c r="W355" s="126" t="str">
        <v>ひう</v>
      </c>
      <c r="X355" s="126">
        <v>0</v>
      </c>
      <c r="Y355" s="127">
        <v>0</v>
      </c>
      <c r="Z355" s="90">
        <v>1</v>
      </c>
    </row>
    <row r="356" spans="1:26" x14ac:dyDescent="0.4">
      <c r="A356" s="52">
        <v>355</v>
      </c>
      <c r="B356" s="51">
        <f t="shared" si="32"/>
        <v>12</v>
      </c>
      <c r="C356" s="50">
        <f t="shared" si="33"/>
        <v>25</v>
      </c>
      <c r="D356" s="64" t="e">
        <f t="shared" si="34"/>
        <v>#N/A</v>
      </c>
      <c r="E356" s="121" cm="1">
        <f t="array" ref="E356">INDEX(InputArea,B356,C356)</f>
        <v>0</v>
      </c>
      <c r="F356" s="59" t="str">
        <f t="shared" si="35"/>
        <v>X;</v>
      </c>
      <c r="G356" s="59" t="str">
        <f t="shared" si="36"/>
        <v>ひー</v>
      </c>
      <c r="H356" s="134"/>
      <c r="I356" s="135"/>
      <c r="J356" s="84">
        <f t="shared" si="37"/>
        <v>1</v>
      </c>
      <c r="K356" s="83"/>
      <c r="L356" s="64" t="e">
        <v>#N/A</v>
      </c>
      <c r="M356" s="121">
        <v>0</v>
      </c>
      <c r="N356" s="59" t="str">
        <v>X;</v>
      </c>
      <c r="O356" s="126" t="str">
        <v>ひー</v>
      </c>
      <c r="P356" s="126">
        <v>0</v>
      </c>
      <c r="Q356" s="127">
        <v>0</v>
      </c>
      <c r="R356" s="84">
        <v>1</v>
      </c>
      <c r="T356" s="100" t="e">
        <v>#N/A</v>
      </c>
      <c r="U356" s="121">
        <v>0</v>
      </c>
      <c r="V356" s="59" t="str">
        <v>X;</v>
      </c>
      <c r="W356" s="126" t="str">
        <v>ひー</v>
      </c>
      <c r="X356" s="126">
        <v>0</v>
      </c>
      <c r="Y356" s="127">
        <v>0</v>
      </c>
      <c r="Z356" s="90">
        <v>1</v>
      </c>
    </row>
    <row r="357" spans="1:26" x14ac:dyDescent="0.4">
      <c r="A357" s="52">
        <v>356</v>
      </c>
      <c r="B357" s="51">
        <f t="shared" si="32"/>
        <v>12</v>
      </c>
      <c r="C357" s="50">
        <f t="shared" si="33"/>
        <v>26</v>
      </c>
      <c r="D357" s="64" t="e">
        <f t="shared" si="34"/>
        <v>#N/A</v>
      </c>
      <c r="E357" s="121" cm="1">
        <f t="array" ref="E357">INDEX(InputArea,B357,C357)</f>
        <v>0</v>
      </c>
      <c r="F357" s="59" t="str">
        <f t="shared" si="35"/>
        <v>XN</v>
      </c>
      <c r="G357" s="59" t="str">
        <f t="shared" si="36"/>
        <v>ひた</v>
      </c>
      <c r="H357" s="134"/>
      <c r="I357" s="135"/>
      <c r="J357" s="84">
        <f t="shared" si="37"/>
        <v>1</v>
      </c>
      <c r="K357" s="83"/>
      <c r="L357" s="64" t="e">
        <v>#N/A</v>
      </c>
      <c r="M357" s="121">
        <v>0</v>
      </c>
      <c r="N357" s="59" t="str">
        <v>XN</v>
      </c>
      <c r="O357" s="126" t="str">
        <v>ひた</v>
      </c>
      <c r="P357" s="126">
        <v>0</v>
      </c>
      <c r="Q357" s="127">
        <v>0</v>
      </c>
      <c r="R357" s="84">
        <v>1</v>
      </c>
      <c r="T357" s="100" t="e">
        <v>#N/A</v>
      </c>
      <c r="U357" s="121">
        <v>0</v>
      </c>
      <c r="V357" s="59" t="str">
        <v>XN</v>
      </c>
      <c r="W357" s="126" t="str">
        <v>ひた</v>
      </c>
      <c r="X357" s="126">
        <v>0</v>
      </c>
      <c r="Y357" s="127">
        <v>0</v>
      </c>
      <c r="Z357" s="90">
        <v>1</v>
      </c>
    </row>
    <row r="358" spans="1:26" x14ac:dyDescent="0.4">
      <c r="A358" s="52">
        <v>357</v>
      </c>
      <c r="B358" s="51">
        <f t="shared" si="32"/>
        <v>12</v>
      </c>
      <c r="C358" s="50">
        <f t="shared" si="33"/>
        <v>27</v>
      </c>
      <c r="D358" s="64" t="e">
        <f t="shared" si="34"/>
        <v>#N/A</v>
      </c>
      <c r="E358" s="121" cm="1">
        <f t="array" ref="E358">INDEX(InputArea,B358,C358)</f>
        <v>0</v>
      </c>
      <c r="F358" s="59" t="str">
        <f t="shared" si="35"/>
        <v>XM</v>
      </c>
      <c r="G358" s="59" t="str">
        <f t="shared" si="36"/>
        <v>ひな</v>
      </c>
      <c r="H358" s="134"/>
      <c r="I358" s="135"/>
      <c r="J358" s="84">
        <f t="shared" si="37"/>
        <v>1</v>
      </c>
      <c r="K358" s="83"/>
      <c r="L358" s="64" t="e">
        <v>#N/A</v>
      </c>
      <c r="M358" s="121">
        <v>0</v>
      </c>
      <c r="N358" s="59" t="str">
        <v>XM</v>
      </c>
      <c r="O358" s="126" t="str">
        <v>ひな</v>
      </c>
      <c r="P358" s="126">
        <v>0</v>
      </c>
      <c r="Q358" s="127">
        <v>0</v>
      </c>
      <c r="R358" s="84">
        <v>1</v>
      </c>
      <c r="T358" s="100" t="e">
        <v>#N/A</v>
      </c>
      <c r="U358" s="121">
        <v>0</v>
      </c>
      <c r="V358" s="59" t="str">
        <v>XM</v>
      </c>
      <c r="W358" s="126" t="str">
        <v>ひな</v>
      </c>
      <c r="X358" s="126">
        <v>0</v>
      </c>
      <c r="Y358" s="127">
        <v>0</v>
      </c>
      <c r="Z358" s="90">
        <v>1</v>
      </c>
    </row>
    <row r="359" spans="1:26" x14ac:dyDescent="0.4">
      <c r="A359" s="52">
        <v>358</v>
      </c>
      <c r="B359" s="51">
        <f t="shared" si="32"/>
        <v>12</v>
      </c>
      <c r="C359" s="50">
        <f t="shared" si="33"/>
        <v>28</v>
      </c>
      <c r="D359" s="64" t="e">
        <f t="shared" si="34"/>
        <v>#N/A</v>
      </c>
      <c r="E359" s="121" cm="1">
        <f t="array" ref="E359">INDEX(InputArea,B359,C359)</f>
        <v>0</v>
      </c>
      <c r="F359" s="59" t="str">
        <f t="shared" si="35"/>
        <v>X,</v>
      </c>
      <c r="G359" s="59" t="str">
        <f t="shared" si="36"/>
        <v>ひん</v>
      </c>
      <c r="H359" s="134"/>
      <c r="I359" s="135"/>
      <c r="J359" s="84">
        <f t="shared" si="37"/>
        <v>1</v>
      </c>
      <c r="K359" s="83"/>
      <c r="L359" s="64" t="e">
        <v>#N/A</v>
      </c>
      <c r="M359" s="121">
        <v>0</v>
      </c>
      <c r="N359" s="59" t="str">
        <v>X,</v>
      </c>
      <c r="O359" s="126" t="str">
        <v>ひん</v>
      </c>
      <c r="P359" s="126">
        <v>0</v>
      </c>
      <c r="Q359" s="127">
        <v>0</v>
      </c>
      <c r="R359" s="84">
        <v>1</v>
      </c>
      <c r="T359" s="100" t="e">
        <v>#N/A</v>
      </c>
      <c r="U359" s="121">
        <v>0</v>
      </c>
      <c r="V359" s="59" t="str">
        <v>X,</v>
      </c>
      <c r="W359" s="126" t="str">
        <v>ひん</v>
      </c>
      <c r="X359" s="126">
        <v>0</v>
      </c>
      <c r="Y359" s="127">
        <v>0</v>
      </c>
      <c r="Z359" s="90">
        <v>1</v>
      </c>
    </row>
    <row r="360" spans="1:26" x14ac:dyDescent="0.4">
      <c r="A360" s="52">
        <v>359</v>
      </c>
      <c r="B360" s="51">
        <f t="shared" si="32"/>
        <v>12</v>
      </c>
      <c r="C360" s="50">
        <f t="shared" si="33"/>
        <v>29</v>
      </c>
      <c r="D360" s="64" t="e">
        <f t="shared" si="34"/>
        <v>#N/A</v>
      </c>
      <c r="E360" s="121" cm="1">
        <f t="array" ref="E360">INDEX(InputArea,B360,C360)</f>
        <v>0</v>
      </c>
      <c r="F360" s="59" t="str">
        <f t="shared" si="35"/>
        <v>X.</v>
      </c>
      <c r="G360" s="59" t="str">
        <f t="shared" si="36"/>
        <v>ひら</v>
      </c>
      <c r="H360" s="134"/>
      <c r="I360" s="135"/>
      <c r="J360" s="84">
        <f t="shared" si="37"/>
        <v>1</v>
      </c>
      <c r="K360" s="83"/>
      <c r="L360" s="64" t="e">
        <v>#N/A</v>
      </c>
      <c r="M360" s="121">
        <v>0</v>
      </c>
      <c r="N360" s="59" t="str">
        <v>X.</v>
      </c>
      <c r="O360" s="126" t="str">
        <v>ひら</v>
      </c>
      <c r="P360" s="126">
        <v>0</v>
      </c>
      <c r="Q360" s="127">
        <v>0</v>
      </c>
      <c r="R360" s="84">
        <v>1</v>
      </c>
      <c r="T360" s="100" t="e">
        <v>#N/A</v>
      </c>
      <c r="U360" s="121">
        <v>0</v>
      </c>
      <c r="V360" s="59" t="str">
        <v>X.</v>
      </c>
      <c r="W360" s="126" t="str">
        <v>ひら</v>
      </c>
      <c r="X360" s="126">
        <v>0</v>
      </c>
      <c r="Y360" s="127">
        <v>0</v>
      </c>
      <c r="Z360" s="90">
        <v>1</v>
      </c>
    </row>
    <row r="361" spans="1:26" x14ac:dyDescent="0.4">
      <c r="A361" s="52">
        <v>360</v>
      </c>
      <c r="B361" s="51">
        <f t="shared" si="32"/>
        <v>12</v>
      </c>
      <c r="C361" s="50">
        <f t="shared" si="33"/>
        <v>30</v>
      </c>
      <c r="D361" s="64" t="e">
        <f t="shared" si="34"/>
        <v>#N/A</v>
      </c>
      <c r="E361" s="121" cm="1">
        <f t="array" ref="E361">INDEX(InputArea,B361,C361)</f>
        <v>0</v>
      </c>
      <c r="F361" s="59" t="str">
        <f t="shared" si="35"/>
        <v>X/</v>
      </c>
      <c r="G361" s="59" t="str">
        <f t="shared" si="36"/>
        <v>ひれ</v>
      </c>
      <c r="H361" s="134"/>
      <c r="I361" s="135"/>
      <c r="J361" s="84">
        <f t="shared" si="37"/>
        <v>1</v>
      </c>
      <c r="K361" s="83"/>
      <c r="L361" s="64" t="e">
        <v>#N/A</v>
      </c>
      <c r="M361" s="121">
        <v>0</v>
      </c>
      <c r="N361" s="59" t="str">
        <v>X/</v>
      </c>
      <c r="O361" s="126" t="str">
        <v>ひれ</v>
      </c>
      <c r="P361" s="126">
        <v>0</v>
      </c>
      <c r="Q361" s="127">
        <v>0</v>
      </c>
      <c r="R361" s="84">
        <v>1</v>
      </c>
      <c r="T361" s="100" t="e">
        <v>#N/A</v>
      </c>
      <c r="U361" s="121">
        <v>0</v>
      </c>
      <c r="V361" s="59" t="str">
        <v>X/</v>
      </c>
      <c r="W361" s="126" t="str">
        <v>ひれ</v>
      </c>
      <c r="X361" s="126">
        <v>0</v>
      </c>
      <c r="Y361" s="127">
        <v>0</v>
      </c>
      <c r="Z361" s="90">
        <v>1</v>
      </c>
    </row>
    <row r="362" spans="1:26" x14ac:dyDescent="0.4">
      <c r="A362" s="52">
        <v>361</v>
      </c>
      <c r="B362" s="51">
        <f t="shared" si="32"/>
        <v>13</v>
      </c>
      <c r="C362" s="50">
        <f t="shared" si="33"/>
        <v>1</v>
      </c>
      <c r="D362" s="64" t="e">
        <f t="shared" si="34"/>
        <v>#N/A</v>
      </c>
      <c r="E362" s="121" cm="1">
        <f t="array" ref="E362">INDEX(InputArea,B362,C362)</f>
        <v>0</v>
      </c>
      <c r="F362" s="59" t="str">
        <f t="shared" si="35"/>
        <v>CQ</v>
      </c>
      <c r="G362" s="59" t="str">
        <f t="shared" si="36"/>
        <v>はヴ</v>
      </c>
      <c r="H362" s="134"/>
      <c r="I362" s="135"/>
      <c r="J362" s="84">
        <f t="shared" si="37"/>
        <v>0</v>
      </c>
      <c r="K362" s="83"/>
      <c r="L362" s="64" t="e">
        <v>#N/A</v>
      </c>
      <c r="M362" s="121">
        <v>0</v>
      </c>
      <c r="N362" s="59" t="str">
        <v>CQ</v>
      </c>
      <c r="O362" s="126" t="str">
        <v>はヴ</v>
      </c>
      <c r="P362" s="126">
        <v>0</v>
      </c>
      <c r="Q362" s="127">
        <v>0</v>
      </c>
      <c r="R362" s="84">
        <v>0</v>
      </c>
      <c r="T362" s="100" t="e">
        <v>#N/A</v>
      </c>
      <c r="U362" s="121">
        <v>0</v>
      </c>
      <c r="V362" s="59" t="str">
        <v>CQ</v>
      </c>
      <c r="W362" s="126" t="str">
        <v>はヴ</v>
      </c>
      <c r="X362" s="126">
        <v>0</v>
      </c>
      <c r="Y362" s="127">
        <v>0</v>
      </c>
      <c r="Z362" s="90">
        <v>0</v>
      </c>
    </row>
    <row r="363" spans="1:26" x14ac:dyDescent="0.4">
      <c r="A363" s="52">
        <v>362</v>
      </c>
      <c r="B363" s="51">
        <f t="shared" si="32"/>
        <v>13</v>
      </c>
      <c r="C363" s="50">
        <f t="shared" si="33"/>
        <v>2</v>
      </c>
      <c r="D363" s="64" t="e">
        <f t="shared" si="34"/>
        <v>#N/A</v>
      </c>
      <c r="E363" s="121" cm="1">
        <f t="array" ref="E363">INDEX(InputArea,B363,C363)</f>
        <v>0</v>
      </c>
      <c r="F363" s="59" t="str">
        <f t="shared" si="35"/>
        <v>CW</v>
      </c>
      <c r="G363" s="59" t="str">
        <f t="shared" si="36"/>
        <v>はき</v>
      </c>
      <c r="H363" s="134"/>
      <c r="I363" s="135"/>
      <c r="J363" s="84">
        <f t="shared" si="37"/>
        <v>0</v>
      </c>
      <c r="K363" s="83"/>
      <c r="L363" s="64" t="e">
        <v>#N/A</v>
      </c>
      <c r="M363" s="121">
        <v>0</v>
      </c>
      <c r="N363" s="59" t="str">
        <v>CW</v>
      </c>
      <c r="O363" s="126" t="str">
        <v>はき</v>
      </c>
      <c r="P363" s="126">
        <v>0</v>
      </c>
      <c r="Q363" s="127">
        <v>0</v>
      </c>
      <c r="R363" s="84">
        <v>0</v>
      </c>
      <c r="T363" s="100" t="e">
        <v>#N/A</v>
      </c>
      <c r="U363" s="121">
        <v>0</v>
      </c>
      <c r="V363" s="59" t="str">
        <v>CW</v>
      </c>
      <c r="W363" s="126" t="str">
        <v>はき</v>
      </c>
      <c r="X363" s="126">
        <v>0</v>
      </c>
      <c r="Y363" s="127">
        <v>0</v>
      </c>
      <c r="Z363" s="90">
        <v>0</v>
      </c>
    </row>
    <row r="364" spans="1:26" x14ac:dyDescent="0.4">
      <c r="A364" s="52">
        <v>363</v>
      </c>
      <c r="B364" s="51">
        <f t="shared" si="32"/>
        <v>13</v>
      </c>
      <c r="C364" s="50">
        <f t="shared" si="33"/>
        <v>3</v>
      </c>
      <c r="D364" s="64" t="e">
        <f t="shared" si="34"/>
        <v>#N/A</v>
      </c>
      <c r="E364" s="121" cm="1">
        <f t="array" ref="E364">INDEX(InputArea,B364,C364)</f>
        <v>0</v>
      </c>
      <c r="F364" s="59" t="str">
        <f t="shared" si="35"/>
        <v>CE</v>
      </c>
      <c r="G364" s="59" t="str">
        <f t="shared" si="36"/>
        <v>はて</v>
      </c>
      <c r="H364" s="134"/>
      <c r="I364" s="136" t="s">
        <v>379</v>
      </c>
      <c r="J364" s="84">
        <f t="shared" si="37"/>
        <v>0</v>
      </c>
      <c r="K364" s="83"/>
      <c r="L364" s="64" t="e">
        <v>#N/A</v>
      </c>
      <c r="M364" s="121">
        <v>0</v>
      </c>
      <c r="N364" s="59" t="str">
        <v>CE</v>
      </c>
      <c r="O364" s="126" t="str">
        <v>はて</v>
      </c>
      <c r="P364" s="126">
        <v>0</v>
      </c>
      <c r="Q364" s="127" t="str">
        <v>せ</v>
      </c>
      <c r="R364" s="84">
        <v>0</v>
      </c>
      <c r="T364" s="100" t="e">
        <v>#N/A</v>
      </c>
      <c r="U364" s="121">
        <v>0</v>
      </c>
      <c r="V364" s="59" t="str">
        <v>CE</v>
      </c>
      <c r="W364" s="126" t="str">
        <v>はて</v>
      </c>
      <c r="X364" s="126">
        <v>0</v>
      </c>
      <c r="Y364" s="127" t="str">
        <v>せ</v>
      </c>
      <c r="Z364" s="90">
        <v>0</v>
      </c>
    </row>
    <row r="365" spans="1:26" x14ac:dyDescent="0.4">
      <c r="A365" s="52">
        <v>364</v>
      </c>
      <c r="B365" s="51">
        <f t="shared" si="32"/>
        <v>13</v>
      </c>
      <c r="C365" s="50">
        <f t="shared" si="33"/>
        <v>4</v>
      </c>
      <c r="D365" s="64" t="e">
        <f t="shared" si="34"/>
        <v>#N/A</v>
      </c>
      <c r="E365" s="121" cm="1">
        <f t="array" ref="E365">INDEX(InputArea,B365,C365)</f>
        <v>0</v>
      </c>
      <c r="F365" s="59" t="str">
        <f t="shared" si="35"/>
        <v>CR</v>
      </c>
      <c r="G365" s="59" t="str">
        <f t="shared" si="36"/>
        <v>はし</v>
      </c>
      <c r="H365" s="134"/>
      <c r="I365" s="135"/>
      <c r="J365" s="84">
        <f t="shared" si="37"/>
        <v>0</v>
      </c>
      <c r="K365" s="83"/>
      <c r="L365" s="64" t="e">
        <v>#N/A</v>
      </c>
      <c r="M365" s="121">
        <v>0</v>
      </c>
      <c r="N365" s="59" t="str">
        <v>CR</v>
      </c>
      <c r="O365" s="126" t="str">
        <v>はし</v>
      </c>
      <c r="P365" s="126">
        <v>0</v>
      </c>
      <c r="Q365" s="127">
        <v>0</v>
      </c>
      <c r="R365" s="84">
        <v>0</v>
      </c>
      <c r="T365" s="100" t="e">
        <v>#N/A</v>
      </c>
      <c r="U365" s="121">
        <v>0</v>
      </c>
      <c r="V365" s="59" t="str">
        <v>CR</v>
      </c>
      <c r="W365" s="126" t="str">
        <v>はし</v>
      </c>
      <c r="X365" s="126">
        <v>0</v>
      </c>
      <c r="Y365" s="127">
        <v>0</v>
      </c>
      <c r="Z365" s="90">
        <v>0</v>
      </c>
    </row>
    <row r="366" spans="1:26" x14ac:dyDescent="0.4">
      <c r="A366" s="52">
        <v>365</v>
      </c>
      <c r="B366" s="51">
        <f t="shared" si="32"/>
        <v>13</v>
      </c>
      <c r="C366" s="50">
        <f t="shared" si="33"/>
        <v>5</v>
      </c>
      <c r="D366" s="64" t="e">
        <f t="shared" si="34"/>
        <v>#N/A</v>
      </c>
      <c r="E366" s="121" cm="1">
        <f t="array" ref="E366">INDEX(InputArea,B366,C366)</f>
        <v>0</v>
      </c>
      <c r="F366" s="59" t="str">
        <f t="shared" si="35"/>
        <v>CT</v>
      </c>
      <c r="G366" s="59" t="str">
        <f t="shared" si="36"/>
        <v>は←</v>
      </c>
      <c r="H366" s="134"/>
      <c r="I366" s="135"/>
      <c r="J366" s="84">
        <f t="shared" si="37"/>
        <v>0</v>
      </c>
      <c r="K366" s="83"/>
      <c r="L366" s="64" t="e">
        <v>#N/A</v>
      </c>
      <c r="M366" s="121">
        <v>0</v>
      </c>
      <c r="N366" s="59" t="str">
        <v>CT</v>
      </c>
      <c r="O366" s="126" t="str">
        <v>は←</v>
      </c>
      <c r="P366" s="126">
        <v>0</v>
      </c>
      <c r="Q366" s="127">
        <v>0</v>
      </c>
      <c r="R366" s="84">
        <v>0</v>
      </c>
      <c r="T366" s="100" t="e">
        <v>#N/A</v>
      </c>
      <c r="U366" s="121">
        <v>0</v>
      </c>
      <c r="V366" s="59" t="str">
        <v>CT</v>
      </c>
      <c r="W366" s="126" t="str">
        <v>は←</v>
      </c>
      <c r="X366" s="126">
        <v>0</v>
      </c>
      <c r="Y366" s="127">
        <v>0</v>
      </c>
      <c r="Z366" s="90">
        <v>0</v>
      </c>
    </row>
    <row r="367" spans="1:26" x14ac:dyDescent="0.4">
      <c r="A367" s="52">
        <v>366</v>
      </c>
      <c r="B367" s="51">
        <f t="shared" si="32"/>
        <v>13</v>
      </c>
      <c r="C367" s="50">
        <f t="shared" si="33"/>
        <v>6</v>
      </c>
      <c r="D367" s="64" t="e">
        <f t="shared" si="34"/>
        <v>#N/A</v>
      </c>
      <c r="E367" s="121" cm="1">
        <f t="array" ref="E367">INDEX(InputArea,B367,C367)</f>
        <v>0</v>
      </c>
      <c r="F367" s="59" t="str">
        <f t="shared" si="35"/>
        <v>CA</v>
      </c>
      <c r="G367" s="59" t="str">
        <f t="shared" si="36"/>
        <v>はろ</v>
      </c>
      <c r="H367" s="134"/>
      <c r="I367" s="136" t="s">
        <v>404</v>
      </c>
      <c r="J367" s="84">
        <f t="shared" si="37"/>
        <v>0</v>
      </c>
      <c r="K367" s="83"/>
      <c r="L367" s="64" t="e">
        <v>#N/A</v>
      </c>
      <c r="M367" s="121">
        <v>0</v>
      </c>
      <c r="N367" s="59" t="str">
        <v>CA</v>
      </c>
      <c r="O367" s="126" t="str">
        <v>はろ</v>
      </c>
      <c r="P367" s="126">
        <v>0</v>
      </c>
      <c r="Q367" s="127" t="str">
        <v>か</v>
      </c>
      <c r="R367" s="84">
        <v>0</v>
      </c>
      <c r="T367" s="100" t="e">
        <v>#N/A</v>
      </c>
      <c r="U367" s="121">
        <v>0</v>
      </c>
      <c r="V367" s="59" t="str">
        <v>CA</v>
      </c>
      <c r="W367" s="126" t="str">
        <v>はろ</v>
      </c>
      <c r="X367" s="126">
        <v>0</v>
      </c>
      <c r="Y367" s="127" t="str">
        <v>か</v>
      </c>
      <c r="Z367" s="90">
        <v>0</v>
      </c>
    </row>
    <row r="368" spans="1:26" x14ac:dyDescent="0.4">
      <c r="A368" s="52">
        <v>367</v>
      </c>
      <c r="B368" s="51">
        <f t="shared" si="32"/>
        <v>13</v>
      </c>
      <c r="C368" s="50">
        <f t="shared" si="33"/>
        <v>7</v>
      </c>
      <c r="D368" s="64" t="e">
        <f t="shared" si="34"/>
        <v>#N/A</v>
      </c>
      <c r="E368" s="121" cm="1">
        <f t="array" ref="E368">INDEX(InputArea,B368,C368)</f>
        <v>0</v>
      </c>
      <c r="F368" s="59" t="str">
        <f t="shared" si="35"/>
        <v>CS</v>
      </c>
      <c r="G368" s="59" t="str">
        <f t="shared" si="36"/>
        <v>はけ</v>
      </c>
      <c r="H368" s="134"/>
      <c r="I368" s="135"/>
      <c r="J368" s="84">
        <f t="shared" si="37"/>
        <v>0</v>
      </c>
      <c r="K368" s="83"/>
      <c r="L368" s="64" t="e">
        <v>#N/A</v>
      </c>
      <c r="M368" s="121">
        <v>0</v>
      </c>
      <c r="N368" s="59" t="str">
        <v>CS</v>
      </c>
      <c r="O368" s="126" t="str">
        <v>はけ</v>
      </c>
      <c r="P368" s="126">
        <v>0</v>
      </c>
      <c r="Q368" s="127">
        <v>0</v>
      </c>
      <c r="R368" s="84">
        <v>0</v>
      </c>
      <c r="T368" s="100" t="e">
        <v>#N/A</v>
      </c>
      <c r="U368" s="121">
        <v>0</v>
      </c>
      <c r="V368" s="59" t="str">
        <v>CS</v>
      </c>
      <c r="W368" s="126" t="str">
        <v>はけ</v>
      </c>
      <c r="X368" s="126">
        <v>0</v>
      </c>
      <c r="Y368" s="127">
        <v>0</v>
      </c>
      <c r="Z368" s="90">
        <v>0</v>
      </c>
    </row>
    <row r="369" spans="1:26" x14ac:dyDescent="0.4">
      <c r="A369" s="52">
        <v>368</v>
      </c>
      <c r="B369" s="51">
        <f t="shared" si="32"/>
        <v>13</v>
      </c>
      <c r="C369" s="50">
        <f t="shared" si="33"/>
        <v>8</v>
      </c>
      <c r="D369" s="64" t="e">
        <f t="shared" si="34"/>
        <v>#N/A</v>
      </c>
      <c r="E369" s="121" cm="1">
        <f t="array" ref="E369">INDEX(InputArea,B369,C369)</f>
        <v>0</v>
      </c>
      <c r="F369" s="59" t="str">
        <f t="shared" si="35"/>
        <v>CD</v>
      </c>
      <c r="G369" s="59" t="str">
        <f t="shared" si="36"/>
        <v>はと</v>
      </c>
      <c r="H369" s="134"/>
      <c r="I369" s="135"/>
      <c r="J369" s="84">
        <f t="shared" si="37"/>
        <v>0</v>
      </c>
      <c r="K369" s="83"/>
      <c r="L369" s="64" t="e">
        <v>#N/A</v>
      </c>
      <c r="M369" s="121">
        <v>0</v>
      </c>
      <c r="N369" s="59" t="str">
        <v>CD</v>
      </c>
      <c r="O369" s="126" t="str">
        <v>はと</v>
      </c>
      <c r="P369" s="126">
        <v>0</v>
      </c>
      <c r="Q369" s="127">
        <v>0</v>
      </c>
      <c r="R369" s="84">
        <v>0</v>
      </c>
      <c r="T369" s="100" t="e">
        <v>#N/A</v>
      </c>
      <c r="U369" s="121">
        <v>0</v>
      </c>
      <c r="V369" s="59" t="str">
        <v>CD</v>
      </c>
      <c r="W369" s="126" t="str">
        <v>はと</v>
      </c>
      <c r="X369" s="126">
        <v>0</v>
      </c>
      <c r="Y369" s="127">
        <v>0</v>
      </c>
      <c r="Z369" s="90">
        <v>0</v>
      </c>
    </row>
    <row r="370" spans="1:26" x14ac:dyDescent="0.4">
      <c r="A370" s="52">
        <v>369</v>
      </c>
      <c r="B370" s="51">
        <f t="shared" si="32"/>
        <v>13</v>
      </c>
      <c r="C370" s="50">
        <f t="shared" si="33"/>
        <v>9</v>
      </c>
      <c r="D370" s="64" t="e">
        <f t="shared" si="34"/>
        <v>#N/A</v>
      </c>
      <c r="E370" s="121" cm="1">
        <f t="array" ref="E370">INDEX(InputArea,B370,C370)</f>
        <v>0</v>
      </c>
      <c r="F370" s="59" t="str">
        <f t="shared" si="35"/>
        <v>CF</v>
      </c>
      <c r="G370" s="59" t="str">
        <f t="shared" si="36"/>
        <v>はか</v>
      </c>
      <c r="H370" s="134"/>
      <c r="I370" s="135"/>
      <c r="J370" s="84">
        <f t="shared" si="37"/>
        <v>0</v>
      </c>
      <c r="K370" s="83"/>
      <c r="L370" s="64" t="e">
        <v>#N/A</v>
      </c>
      <c r="M370" s="121">
        <v>0</v>
      </c>
      <c r="N370" s="59" t="str">
        <v>CF</v>
      </c>
      <c r="O370" s="126" t="str">
        <v>はか</v>
      </c>
      <c r="P370" s="126">
        <v>0</v>
      </c>
      <c r="Q370" s="127">
        <v>0</v>
      </c>
      <c r="R370" s="84">
        <v>0</v>
      </c>
      <c r="T370" s="100" t="e">
        <v>#N/A</v>
      </c>
      <c r="U370" s="121">
        <v>0</v>
      </c>
      <c r="V370" s="59" t="str">
        <v>CF</v>
      </c>
      <c r="W370" s="126" t="str">
        <v>はか</v>
      </c>
      <c r="X370" s="126">
        <v>0</v>
      </c>
      <c r="Y370" s="127">
        <v>0</v>
      </c>
      <c r="Z370" s="90">
        <v>0</v>
      </c>
    </row>
    <row r="371" spans="1:26" x14ac:dyDescent="0.4">
      <c r="A371" s="52">
        <v>370</v>
      </c>
      <c r="B371" s="51">
        <f t="shared" si="32"/>
        <v>13</v>
      </c>
      <c r="C371" s="50">
        <f t="shared" si="33"/>
        <v>10</v>
      </c>
      <c r="D371" s="64" t="e">
        <f t="shared" si="34"/>
        <v>#N/A</v>
      </c>
      <c r="E371" s="121" cm="1">
        <f t="array" ref="E371">INDEX(InputArea,B371,C371)</f>
        <v>0</v>
      </c>
      <c r="F371" s="59" t="str">
        <f t="shared" si="35"/>
        <v>CG</v>
      </c>
      <c r="G371" s="59" t="str">
        <f t="shared" si="36"/>
        <v>はっ</v>
      </c>
      <c r="H371" s="134"/>
      <c r="I371" s="135"/>
      <c r="J371" s="84">
        <f t="shared" si="37"/>
        <v>0</v>
      </c>
      <c r="K371" s="83"/>
      <c r="L371" s="64" t="e">
        <v>#N/A</v>
      </c>
      <c r="M371" s="121">
        <v>0</v>
      </c>
      <c r="N371" s="59" t="str">
        <v>CG</v>
      </c>
      <c r="O371" s="126" t="str">
        <v>はっ</v>
      </c>
      <c r="P371" s="126">
        <v>0</v>
      </c>
      <c r="Q371" s="127">
        <v>0</v>
      </c>
      <c r="R371" s="84">
        <v>0</v>
      </c>
      <c r="T371" s="100" t="e">
        <v>#N/A</v>
      </c>
      <c r="U371" s="121">
        <v>0</v>
      </c>
      <c r="V371" s="59" t="str">
        <v>CG</v>
      </c>
      <c r="W371" s="126" t="str">
        <v>はっ</v>
      </c>
      <c r="X371" s="126">
        <v>0</v>
      </c>
      <c r="Y371" s="127">
        <v>0</v>
      </c>
      <c r="Z371" s="90">
        <v>0</v>
      </c>
    </row>
    <row r="372" spans="1:26" x14ac:dyDescent="0.4">
      <c r="A372" s="52">
        <v>371</v>
      </c>
      <c r="B372" s="51">
        <f t="shared" si="32"/>
        <v>13</v>
      </c>
      <c r="C372" s="50">
        <f t="shared" si="33"/>
        <v>11</v>
      </c>
      <c r="D372" s="64" t="e">
        <f t="shared" si="34"/>
        <v>#N/A</v>
      </c>
      <c r="E372" s="121" cm="1">
        <f t="array" ref="E372">INDEX(InputArea,B372,C372)</f>
        <v>0</v>
      </c>
      <c r="F372" s="59" t="str">
        <f t="shared" si="35"/>
        <v>CZ</v>
      </c>
      <c r="G372" s="59" t="str">
        <f t="shared" si="36"/>
        <v>はほ</v>
      </c>
      <c r="H372" s="134"/>
      <c r="I372" s="135"/>
      <c r="J372" s="84">
        <f t="shared" si="37"/>
        <v>0</v>
      </c>
      <c r="K372" s="83"/>
      <c r="L372" s="64" t="e">
        <v>#N/A</v>
      </c>
      <c r="M372" s="121">
        <v>0</v>
      </c>
      <c r="N372" s="59" t="str">
        <v>CZ</v>
      </c>
      <c r="O372" s="126" t="str">
        <v>はほ</v>
      </c>
      <c r="P372" s="126">
        <v>0</v>
      </c>
      <c r="Q372" s="127">
        <v>0</v>
      </c>
      <c r="R372" s="84">
        <v>0</v>
      </c>
      <c r="T372" s="100" t="e">
        <v>#N/A</v>
      </c>
      <c r="U372" s="121">
        <v>0</v>
      </c>
      <c r="V372" s="59" t="str">
        <v>CZ</v>
      </c>
      <c r="W372" s="126" t="str">
        <v>はほ</v>
      </c>
      <c r="X372" s="126">
        <v>0</v>
      </c>
      <c r="Y372" s="127">
        <v>0</v>
      </c>
      <c r="Z372" s="90">
        <v>0</v>
      </c>
    </row>
    <row r="373" spans="1:26" x14ac:dyDescent="0.4">
      <c r="A373" s="52">
        <v>372</v>
      </c>
      <c r="B373" s="51">
        <f t="shared" si="32"/>
        <v>13</v>
      </c>
      <c r="C373" s="50">
        <f t="shared" si="33"/>
        <v>12</v>
      </c>
      <c r="D373" s="64" t="e">
        <f t="shared" si="34"/>
        <v>#N/A</v>
      </c>
      <c r="E373" s="121" cm="1">
        <f t="array" ref="E373">INDEX(InputArea,B373,C373)</f>
        <v>0</v>
      </c>
      <c r="F373" s="59" t="str">
        <f t="shared" si="35"/>
        <v>CX</v>
      </c>
      <c r="G373" s="59" t="str">
        <f t="shared" si="36"/>
        <v>はひ</v>
      </c>
      <c r="H373" s="134"/>
      <c r="I373" s="135"/>
      <c r="J373" s="84">
        <f t="shared" si="37"/>
        <v>0</v>
      </c>
      <c r="K373" s="83"/>
      <c r="L373" s="64" t="e">
        <v>#N/A</v>
      </c>
      <c r="M373" s="121">
        <v>0</v>
      </c>
      <c r="N373" s="59" t="str">
        <v>CX</v>
      </c>
      <c r="O373" s="126" t="str">
        <v>はひ</v>
      </c>
      <c r="P373" s="126">
        <v>0</v>
      </c>
      <c r="Q373" s="127">
        <v>0</v>
      </c>
      <c r="R373" s="84">
        <v>0</v>
      </c>
      <c r="T373" s="100" t="e">
        <v>#N/A</v>
      </c>
      <c r="U373" s="121">
        <v>0</v>
      </c>
      <c r="V373" s="59" t="str">
        <v>CX</v>
      </c>
      <c r="W373" s="126" t="str">
        <v>はひ</v>
      </c>
      <c r="X373" s="126">
        <v>0</v>
      </c>
      <c r="Y373" s="127">
        <v>0</v>
      </c>
      <c r="Z373" s="90">
        <v>0</v>
      </c>
    </row>
    <row r="374" spans="1:26" x14ac:dyDescent="0.4">
      <c r="A374" s="52">
        <v>373</v>
      </c>
      <c r="B374" s="51">
        <f t="shared" si="32"/>
        <v>13</v>
      </c>
      <c r="C374" s="50">
        <f t="shared" si="33"/>
        <v>13</v>
      </c>
      <c r="D374" s="64" t="e">
        <f t="shared" si="34"/>
        <v>#N/A</v>
      </c>
      <c r="E374" s="121" cm="1">
        <f t="array" ref="E374">INDEX(InputArea,B374,C374)</f>
        <v>0</v>
      </c>
      <c r="F374" s="59" t="str">
        <f t="shared" si="35"/>
        <v>CC</v>
      </c>
      <c r="G374" s="59" t="str">
        <f t="shared" si="36"/>
        <v>はは</v>
      </c>
      <c r="H374" s="134"/>
      <c r="I374" s="136" t="s">
        <v>405</v>
      </c>
      <c r="J374" s="84">
        <f t="shared" si="37"/>
        <v>0</v>
      </c>
      <c r="K374" s="83"/>
      <c r="L374" s="64" t="e">
        <v>#N/A</v>
      </c>
      <c r="M374" s="121">
        <v>0</v>
      </c>
      <c r="N374" s="59" t="str">
        <v>CC</v>
      </c>
      <c r="O374" s="126" t="str">
        <v>はは</v>
      </c>
      <c r="P374" s="126">
        <v>0</v>
      </c>
      <c r="Q374" s="127" t="str">
        <v>っｃ</v>
      </c>
      <c r="R374" s="84">
        <v>0</v>
      </c>
      <c r="T374" s="100" t="e">
        <v>#N/A</v>
      </c>
      <c r="U374" s="121">
        <v>0</v>
      </c>
      <c r="V374" s="59" t="str">
        <v>CC</v>
      </c>
      <c r="W374" s="126" t="str">
        <v>はは</v>
      </c>
      <c r="X374" s="126">
        <v>0</v>
      </c>
      <c r="Y374" s="127" t="str">
        <v>っｃ</v>
      </c>
      <c r="Z374" s="90">
        <v>0</v>
      </c>
    </row>
    <row r="375" spans="1:26" x14ac:dyDescent="0.4">
      <c r="A375" s="52">
        <v>374</v>
      </c>
      <c r="B375" s="51">
        <f t="shared" si="32"/>
        <v>13</v>
      </c>
      <c r="C375" s="50">
        <f t="shared" si="33"/>
        <v>14</v>
      </c>
      <c r="D375" s="64" t="e">
        <f t="shared" si="34"/>
        <v>#N/A</v>
      </c>
      <c r="E375" s="121" cm="1">
        <f t="array" ref="E375">INDEX(InputArea,B375,C375)</f>
        <v>0</v>
      </c>
      <c r="F375" s="59" t="str">
        <f t="shared" si="35"/>
        <v>CV</v>
      </c>
      <c r="G375" s="59" t="str">
        <f t="shared" si="36"/>
        <v>はこ</v>
      </c>
      <c r="H375" s="137" t="s">
        <v>615</v>
      </c>
      <c r="I375" s="135"/>
      <c r="J375" s="84">
        <f t="shared" si="37"/>
        <v>0</v>
      </c>
      <c r="K375" s="83"/>
      <c r="L375" s="64" t="e">
        <v>#N/A</v>
      </c>
      <c r="M375" s="121">
        <v>0</v>
      </c>
      <c r="N375" s="59" t="str">
        <v>CV</v>
      </c>
      <c r="O375" s="126" t="str">
        <v>はこ</v>
      </c>
      <c r="P375" s="126" t="str">
        <v>編集</v>
      </c>
      <c r="Q375" s="127">
        <v>0</v>
      </c>
      <c r="R375" s="84">
        <v>0</v>
      </c>
      <c r="T375" s="100" t="e">
        <v>#N/A</v>
      </c>
      <c r="U375" s="121">
        <v>0</v>
      </c>
      <c r="V375" s="59" t="str">
        <v>CV</v>
      </c>
      <c r="W375" s="126" t="str">
        <v>はこ</v>
      </c>
      <c r="X375" s="126" t="str">
        <v>編集</v>
      </c>
      <c r="Y375" s="127">
        <v>0</v>
      </c>
      <c r="Z375" s="90">
        <v>0</v>
      </c>
    </row>
    <row r="376" spans="1:26" x14ac:dyDescent="0.4">
      <c r="A376" s="52">
        <v>375</v>
      </c>
      <c r="B376" s="51">
        <f t="shared" si="32"/>
        <v>13</v>
      </c>
      <c r="C376" s="50">
        <f t="shared" si="33"/>
        <v>15</v>
      </c>
      <c r="D376" s="64" t="e">
        <f t="shared" si="34"/>
        <v>#N/A</v>
      </c>
      <c r="E376" s="121" cm="1">
        <f t="array" ref="E376">INDEX(InputArea,B376,C376)</f>
        <v>0</v>
      </c>
      <c r="F376" s="59" t="str">
        <f t="shared" si="35"/>
        <v>CB</v>
      </c>
      <c r="G376" s="59" t="str">
        <f t="shared" si="36"/>
        <v>はそ</v>
      </c>
      <c r="H376" s="134"/>
      <c r="I376" s="135"/>
      <c r="J376" s="84">
        <f t="shared" si="37"/>
        <v>0</v>
      </c>
      <c r="K376" s="83"/>
      <c r="L376" s="64" t="e">
        <v>#N/A</v>
      </c>
      <c r="M376" s="121">
        <v>0</v>
      </c>
      <c r="N376" s="59" t="str">
        <v>CB</v>
      </c>
      <c r="O376" s="126" t="str">
        <v>はそ</v>
      </c>
      <c r="P376" s="126">
        <v>0</v>
      </c>
      <c r="Q376" s="127">
        <v>0</v>
      </c>
      <c r="R376" s="84">
        <v>0</v>
      </c>
      <c r="T376" s="100" t="e">
        <v>#N/A</v>
      </c>
      <c r="U376" s="121">
        <v>0</v>
      </c>
      <c r="V376" s="59" t="str">
        <v>CB</v>
      </c>
      <c r="W376" s="126" t="str">
        <v>はそ</v>
      </c>
      <c r="X376" s="126">
        <v>0</v>
      </c>
      <c r="Y376" s="127">
        <v>0</v>
      </c>
      <c r="Z376" s="90">
        <v>0</v>
      </c>
    </row>
    <row r="377" spans="1:26" x14ac:dyDescent="0.4">
      <c r="A377" s="52">
        <v>376</v>
      </c>
      <c r="B377" s="51">
        <f t="shared" si="32"/>
        <v>13</v>
      </c>
      <c r="C377" s="50">
        <f t="shared" si="33"/>
        <v>16</v>
      </c>
      <c r="D377" s="64" t="e">
        <f t="shared" si="34"/>
        <v>#N/A</v>
      </c>
      <c r="E377" s="121" cm="1">
        <f t="array" ref="E377">INDEX(InputArea,B377,C377)</f>
        <v>0</v>
      </c>
      <c r="F377" s="59" t="str">
        <f t="shared" si="35"/>
        <v>CY</v>
      </c>
      <c r="G377" s="59" t="str">
        <f t="shared" si="36"/>
        <v>は→</v>
      </c>
      <c r="H377" s="134"/>
      <c r="I377" s="136" t="s">
        <v>406</v>
      </c>
      <c r="J377" s="84">
        <f t="shared" si="37"/>
        <v>1</v>
      </c>
      <c r="K377" s="83"/>
      <c r="L377" s="64" t="e">
        <v>#N/A</v>
      </c>
      <c r="M377" s="121">
        <v>0</v>
      </c>
      <c r="N377" s="59" t="str">
        <v>CY</v>
      </c>
      <c r="O377" s="126" t="str">
        <v>は→</v>
      </c>
      <c r="P377" s="126">
        <v>0</v>
      </c>
      <c r="Q377" s="127" t="str">
        <v>ｃｙ</v>
      </c>
      <c r="R377" s="84">
        <v>1</v>
      </c>
      <c r="T377" s="100" t="e">
        <v>#N/A</v>
      </c>
      <c r="U377" s="121">
        <v>0</v>
      </c>
      <c r="V377" s="59" t="str">
        <v>CY</v>
      </c>
      <c r="W377" s="126" t="str">
        <v>は→</v>
      </c>
      <c r="X377" s="126">
        <v>0</v>
      </c>
      <c r="Y377" s="127" t="str">
        <v>ｃｙ</v>
      </c>
      <c r="Z377" s="90">
        <v>1</v>
      </c>
    </row>
    <row r="378" spans="1:26" x14ac:dyDescent="0.4">
      <c r="A378" s="52">
        <v>377</v>
      </c>
      <c r="B378" s="51">
        <f t="shared" si="32"/>
        <v>13</v>
      </c>
      <c r="C378" s="50">
        <f t="shared" si="33"/>
        <v>17</v>
      </c>
      <c r="D378" s="64" t="e">
        <f t="shared" si="34"/>
        <v>#N/A</v>
      </c>
      <c r="E378" s="121" cm="1">
        <f t="array" ref="E378">INDEX(InputArea,B378,C378)</f>
        <v>0</v>
      </c>
      <c r="F378" s="59" t="str">
        <f t="shared" si="35"/>
        <v>CU</v>
      </c>
      <c r="G378" s="59" t="str">
        <f t="shared" si="36"/>
        <v>はBS</v>
      </c>
      <c r="H378" s="134"/>
      <c r="I378" s="136" t="s">
        <v>297</v>
      </c>
      <c r="J378" s="84">
        <f t="shared" si="37"/>
        <v>1</v>
      </c>
      <c r="K378" s="83"/>
      <c r="L378" s="64" t="e">
        <v>#N/A</v>
      </c>
      <c r="M378" s="121">
        <v>0</v>
      </c>
      <c r="N378" s="59" t="str">
        <v>CU</v>
      </c>
      <c r="O378" s="126" t="str">
        <v>はBS</v>
      </c>
      <c r="P378" s="126">
        <v>0</v>
      </c>
      <c r="Q378" s="127" t="str">
        <v>く</v>
      </c>
      <c r="R378" s="84">
        <v>1</v>
      </c>
      <c r="T378" s="100" t="e">
        <v>#N/A</v>
      </c>
      <c r="U378" s="121">
        <v>0</v>
      </c>
      <c r="V378" s="59" t="str">
        <v>CU</v>
      </c>
      <c r="W378" s="126" t="str">
        <v>はBS</v>
      </c>
      <c r="X378" s="126">
        <v>0</v>
      </c>
      <c r="Y378" s="127" t="str">
        <v>く</v>
      </c>
      <c r="Z378" s="90">
        <v>1</v>
      </c>
    </row>
    <row r="379" spans="1:26" x14ac:dyDescent="0.4">
      <c r="A379" s="52">
        <v>378</v>
      </c>
      <c r="B379" s="51">
        <f t="shared" si="32"/>
        <v>13</v>
      </c>
      <c r="C379" s="50">
        <f t="shared" si="33"/>
        <v>18</v>
      </c>
      <c r="D379" s="64" t="e">
        <f t="shared" si="34"/>
        <v>#N/A</v>
      </c>
      <c r="E379" s="121" cm="1">
        <f t="array" ref="E379">INDEX(InputArea,B379,C379)</f>
        <v>0</v>
      </c>
      <c r="F379" s="59" t="str">
        <f t="shared" si="35"/>
        <v>CI</v>
      </c>
      <c r="G379" s="59" t="str">
        <f t="shared" si="36"/>
        <v>はる</v>
      </c>
      <c r="H379" s="134"/>
      <c r="I379" s="136" t="s">
        <v>384</v>
      </c>
      <c r="J379" s="84">
        <f t="shared" si="37"/>
        <v>1</v>
      </c>
      <c r="K379" s="83"/>
      <c r="L379" s="64" t="e">
        <v>#N/A</v>
      </c>
      <c r="M379" s="121">
        <v>0</v>
      </c>
      <c r="N379" s="59" t="str">
        <v>CI</v>
      </c>
      <c r="O379" s="126" t="str">
        <v>はる</v>
      </c>
      <c r="P379" s="126">
        <v>0</v>
      </c>
      <c r="Q379" s="127" t="str">
        <v>し</v>
      </c>
      <c r="R379" s="84">
        <v>1</v>
      </c>
      <c r="T379" s="100" t="e">
        <v>#N/A</v>
      </c>
      <c r="U379" s="121">
        <v>0</v>
      </c>
      <c r="V379" s="59" t="str">
        <v>CI</v>
      </c>
      <c r="W379" s="126" t="str">
        <v>はる</v>
      </c>
      <c r="X379" s="126">
        <v>0</v>
      </c>
      <c r="Y379" s="127" t="str">
        <v>し</v>
      </c>
      <c r="Z379" s="90">
        <v>1</v>
      </c>
    </row>
    <row r="380" spans="1:26" x14ac:dyDescent="0.4">
      <c r="A380" s="52">
        <v>379</v>
      </c>
      <c r="B380" s="51">
        <f t="shared" si="32"/>
        <v>13</v>
      </c>
      <c r="C380" s="50">
        <f t="shared" si="33"/>
        <v>19</v>
      </c>
      <c r="D380" s="64" t="e">
        <f t="shared" si="34"/>
        <v>#N/A</v>
      </c>
      <c r="E380" s="121" cm="1">
        <f t="array" ref="E380">INDEX(InputArea,B380,C380)</f>
        <v>0</v>
      </c>
      <c r="F380" s="59" t="str">
        <f t="shared" si="35"/>
        <v>CO</v>
      </c>
      <c r="G380" s="59" t="str">
        <f t="shared" si="36"/>
        <v>はす</v>
      </c>
      <c r="H380" s="134"/>
      <c r="I380" s="136" t="s">
        <v>407</v>
      </c>
      <c r="J380" s="84">
        <f t="shared" si="37"/>
        <v>1</v>
      </c>
      <c r="K380" s="83"/>
      <c r="L380" s="64" t="e">
        <v>#N/A</v>
      </c>
      <c r="M380" s="121">
        <v>0</v>
      </c>
      <c r="N380" s="59" t="str">
        <v>CO</v>
      </c>
      <c r="O380" s="126" t="str">
        <v>はす</v>
      </c>
      <c r="P380" s="126">
        <v>0</v>
      </c>
      <c r="Q380" s="127" t="str">
        <v>こ</v>
      </c>
      <c r="R380" s="84">
        <v>1</v>
      </c>
      <c r="T380" s="100" t="e">
        <v>#N/A</v>
      </c>
      <c r="U380" s="121">
        <v>0</v>
      </c>
      <c r="V380" s="59" t="str">
        <v>CO</v>
      </c>
      <c r="W380" s="126" t="str">
        <v>はす</v>
      </c>
      <c r="X380" s="126">
        <v>0</v>
      </c>
      <c r="Y380" s="127" t="str">
        <v>こ</v>
      </c>
      <c r="Z380" s="90">
        <v>1</v>
      </c>
    </row>
    <row r="381" spans="1:26" x14ac:dyDescent="0.4">
      <c r="A381" s="52">
        <v>380</v>
      </c>
      <c r="B381" s="51">
        <f t="shared" si="32"/>
        <v>13</v>
      </c>
      <c r="C381" s="50">
        <f t="shared" si="33"/>
        <v>20</v>
      </c>
      <c r="D381" s="64" t="e">
        <f t="shared" si="34"/>
        <v>#N/A</v>
      </c>
      <c r="E381" s="121" cm="1">
        <f t="array" ref="E381">INDEX(InputArea,B381,C381)</f>
        <v>0</v>
      </c>
      <c r="F381" s="59" t="str">
        <f t="shared" si="35"/>
        <v>CP</v>
      </c>
      <c r="G381" s="59" t="str">
        <f t="shared" si="36"/>
        <v>はへ</v>
      </c>
      <c r="H381" s="134"/>
      <c r="I381" s="135"/>
      <c r="J381" s="84">
        <f t="shared" si="37"/>
        <v>1</v>
      </c>
      <c r="K381" s="83"/>
      <c r="L381" s="64" t="e">
        <v>#N/A</v>
      </c>
      <c r="M381" s="121">
        <v>0</v>
      </c>
      <c r="N381" s="59" t="str">
        <v>CP</v>
      </c>
      <c r="O381" s="126" t="str">
        <v>はへ</v>
      </c>
      <c r="P381" s="126">
        <v>0</v>
      </c>
      <c r="Q381" s="127">
        <v>0</v>
      </c>
      <c r="R381" s="84">
        <v>1</v>
      </c>
      <c r="T381" s="100" t="e">
        <v>#N/A</v>
      </c>
      <c r="U381" s="121">
        <v>0</v>
      </c>
      <c r="V381" s="59" t="str">
        <v>CP</v>
      </c>
      <c r="W381" s="126" t="str">
        <v>はへ</v>
      </c>
      <c r="X381" s="126">
        <v>0</v>
      </c>
      <c r="Y381" s="127">
        <v>0</v>
      </c>
      <c r="Z381" s="90">
        <v>1</v>
      </c>
    </row>
    <row r="382" spans="1:26" x14ac:dyDescent="0.4">
      <c r="A382" s="52">
        <v>381</v>
      </c>
      <c r="B382" s="51">
        <f t="shared" si="32"/>
        <v>13</v>
      </c>
      <c r="C382" s="50">
        <f t="shared" si="33"/>
        <v>21</v>
      </c>
      <c r="D382" s="64" t="e">
        <f t="shared" si="34"/>
        <v>#N/A</v>
      </c>
      <c r="E382" s="121" cm="1">
        <f t="array" ref="E382">INDEX(InputArea,B382,C382)</f>
        <v>0</v>
      </c>
      <c r="F382" s="59" t="str">
        <f t="shared" si="35"/>
        <v>CH</v>
      </c>
      <c r="G382" s="59" t="str">
        <f t="shared" si="36"/>
        <v>はく</v>
      </c>
      <c r="H382" s="134"/>
      <c r="I382" s="136" t="s">
        <v>408</v>
      </c>
      <c r="J382" s="84">
        <f t="shared" si="37"/>
        <v>1</v>
      </c>
      <c r="K382" s="83"/>
      <c r="L382" s="64" t="e">
        <v>#N/A</v>
      </c>
      <c r="M382" s="121">
        <v>0</v>
      </c>
      <c r="N382" s="59" t="str">
        <v>CH</v>
      </c>
      <c r="O382" s="126" t="str">
        <v>はく</v>
      </c>
      <c r="P382" s="126">
        <v>0</v>
      </c>
      <c r="Q382" s="127" t="str">
        <v>ｃｈ</v>
      </c>
      <c r="R382" s="84">
        <v>1</v>
      </c>
      <c r="T382" s="100" t="e">
        <v>#N/A</v>
      </c>
      <c r="U382" s="121">
        <v>0</v>
      </c>
      <c r="V382" s="59" t="str">
        <v>CH</v>
      </c>
      <c r="W382" s="126" t="str">
        <v>はく</v>
      </c>
      <c r="X382" s="126">
        <v>0</v>
      </c>
      <c r="Y382" s="127" t="str">
        <v>ｃｈ</v>
      </c>
      <c r="Z382" s="90">
        <v>1</v>
      </c>
    </row>
    <row r="383" spans="1:26" x14ac:dyDescent="0.4">
      <c r="A383" s="52">
        <v>382</v>
      </c>
      <c r="B383" s="51">
        <f t="shared" si="32"/>
        <v>13</v>
      </c>
      <c r="C383" s="50">
        <f t="shared" si="33"/>
        <v>22</v>
      </c>
      <c r="D383" s="64" t="e">
        <f t="shared" si="34"/>
        <v>#N/A</v>
      </c>
      <c r="E383" s="121" cm="1">
        <f t="array" ref="E383">INDEX(InputArea,B383,C383)</f>
        <v>0</v>
      </c>
      <c r="F383" s="59" t="str">
        <f t="shared" si="35"/>
        <v>CJ</v>
      </c>
      <c r="G383" s="59" t="str">
        <f t="shared" si="36"/>
        <v>はあ</v>
      </c>
      <c r="H383" s="137" t="s">
        <v>276</v>
      </c>
      <c r="I383" s="135"/>
      <c r="J383" s="84">
        <f t="shared" si="37"/>
        <v>1</v>
      </c>
      <c r="K383" s="83"/>
      <c r="L383" s="64" t="e">
        <v>#N/A</v>
      </c>
      <c r="M383" s="121">
        <v>0</v>
      </c>
      <c r="N383" s="59" t="str">
        <v>CJ</v>
      </c>
      <c r="O383" s="126" t="str">
        <v>はあ</v>
      </c>
      <c r="P383" s="126" t="str">
        <v>ば</v>
      </c>
      <c r="Q383" s="127">
        <v>0</v>
      </c>
      <c r="R383" s="84">
        <v>1</v>
      </c>
      <c r="T383" s="100" t="e">
        <v>#N/A</v>
      </c>
      <c r="U383" s="121">
        <v>0</v>
      </c>
      <c r="V383" s="59" t="str">
        <v>CJ</v>
      </c>
      <c r="W383" s="126" t="str">
        <v>はあ</v>
      </c>
      <c r="X383" s="126" t="str">
        <v>ば</v>
      </c>
      <c r="Y383" s="127">
        <v>0</v>
      </c>
      <c r="Z383" s="90">
        <v>1</v>
      </c>
    </row>
    <row r="384" spans="1:26" x14ac:dyDescent="0.4">
      <c r="A384" s="52">
        <v>383</v>
      </c>
      <c r="B384" s="51">
        <f t="shared" si="32"/>
        <v>13</v>
      </c>
      <c r="C384" s="50">
        <f t="shared" si="33"/>
        <v>23</v>
      </c>
      <c r="D384" s="64" t="e">
        <f t="shared" si="34"/>
        <v>#N/A</v>
      </c>
      <c r="E384" s="121" cm="1">
        <f t="array" ref="E384">INDEX(InputArea,B384,C384)</f>
        <v>0</v>
      </c>
      <c r="F384" s="59" t="str">
        <f t="shared" si="35"/>
        <v>CK</v>
      </c>
      <c r="G384" s="59" t="str">
        <f t="shared" si="36"/>
        <v>はい</v>
      </c>
      <c r="H384" s="134"/>
      <c r="I384" s="135"/>
      <c r="J384" s="84">
        <f t="shared" si="37"/>
        <v>1</v>
      </c>
      <c r="K384" s="83"/>
      <c r="L384" s="64" t="e">
        <v>#N/A</v>
      </c>
      <c r="M384" s="121">
        <v>0</v>
      </c>
      <c r="N384" s="59" t="str">
        <v>CK</v>
      </c>
      <c r="O384" s="126" t="str">
        <v>はい</v>
      </c>
      <c r="P384" s="126">
        <v>0</v>
      </c>
      <c r="Q384" s="127">
        <v>0</v>
      </c>
      <c r="R384" s="84">
        <v>1</v>
      </c>
      <c r="T384" s="100" t="e">
        <v>#N/A</v>
      </c>
      <c r="U384" s="121">
        <v>0</v>
      </c>
      <c r="V384" s="59" t="str">
        <v>CK</v>
      </c>
      <c r="W384" s="126" t="str">
        <v>はい</v>
      </c>
      <c r="X384" s="126">
        <v>0</v>
      </c>
      <c r="Y384" s="127">
        <v>0</v>
      </c>
      <c r="Z384" s="90">
        <v>1</v>
      </c>
    </row>
    <row r="385" spans="1:26" x14ac:dyDescent="0.4">
      <c r="A385" s="52">
        <v>384</v>
      </c>
      <c r="B385" s="51">
        <f t="shared" si="32"/>
        <v>13</v>
      </c>
      <c r="C385" s="50">
        <f t="shared" si="33"/>
        <v>24</v>
      </c>
      <c r="D385" s="64" t="e">
        <f t="shared" si="34"/>
        <v>#N/A</v>
      </c>
      <c r="E385" s="121" cm="1">
        <f t="array" ref="E385">INDEX(InputArea,B385,C385)</f>
        <v>0</v>
      </c>
      <c r="F385" s="59" t="str">
        <f t="shared" si="35"/>
        <v>CL</v>
      </c>
      <c r="G385" s="59" t="str">
        <f t="shared" si="36"/>
        <v>はう</v>
      </c>
      <c r="H385" s="134"/>
      <c r="I385" s="135"/>
      <c r="J385" s="84">
        <f t="shared" si="37"/>
        <v>1</v>
      </c>
      <c r="K385" s="83"/>
      <c r="L385" s="64" t="e">
        <v>#N/A</v>
      </c>
      <c r="M385" s="121">
        <v>0</v>
      </c>
      <c r="N385" s="59" t="str">
        <v>CL</v>
      </c>
      <c r="O385" s="126" t="str">
        <v>はう</v>
      </c>
      <c r="P385" s="126">
        <v>0</v>
      </c>
      <c r="Q385" s="127">
        <v>0</v>
      </c>
      <c r="R385" s="84">
        <v>1</v>
      </c>
      <c r="T385" s="100" t="e">
        <v>#N/A</v>
      </c>
      <c r="U385" s="121">
        <v>0</v>
      </c>
      <c r="V385" s="59" t="str">
        <v>CL</v>
      </c>
      <c r="W385" s="126" t="str">
        <v>はう</v>
      </c>
      <c r="X385" s="126">
        <v>0</v>
      </c>
      <c r="Y385" s="127">
        <v>0</v>
      </c>
      <c r="Z385" s="90">
        <v>1</v>
      </c>
    </row>
    <row r="386" spans="1:26" x14ac:dyDescent="0.4">
      <c r="A386" s="52">
        <v>385</v>
      </c>
      <c r="B386" s="51">
        <f t="shared" ref="B386:B449" si="38">_xlfn.CEILING.MATH(A386/COLUMNS(InputArea))</f>
        <v>13</v>
      </c>
      <c r="C386" s="50">
        <f t="shared" ref="C386:C449" si="39">MOD(A386-1,COLUMNS(InputArea))+1</f>
        <v>25</v>
      </c>
      <c r="D386" s="64" t="e">
        <f t="shared" ref="D386:D449" si="40">_xlfn.RANK.EQ(E386,InputArea,1)</f>
        <v>#N/A</v>
      </c>
      <c r="E386" s="121" cm="1">
        <f t="array" ref="E386">INDEX(InputArea,B386,C386)</f>
        <v>0</v>
      </c>
      <c r="F386" s="59" t="str">
        <f t="shared" ref="F386:F449" si="41">_xlfn.CONCAT(INDEX(RowName,B386),INDEX(ColName,,C386))</f>
        <v>C;</v>
      </c>
      <c r="G386" s="59" t="str">
        <f t="shared" ref="G386:G449" si="42">_xlfn.CONCAT(INDEX(RowKana,B386),INDEX(ColKana,,C386))</f>
        <v>はー</v>
      </c>
      <c r="H386" s="134"/>
      <c r="I386" s="135"/>
      <c r="J386" s="84">
        <f t="shared" si="37"/>
        <v>1</v>
      </c>
      <c r="K386" s="83"/>
      <c r="L386" s="64" t="e">
        <v>#N/A</v>
      </c>
      <c r="M386" s="121">
        <v>0</v>
      </c>
      <c r="N386" s="59" t="str">
        <v>C;</v>
      </c>
      <c r="O386" s="126" t="str">
        <v>はー</v>
      </c>
      <c r="P386" s="126">
        <v>0</v>
      </c>
      <c r="Q386" s="127">
        <v>0</v>
      </c>
      <c r="R386" s="84">
        <v>1</v>
      </c>
      <c r="T386" s="100" t="e">
        <v>#N/A</v>
      </c>
      <c r="U386" s="121">
        <v>0</v>
      </c>
      <c r="V386" s="59" t="str">
        <v>C;</v>
      </c>
      <c r="W386" s="126" t="str">
        <v>はー</v>
      </c>
      <c r="X386" s="126">
        <v>0</v>
      </c>
      <c r="Y386" s="127">
        <v>0</v>
      </c>
      <c r="Z386" s="90">
        <v>1</v>
      </c>
    </row>
    <row r="387" spans="1:26" x14ac:dyDescent="0.4">
      <c r="A387" s="52">
        <v>386</v>
      </c>
      <c r="B387" s="51">
        <f t="shared" si="38"/>
        <v>13</v>
      </c>
      <c r="C387" s="50">
        <f t="shared" si="39"/>
        <v>26</v>
      </c>
      <c r="D387" s="64" t="e">
        <f t="shared" si="40"/>
        <v>#N/A</v>
      </c>
      <c r="E387" s="121" cm="1">
        <f t="array" ref="E387">INDEX(InputArea,B387,C387)</f>
        <v>0</v>
      </c>
      <c r="F387" s="59" t="str">
        <f t="shared" si="41"/>
        <v>CN</v>
      </c>
      <c r="G387" s="59" t="str">
        <f t="shared" si="42"/>
        <v>はた</v>
      </c>
      <c r="H387" s="134"/>
      <c r="I387" s="135"/>
      <c r="J387" s="84">
        <f t="shared" ref="J387:J450" si="43">(_xlfn.CEILING.MATH(B387/15)-1)*2+_xlfn.CEILING.MATH(C387/15)-1</f>
        <v>1</v>
      </c>
      <c r="K387" s="83"/>
      <c r="L387" s="64" t="e">
        <v>#N/A</v>
      </c>
      <c r="M387" s="121">
        <v>0</v>
      </c>
      <c r="N387" s="59" t="str">
        <v>CN</v>
      </c>
      <c r="O387" s="126" t="str">
        <v>はた</v>
      </c>
      <c r="P387" s="126">
        <v>0</v>
      </c>
      <c r="Q387" s="127">
        <v>0</v>
      </c>
      <c r="R387" s="84">
        <v>1</v>
      </c>
      <c r="T387" s="100" t="e">
        <v>#N/A</v>
      </c>
      <c r="U387" s="121">
        <v>0</v>
      </c>
      <c r="V387" s="59" t="str">
        <v>CN</v>
      </c>
      <c r="W387" s="126" t="str">
        <v>はた</v>
      </c>
      <c r="X387" s="126">
        <v>0</v>
      </c>
      <c r="Y387" s="127">
        <v>0</v>
      </c>
      <c r="Z387" s="90">
        <v>1</v>
      </c>
    </row>
    <row r="388" spans="1:26" x14ac:dyDescent="0.4">
      <c r="A388" s="52">
        <v>387</v>
      </c>
      <c r="B388" s="51">
        <f t="shared" si="38"/>
        <v>13</v>
      </c>
      <c r="C388" s="50">
        <f t="shared" si="39"/>
        <v>27</v>
      </c>
      <c r="D388" s="64" t="e">
        <f t="shared" si="40"/>
        <v>#N/A</v>
      </c>
      <c r="E388" s="121" cm="1">
        <f t="array" ref="E388">INDEX(InputArea,B388,C388)</f>
        <v>0</v>
      </c>
      <c r="F388" s="59" t="str">
        <f t="shared" si="41"/>
        <v>CM</v>
      </c>
      <c r="G388" s="59" t="str">
        <f t="shared" si="42"/>
        <v>はな</v>
      </c>
      <c r="H388" s="134"/>
      <c r="I388" s="135"/>
      <c r="J388" s="84">
        <f t="shared" si="43"/>
        <v>1</v>
      </c>
      <c r="K388" s="83"/>
      <c r="L388" s="64" t="e">
        <v>#N/A</v>
      </c>
      <c r="M388" s="121">
        <v>0</v>
      </c>
      <c r="N388" s="59" t="str">
        <v>CM</v>
      </c>
      <c r="O388" s="126" t="str">
        <v>はな</v>
      </c>
      <c r="P388" s="126">
        <v>0</v>
      </c>
      <c r="Q388" s="127">
        <v>0</v>
      </c>
      <c r="R388" s="84">
        <v>1</v>
      </c>
      <c r="T388" s="100" t="e">
        <v>#N/A</v>
      </c>
      <c r="U388" s="121">
        <v>0</v>
      </c>
      <c r="V388" s="59" t="str">
        <v>CM</v>
      </c>
      <c r="W388" s="126" t="str">
        <v>はな</v>
      </c>
      <c r="X388" s="126">
        <v>0</v>
      </c>
      <c r="Y388" s="127">
        <v>0</v>
      </c>
      <c r="Z388" s="90">
        <v>1</v>
      </c>
    </row>
    <row r="389" spans="1:26" x14ac:dyDescent="0.4">
      <c r="A389" s="52">
        <v>388</v>
      </c>
      <c r="B389" s="51">
        <f t="shared" si="38"/>
        <v>13</v>
      </c>
      <c r="C389" s="50">
        <f t="shared" si="39"/>
        <v>28</v>
      </c>
      <c r="D389" s="64" t="e">
        <f t="shared" si="40"/>
        <v>#N/A</v>
      </c>
      <c r="E389" s="121" cm="1">
        <f t="array" ref="E389">INDEX(InputArea,B389,C389)</f>
        <v>0</v>
      </c>
      <c r="F389" s="59" t="str">
        <f t="shared" si="41"/>
        <v>C,</v>
      </c>
      <c r="G389" s="59" t="str">
        <f t="shared" si="42"/>
        <v>はん</v>
      </c>
      <c r="H389" s="134"/>
      <c r="I389" s="135"/>
      <c r="J389" s="84">
        <f t="shared" si="43"/>
        <v>1</v>
      </c>
      <c r="K389" s="83"/>
      <c r="L389" s="64" t="e">
        <v>#N/A</v>
      </c>
      <c r="M389" s="121">
        <v>0</v>
      </c>
      <c r="N389" s="59" t="str">
        <v>C,</v>
      </c>
      <c r="O389" s="126" t="str">
        <v>はん</v>
      </c>
      <c r="P389" s="126">
        <v>0</v>
      </c>
      <c r="Q389" s="127">
        <v>0</v>
      </c>
      <c r="R389" s="84">
        <v>1</v>
      </c>
      <c r="T389" s="100" t="e">
        <v>#N/A</v>
      </c>
      <c r="U389" s="121">
        <v>0</v>
      </c>
      <c r="V389" s="59" t="str">
        <v>C,</v>
      </c>
      <c r="W389" s="126" t="str">
        <v>はん</v>
      </c>
      <c r="X389" s="126">
        <v>0</v>
      </c>
      <c r="Y389" s="127">
        <v>0</v>
      </c>
      <c r="Z389" s="90">
        <v>1</v>
      </c>
    </row>
    <row r="390" spans="1:26" x14ac:dyDescent="0.4">
      <c r="A390" s="52">
        <v>389</v>
      </c>
      <c r="B390" s="51">
        <f t="shared" si="38"/>
        <v>13</v>
      </c>
      <c r="C390" s="50">
        <f t="shared" si="39"/>
        <v>29</v>
      </c>
      <c r="D390" s="64" t="e">
        <f t="shared" si="40"/>
        <v>#N/A</v>
      </c>
      <c r="E390" s="121" cm="1">
        <f t="array" ref="E390">INDEX(InputArea,B390,C390)</f>
        <v>0</v>
      </c>
      <c r="F390" s="59" t="str">
        <f t="shared" si="41"/>
        <v>C.</v>
      </c>
      <c r="G390" s="59" t="str">
        <f t="shared" si="42"/>
        <v>はら</v>
      </c>
      <c r="H390" s="134"/>
      <c r="I390" s="135"/>
      <c r="J390" s="84">
        <f t="shared" si="43"/>
        <v>1</v>
      </c>
      <c r="K390" s="83"/>
      <c r="L390" s="64" t="e">
        <v>#N/A</v>
      </c>
      <c r="M390" s="121">
        <v>0</v>
      </c>
      <c r="N390" s="59" t="str">
        <v>C.</v>
      </c>
      <c r="O390" s="126" t="str">
        <v>はら</v>
      </c>
      <c r="P390" s="126">
        <v>0</v>
      </c>
      <c r="Q390" s="127">
        <v>0</v>
      </c>
      <c r="R390" s="84">
        <v>1</v>
      </c>
      <c r="T390" s="100" t="e">
        <v>#N/A</v>
      </c>
      <c r="U390" s="121">
        <v>0</v>
      </c>
      <c r="V390" s="59" t="str">
        <v>C.</v>
      </c>
      <c r="W390" s="126" t="str">
        <v>はら</v>
      </c>
      <c r="X390" s="126">
        <v>0</v>
      </c>
      <c r="Y390" s="127">
        <v>0</v>
      </c>
      <c r="Z390" s="90">
        <v>1</v>
      </c>
    </row>
    <row r="391" spans="1:26" x14ac:dyDescent="0.4">
      <c r="A391" s="52">
        <v>390</v>
      </c>
      <c r="B391" s="51">
        <f t="shared" si="38"/>
        <v>13</v>
      </c>
      <c r="C391" s="50">
        <f t="shared" si="39"/>
        <v>30</v>
      </c>
      <c r="D391" s="64" t="e">
        <f t="shared" si="40"/>
        <v>#N/A</v>
      </c>
      <c r="E391" s="121" cm="1">
        <f t="array" ref="E391">INDEX(InputArea,B391,C391)</f>
        <v>0</v>
      </c>
      <c r="F391" s="59" t="str">
        <f t="shared" si="41"/>
        <v>C/</v>
      </c>
      <c r="G391" s="59" t="str">
        <f t="shared" si="42"/>
        <v>はれ</v>
      </c>
      <c r="H391" s="134"/>
      <c r="I391" s="135"/>
      <c r="J391" s="84">
        <f t="shared" si="43"/>
        <v>1</v>
      </c>
      <c r="K391" s="83"/>
      <c r="L391" s="64" t="e">
        <v>#N/A</v>
      </c>
      <c r="M391" s="121">
        <v>0</v>
      </c>
      <c r="N391" s="59" t="str">
        <v>C/</v>
      </c>
      <c r="O391" s="126" t="str">
        <v>はれ</v>
      </c>
      <c r="P391" s="126">
        <v>0</v>
      </c>
      <c r="Q391" s="127">
        <v>0</v>
      </c>
      <c r="R391" s="84">
        <v>1</v>
      </c>
      <c r="T391" s="100" t="e">
        <v>#N/A</v>
      </c>
      <c r="U391" s="121">
        <v>0</v>
      </c>
      <c r="V391" s="59" t="str">
        <v>C/</v>
      </c>
      <c r="W391" s="126" t="str">
        <v>はれ</v>
      </c>
      <c r="X391" s="126">
        <v>0</v>
      </c>
      <c r="Y391" s="127">
        <v>0</v>
      </c>
      <c r="Z391" s="90">
        <v>1</v>
      </c>
    </row>
    <row r="392" spans="1:26" x14ac:dyDescent="0.4">
      <c r="A392" s="52">
        <v>391</v>
      </c>
      <c r="B392" s="51">
        <f t="shared" si="38"/>
        <v>14</v>
      </c>
      <c r="C392" s="50">
        <f t="shared" si="39"/>
        <v>1</v>
      </c>
      <c r="D392" s="64" t="e">
        <f t="shared" si="40"/>
        <v>#N/A</v>
      </c>
      <c r="E392" s="121" cm="1">
        <f t="array" ref="E392">INDEX(InputArea,B392,C392)</f>
        <v>0</v>
      </c>
      <c r="F392" s="59" t="str">
        <f t="shared" si="41"/>
        <v>VQ</v>
      </c>
      <c r="G392" s="59" t="str">
        <f t="shared" si="42"/>
        <v>こヴ</v>
      </c>
      <c r="H392" s="134"/>
      <c r="I392" s="135"/>
      <c r="J392" s="84">
        <f t="shared" si="43"/>
        <v>0</v>
      </c>
      <c r="K392" s="83"/>
      <c r="L392" s="64" t="e">
        <v>#N/A</v>
      </c>
      <c r="M392" s="121">
        <v>0</v>
      </c>
      <c r="N392" s="59" t="str">
        <v>VQ</v>
      </c>
      <c r="O392" s="126" t="str">
        <v>こヴ</v>
      </c>
      <c r="P392" s="126">
        <v>0</v>
      </c>
      <c r="Q392" s="127">
        <v>0</v>
      </c>
      <c r="R392" s="84">
        <v>0</v>
      </c>
      <c r="T392" s="100" t="e">
        <v>#N/A</v>
      </c>
      <c r="U392" s="121">
        <v>0</v>
      </c>
      <c r="V392" s="59" t="str">
        <v>VQ</v>
      </c>
      <c r="W392" s="126" t="str">
        <v>こヴ</v>
      </c>
      <c r="X392" s="126">
        <v>0</v>
      </c>
      <c r="Y392" s="127">
        <v>0</v>
      </c>
      <c r="Z392" s="90">
        <v>0</v>
      </c>
    </row>
    <row r="393" spans="1:26" x14ac:dyDescent="0.4">
      <c r="A393" s="52">
        <v>392</v>
      </c>
      <c r="B393" s="51">
        <f t="shared" si="38"/>
        <v>14</v>
      </c>
      <c r="C393" s="50">
        <f t="shared" si="39"/>
        <v>2</v>
      </c>
      <c r="D393" s="64" t="e">
        <f t="shared" si="40"/>
        <v>#N/A</v>
      </c>
      <c r="E393" s="121" cm="1">
        <f t="array" ref="E393">INDEX(InputArea,B393,C393)</f>
        <v>0</v>
      </c>
      <c r="F393" s="59" t="str">
        <f t="shared" si="41"/>
        <v>VW</v>
      </c>
      <c r="G393" s="59" t="str">
        <f t="shared" si="42"/>
        <v>こき</v>
      </c>
      <c r="H393" s="134"/>
      <c r="I393" s="135"/>
      <c r="J393" s="84">
        <f t="shared" si="43"/>
        <v>0</v>
      </c>
      <c r="K393" s="83"/>
      <c r="L393" s="64" t="e">
        <v>#N/A</v>
      </c>
      <c r="M393" s="121">
        <v>0</v>
      </c>
      <c r="N393" s="59" t="str">
        <v>VW</v>
      </c>
      <c r="O393" s="126" t="str">
        <v>こき</v>
      </c>
      <c r="P393" s="126">
        <v>0</v>
      </c>
      <c r="Q393" s="127">
        <v>0</v>
      </c>
      <c r="R393" s="84">
        <v>0</v>
      </c>
      <c r="T393" s="100" t="e">
        <v>#N/A</v>
      </c>
      <c r="U393" s="121">
        <v>0</v>
      </c>
      <c r="V393" s="59" t="str">
        <v>VW</v>
      </c>
      <c r="W393" s="126" t="str">
        <v>こき</v>
      </c>
      <c r="X393" s="126">
        <v>0</v>
      </c>
      <c r="Y393" s="127">
        <v>0</v>
      </c>
      <c r="Z393" s="90">
        <v>0</v>
      </c>
    </row>
    <row r="394" spans="1:26" x14ac:dyDescent="0.4">
      <c r="A394" s="52">
        <v>393</v>
      </c>
      <c r="B394" s="51">
        <f t="shared" si="38"/>
        <v>14</v>
      </c>
      <c r="C394" s="50">
        <f t="shared" si="39"/>
        <v>3</v>
      </c>
      <c r="D394" s="64" t="e">
        <f t="shared" si="40"/>
        <v>#N/A</v>
      </c>
      <c r="E394" s="121" cm="1">
        <f t="array" ref="E394">INDEX(InputArea,B394,C394)</f>
        <v>0</v>
      </c>
      <c r="F394" s="59" t="str">
        <f t="shared" si="41"/>
        <v>VE</v>
      </c>
      <c r="G394" s="59" t="str">
        <f t="shared" si="42"/>
        <v>こて</v>
      </c>
      <c r="H394" s="134"/>
      <c r="I394" s="136" t="s">
        <v>409</v>
      </c>
      <c r="J394" s="84">
        <f t="shared" si="43"/>
        <v>0</v>
      </c>
      <c r="K394" s="83"/>
      <c r="L394" s="64" t="e">
        <v>#N/A</v>
      </c>
      <c r="M394" s="121">
        <v>0</v>
      </c>
      <c r="N394" s="59" t="str">
        <v>VE</v>
      </c>
      <c r="O394" s="126" t="str">
        <v>こて</v>
      </c>
      <c r="P394" s="126">
        <v>0</v>
      </c>
      <c r="Q394" s="127" t="str">
        <v>ゔぇ</v>
      </c>
      <c r="R394" s="84">
        <v>0</v>
      </c>
      <c r="T394" s="100" t="e">
        <v>#N/A</v>
      </c>
      <c r="U394" s="121">
        <v>0</v>
      </c>
      <c r="V394" s="59" t="str">
        <v>VE</v>
      </c>
      <c r="W394" s="126" t="str">
        <v>こて</v>
      </c>
      <c r="X394" s="126">
        <v>0</v>
      </c>
      <c r="Y394" s="127" t="str">
        <v>ゔぇ</v>
      </c>
      <c r="Z394" s="90">
        <v>0</v>
      </c>
    </row>
    <row r="395" spans="1:26" x14ac:dyDescent="0.4">
      <c r="A395" s="52">
        <v>394</v>
      </c>
      <c r="B395" s="51">
        <f t="shared" si="38"/>
        <v>14</v>
      </c>
      <c r="C395" s="50">
        <f t="shared" si="39"/>
        <v>4</v>
      </c>
      <c r="D395" s="64" t="e">
        <f t="shared" si="40"/>
        <v>#N/A</v>
      </c>
      <c r="E395" s="121" cm="1">
        <f t="array" ref="E395">INDEX(InputArea,B395,C395)</f>
        <v>0</v>
      </c>
      <c r="F395" s="59" t="str">
        <f t="shared" si="41"/>
        <v>VR</v>
      </c>
      <c r="G395" s="59" t="str">
        <f t="shared" si="42"/>
        <v>こし</v>
      </c>
      <c r="H395" s="134"/>
      <c r="I395" s="135"/>
      <c r="J395" s="84">
        <f t="shared" si="43"/>
        <v>0</v>
      </c>
      <c r="K395" s="83"/>
      <c r="L395" s="64" t="e">
        <v>#N/A</v>
      </c>
      <c r="M395" s="121">
        <v>0</v>
      </c>
      <c r="N395" s="59" t="str">
        <v>VR</v>
      </c>
      <c r="O395" s="126" t="str">
        <v>こし</v>
      </c>
      <c r="P395" s="126">
        <v>0</v>
      </c>
      <c r="Q395" s="127">
        <v>0</v>
      </c>
      <c r="R395" s="84">
        <v>0</v>
      </c>
      <c r="T395" s="100" t="e">
        <v>#N/A</v>
      </c>
      <c r="U395" s="121">
        <v>0</v>
      </c>
      <c r="V395" s="59" t="str">
        <v>VR</v>
      </c>
      <c r="W395" s="126" t="str">
        <v>こし</v>
      </c>
      <c r="X395" s="126">
        <v>0</v>
      </c>
      <c r="Y395" s="127">
        <v>0</v>
      </c>
      <c r="Z395" s="90">
        <v>0</v>
      </c>
    </row>
    <row r="396" spans="1:26" x14ac:dyDescent="0.4">
      <c r="A396" s="52">
        <v>395</v>
      </c>
      <c r="B396" s="51">
        <f t="shared" si="38"/>
        <v>14</v>
      </c>
      <c r="C396" s="50">
        <f t="shared" si="39"/>
        <v>5</v>
      </c>
      <c r="D396" s="64" t="e">
        <f t="shared" si="40"/>
        <v>#N/A</v>
      </c>
      <c r="E396" s="121" cm="1">
        <f t="array" ref="E396">INDEX(InputArea,B396,C396)</f>
        <v>0</v>
      </c>
      <c r="F396" s="59" t="str">
        <f t="shared" si="41"/>
        <v>VT</v>
      </c>
      <c r="G396" s="59" t="str">
        <f t="shared" si="42"/>
        <v>こ←</v>
      </c>
      <c r="H396" s="134"/>
      <c r="I396" s="135"/>
      <c r="J396" s="84">
        <f t="shared" si="43"/>
        <v>0</v>
      </c>
      <c r="K396" s="83"/>
      <c r="L396" s="64" t="e">
        <v>#N/A</v>
      </c>
      <c r="M396" s="121">
        <v>0</v>
      </c>
      <c r="N396" s="59" t="str">
        <v>VT</v>
      </c>
      <c r="O396" s="126" t="str">
        <v>こ←</v>
      </c>
      <c r="P396" s="126">
        <v>0</v>
      </c>
      <c r="Q396" s="127">
        <v>0</v>
      </c>
      <c r="R396" s="84">
        <v>0</v>
      </c>
      <c r="T396" s="100" t="e">
        <v>#N/A</v>
      </c>
      <c r="U396" s="121">
        <v>0</v>
      </c>
      <c r="V396" s="59" t="str">
        <v>VT</v>
      </c>
      <c r="W396" s="126" t="str">
        <v>こ←</v>
      </c>
      <c r="X396" s="126">
        <v>0</v>
      </c>
      <c r="Y396" s="127">
        <v>0</v>
      </c>
      <c r="Z396" s="90">
        <v>0</v>
      </c>
    </row>
    <row r="397" spans="1:26" x14ac:dyDescent="0.4">
      <c r="A397" s="52">
        <v>396</v>
      </c>
      <c r="B397" s="51">
        <f t="shared" si="38"/>
        <v>14</v>
      </c>
      <c r="C397" s="50">
        <f t="shared" si="39"/>
        <v>6</v>
      </c>
      <c r="D397" s="64" t="e">
        <f t="shared" si="40"/>
        <v>#N/A</v>
      </c>
      <c r="E397" s="121" cm="1">
        <f t="array" ref="E397">INDEX(InputArea,B397,C397)</f>
        <v>0</v>
      </c>
      <c r="F397" s="59" t="str">
        <f t="shared" si="41"/>
        <v>VA</v>
      </c>
      <c r="G397" s="59" t="str">
        <f t="shared" si="42"/>
        <v>ころ</v>
      </c>
      <c r="H397" s="134"/>
      <c r="I397" s="136" t="s">
        <v>410</v>
      </c>
      <c r="J397" s="84">
        <f t="shared" si="43"/>
        <v>0</v>
      </c>
      <c r="K397" s="83"/>
      <c r="L397" s="64" t="e">
        <v>#N/A</v>
      </c>
      <c r="M397" s="121">
        <v>0</v>
      </c>
      <c r="N397" s="59" t="str">
        <v>VA</v>
      </c>
      <c r="O397" s="126" t="str">
        <v>ころ</v>
      </c>
      <c r="P397" s="126">
        <v>0</v>
      </c>
      <c r="Q397" s="127" t="str">
        <v>ゔぁ</v>
      </c>
      <c r="R397" s="84">
        <v>0</v>
      </c>
      <c r="T397" s="100" t="e">
        <v>#N/A</v>
      </c>
      <c r="U397" s="121">
        <v>0</v>
      </c>
      <c r="V397" s="59" t="str">
        <v>VA</v>
      </c>
      <c r="W397" s="126" t="str">
        <v>ころ</v>
      </c>
      <c r="X397" s="126">
        <v>0</v>
      </c>
      <c r="Y397" s="127" t="str">
        <v>ゔぁ</v>
      </c>
      <c r="Z397" s="90">
        <v>0</v>
      </c>
    </row>
    <row r="398" spans="1:26" x14ac:dyDescent="0.4">
      <c r="A398" s="52">
        <v>397</v>
      </c>
      <c r="B398" s="51">
        <f t="shared" si="38"/>
        <v>14</v>
      </c>
      <c r="C398" s="50">
        <f t="shared" si="39"/>
        <v>7</v>
      </c>
      <c r="D398" s="64" t="e">
        <f t="shared" si="40"/>
        <v>#N/A</v>
      </c>
      <c r="E398" s="121" cm="1">
        <f t="array" ref="E398">INDEX(InputArea,B398,C398)</f>
        <v>0</v>
      </c>
      <c r="F398" s="59" t="str">
        <f t="shared" si="41"/>
        <v>VS</v>
      </c>
      <c r="G398" s="59" t="str">
        <f t="shared" si="42"/>
        <v>こけ</v>
      </c>
      <c r="H398" s="134"/>
      <c r="I398" s="135"/>
      <c r="J398" s="84">
        <f t="shared" si="43"/>
        <v>0</v>
      </c>
      <c r="K398" s="83"/>
      <c r="L398" s="64" t="e">
        <v>#N/A</v>
      </c>
      <c r="M398" s="121">
        <v>0</v>
      </c>
      <c r="N398" s="59" t="str">
        <v>VS</v>
      </c>
      <c r="O398" s="126" t="str">
        <v>こけ</v>
      </c>
      <c r="P398" s="126">
        <v>0</v>
      </c>
      <c r="Q398" s="127">
        <v>0</v>
      </c>
      <c r="R398" s="84">
        <v>0</v>
      </c>
      <c r="T398" s="100" t="e">
        <v>#N/A</v>
      </c>
      <c r="U398" s="121">
        <v>0</v>
      </c>
      <c r="V398" s="59" t="str">
        <v>VS</v>
      </c>
      <c r="W398" s="126" t="str">
        <v>こけ</v>
      </c>
      <c r="X398" s="126">
        <v>0</v>
      </c>
      <c r="Y398" s="127">
        <v>0</v>
      </c>
      <c r="Z398" s="90">
        <v>0</v>
      </c>
    </row>
    <row r="399" spans="1:26" x14ac:dyDescent="0.4">
      <c r="A399" s="52">
        <v>398</v>
      </c>
      <c r="B399" s="51">
        <f t="shared" si="38"/>
        <v>14</v>
      </c>
      <c r="C399" s="50">
        <f t="shared" si="39"/>
        <v>8</v>
      </c>
      <c r="D399" s="64" t="e">
        <f t="shared" si="40"/>
        <v>#N/A</v>
      </c>
      <c r="E399" s="121" cm="1">
        <f t="array" ref="E399">INDEX(InputArea,B399,C399)</f>
        <v>0</v>
      </c>
      <c r="F399" s="59" t="str">
        <f t="shared" si="41"/>
        <v>VD</v>
      </c>
      <c r="G399" s="59" t="str">
        <f t="shared" si="42"/>
        <v>こと</v>
      </c>
      <c r="H399" s="134"/>
      <c r="I399" s="135"/>
      <c r="J399" s="84">
        <f t="shared" si="43"/>
        <v>0</v>
      </c>
      <c r="K399" s="83"/>
      <c r="L399" s="64" t="e">
        <v>#N/A</v>
      </c>
      <c r="M399" s="121">
        <v>0</v>
      </c>
      <c r="N399" s="59" t="str">
        <v>VD</v>
      </c>
      <c r="O399" s="126" t="str">
        <v>こと</v>
      </c>
      <c r="P399" s="126">
        <v>0</v>
      </c>
      <c r="Q399" s="127">
        <v>0</v>
      </c>
      <c r="R399" s="84">
        <v>0</v>
      </c>
      <c r="T399" s="100" t="e">
        <v>#N/A</v>
      </c>
      <c r="U399" s="121">
        <v>0</v>
      </c>
      <c r="V399" s="59" t="str">
        <v>VD</v>
      </c>
      <c r="W399" s="126" t="str">
        <v>こと</v>
      </c>
      <c r="X399" s="126">
        <v>0</v>
      </c>
      <c r="Y399" s="127">
        <v>0</v>
      </c>
      <c r="Z399" s="90">
        <v>0</v>
      </c>
    </row>
    <row r="400" spans="1:26" x14ac:dyDescent="0.4">
      <c r="A400" s="52">
        <v>399</v>
      </c>
      <c r="B400" s="51">
        <f t="shared" si="38"/>
        <v>14</v>
      </c>
      <c r="C400" s="50">
        <f t="shared" si="39"/>
        <v>9</v>
      </c>
      <c r="D400" s="64" t="e">
        <f t="shared" si="40"/>
        <v>#N/A</v>
      </c>
      <c r="E400" s="121" cm="1">
        <f t="array" ref="E400">INDEX(InputArea,B400,C400)</f>
        <v>0</v>
      </c>
      <c r="F400" s="59" t="str">
        <f t="shared" si="41"/>
        <v>VF</v>
      </c>
      <c r="G400" s="59" t="str">
        <f t="shared" si="42"/>
        <v>こか</v>
      </c>
      <c r="H400" s="134"/>
      <c r="I400" s="135"/>
      <c r="J400" s="84">
        <f t="shared" si="43"/>
        <v>0</v>
      </c>
      <c r="K400" s="83"/>
      <c r="L400" s="64" t="e">
        <v>#N/A</v>
      </c>
      <c r="M400" s="121">
        <v>0</v>
      </c>
      <c r="N400" s="59" t="str">
        <v>VF</v>
      </c>
      <c r="O400" s="126" t="str">
        <v>こか</v>
      </c>
      <c r="P400" s="126">
        <v>0</v>
      </c>
      <c r="Q400" s="127">
        <v>0</v>
      </c>
      <c r="R400" s="84">
        <v>0</v>
      </c>
      <c r="T400" s="100" t="e">
        <v>#N/A</v>
      </c>
      <c r="U400" s="121">
        <v>0</v>
      </c>
      <c r="V400" s="59" t="str">
        <v>VF</v>
      </c>
      <c r="W400" s="126" t="str">
        <v>こか</v>
      </c>
      <c r="X400" s="126">
        <v>0</v>
      </c>
      <c r="Y400" s="127">
        <v>0</v>
      </c>
      <c r="Z400" s="90">
        <v>0</v>
      </c>
    </row>
    <row r="401" spans="1:26" x14ac:dyDescent="0.4">
      <c r="A401" s="52">
        <v>400</v>
      </c>
      <c r="B401" s="51">
        <f t="shared" si="38"/>
        <v>14</v>
      </c>
      <c r="C401" s="50">
        <f t="shared" si="39"/>
        <v>10</v>
      </c>
      <c r="D401" s="64" t="e">
        <f t="shared" si="40"/>
        <v>#N/A</v>
      </c>
      <c r="E401" s="121" cm="1">
        <f t="array" ref="E401">INDEX(InputArea,B401,C401)</f>
        <v>0</v>
      </c>
      <c r="F401" s="59" t="str">
        <f t="shared" si="41"/>
        <v>VG</v>
      </c>
      <c r="G401" s="59" t="str">
        <f t="shared" si="42"/>
        <v>こっ</v>
      </c>
      <c r="H401" s="134"/>
      <c r="I401" s="135"/>
      <c r="J401" s="84">
        <f t="shared" si="43"/>
        <v>0</v>
      </c>
      <c r="K401" s="83"/>
      <c r="L401" s="64" t="e">
        <v>#N/A</v>
      </c>
      <c r="M401" s="121">
        <v>0</v>
      </c>
      <c r="N401" s="59" t="str">
        <v>VG</v>
      </c>
      <c r="O401" s="126" t="str">
        <v>こっ</v>
      </c>
      <c r="P401" s="126">
        <v>0</v>
      </c>
      <c r="Q401" s="127">
        <v>0</v>
      </c>
      <c r="R401" s="84">
        <v>0</v>
      </c>
      <c r="T401" s="100" t="e">
        <v>#N/A</v>
      </c>
      <c r="U401" s="121">
        <v>0</v>
      </c>
      <c r="V401" s="59" t="str">
        <v>VG</v>
      </c>
      <c r="W401" s="126" t="str">
        <v>こっ</v>
      </c>
      <c r="X401" s="126">
        <v>0</v>
      </c>
      <c r="Y401" s="127">
        <v>0</v>
      </c>
      <c r="Z401" s="90">
        <v>0</v>
      </c>
    </row>
    <row r="402" spans="1:26" x14ac:dyDescent="0.4">
      <c r="A402" s="52">
        <v>401</v>
      </c>
      <c r="B402" s="51">
        <f t="shared" si="38"/>
        <v>14</v>
      </c>
      <c r="C402" s="50">
        <f t="shared" si="39"/>
        <v>11</v>
      </c>
      <c r="D402" s="64" t="e">
        <f t="shared" si="40"/>
        <v>#N/A</v>
      </c>
      <c r="E402" s="121" cm="1">
        <f t="array" ref="E402">INDEX(InputArea,B402,C402)</f>
        <v>0</v>
      </c>
      <c r="F402" s="59" t="str">
        <f t="shared" si="41"/>
        <v>VZ</v>
      </c>
      <c r="G402" s="59" t="str">
        <f t="shared" si="42"/>
        <v>こほ</v>
      </c>
      <c r="H402" s="134"/>
      <c r="I402" s="135"/>
      <c r="J402" s="84">
        <f t="shared" si="43"/>
        <v>0</v>
      </c>
      <c r="K402" s="83"/>
      <c r="L402" s="64" t="e">
        <v>#N/A</v>
      </c>
      <c r="M402" s="121">
        <v>0</v>
      </c>
      <c r="N402" s="59" t="str">
        <v>VZ</v>
      </c>
      <c r="O402" s="126" t="str">
        <v>こほ</v>
      </c>
      <c r="P402" s="126">
        <v>0</v>
      </c>
      <c r="Q402" s="127">
        <v>0</v>
      </c>
      <c r="R402" s="84">
        <v>0</v>
      </c>
      <c r="T402" s="100" t="e">
        <v>#N/A</v>
      </c>
      <c r="U402" s="121">
        <v>0</v>
      </c>
      <c r="V402" s="59" t="str">
        <v>VZ</v>
      </c>
      <c r="W402" s="126" t="str">
        <v>こほ</v>
      </c>
      <c r="X402" s="126">
        <v>0</v>
      </c>
      <c r="Y402" s="127">
        <v>0</v>
      </c>
      <c r="Z402" s="90">
        <v>0</v>
      </c>
    </row>
    <row r="403" spans="1:26" x14ac:dyDescent="0.4">
      <c r="A403" s="52">
        <v>402</v>
      </c>
      <c r="B403" s="51">
        <f t="shared" si="38"/>
        <v>14</v>
      </c>
      <c r="C403" s="50">
        <f t="shared" si="39"/>
        <v>12</v>
      </c>
      <c r="D403" s="64" t="e">
        <f t="shared" si="40"/>
        <v>#N/A</v>
      </c>
      <c r="E403" s="121" cm="1">
        <f t="array" ref="E403">INDEX(InputArea,B403,C403)</f>
        <v>0</v>
      </c>
      <c r="F403" s="59" t="str">
        <f t="shared" si="41"/>
        <v>VX</v>
      </c>
      <c r="G403" s="59" t="str">
        <f t="shared" si="42"/>
        <v>こひ</v>
      </c>
      <c r="H403" s="134"/>
      <c r="I403" s="135"/>
      <c r="J403" s="84">
        <f t="shared" si="43"/>
        <v>0</v>
      </c>
      <c r="K403" s="83"/>
      <c r="L403" s="64" t="e">
        <v>#N/A</v>
      </c>
      <c r="M403" s="121">
        <v>0</v>
      </c>
      <c r="N403" s="59" t="str">
        <v>VX</v>
      </c>
      <c r="O403" s="126" t="str">
        <v>こひ</v>
      </c>
      <c r="P403" s="126">
        <v>0</v>
      </c>
      <c r="Q403" s="127">
        <v>0</v>
      </c>
      <c r="R403" s="84">
        <v>0</v>
      </c>
      <c r="T403" s="100" t="e">
        <v>#N/A</v>
      </c>
      <c r="U403" s="121">
        <v>0</v>
      </c>
      <c r="V403" s="59" t="str">
        <v>VX</v>
      </c>
      <c r="W403" s="126" t="str">
        <v>こひ</v>
      </c>
      <c r="X403" s="126">
        <v>0</v>
      </c>
      <c r="Y403" s="127">
        <v>0</v>
      </c>
      <c r="Z403" s="90">
        <v>0</v>
      </c>
    </row>
    <row r="404" spans="1:26" x14ac:dyDescent="0.4">
      <c r="A404" s="52">
        <v>403</v>
      </c>
      <c r="B404" s="51">
        <f t="shared" si="38"/>
        <v>14</v>
      </c>
      <c r="C404" s="50">
        <f t="shared" si="39"/>
        <v>13</v>
      </c>
      <c r="D404" s="64" t="e">
        <f t="shared" si="40"/>
        <v>#N/A</v>
      </c>
      <c r="E404" s="121" cm="1">
        <f t="array" ref="E404">INDEX(InputArea,B404,C404)</f>
        <v>0</v>
      </c>
      <c r="F404" s="59" t="str">
        <f t="shared" si="41"/>
        <v>VC</v>
      </c>
      <c r="G404" s="59" t="str">
        <f t="shared" si="42"/>
        <v>こは</v>
      </c>
      <c r="H404" s="137" t="s">
        <v>616</v>
      </c>
      <c r="I404" s="135"/>
      <c r="J404" s="84">
        <f t="shared" si="43"/>
        <v>0</v>
      </c>
      <c r="K404" s="83"/>
      <c r="L404" s="64" t="e">
        <v>#N/A</v>
      </c>
      <c r="M404" s="121">
        <v>0</v>
      </c>
      <c r="N404" s="59" t="str">
        <v>VC</v>
      </c>
      <c r="O404" s="126" t="str">
        <v>こは</v>
      </c>
      <c r="P404" s="126" t="str">
        <v>編集</v>
      </c>
      <c r="Q404" s="127">
        <v>0</v>
      </c>
      <c r="R404" s="84">
        <v>0</v>
      </c>
      <c r="T404" s="100" t="e">
        <v>#N/A</v>
      </c>
      <c r="U404" s="121">
        <v>0</v>
      </c>
      <c r="V404" s="59" t="str">
        <v>VC</v>
      </c>
      <c r="W404" s="126" t="str">
        <v>こは</v>
      </c>
      <c r="X404" s="126" t="str">
        <v>編集</v>
      </c>
      <c r="Y404" s="127">
        <v>0</v>
      </c>
      <c r="Z404" s="90">
        <v>0</v>
      </c>
    </row>
    <row r="405" spans="1:26" x14ac:dyDescent="0.4">
      <c r="A405" s="52">
        <v>404</v>
      </c>
      <c r="B405" s="51">
        <f t="shared" si="38"/>
        <v>14</v>
      </c>
      <c r="C405" s="50">
        <f t="shared" si="39"/>
        <v>14</v>
      </c>
      <c r="D405" s="64" t="e">
        <f t="shared" si="40"/>
        <v>#N/A</v>
      </c>
      <c r="E405" s="121" cm="1">
        <f t="array" ref="E405">INDEX(InputArea,B405,C405)</f>
        <v>0</v>
      </c>
      <c r="F405" s="59" t="str">
        <f t="shared" si="41"/>
        <v>VV</v>
      </c>
      <c r="G405" s="59" t="str">
        <f t="shared" si="42"/>
        <v>ここ</v>
      </c>
      <c r="H405" s="134"/>
      <c r="I405" s="136" t="s">
        <v>411</v>
      </c>
      <c r="J405" s="84">
        <f t="shared" si="43"/>
        <v>0</v>
      </c>
      <c r="K405" s="83"/>
      <c r="L405" s="64" t="e">
        <v>#N/A</v>
      </c>
      <c r="M405" s="121">
        <v>0</v>
      </c>
      <c r="N405" s="59" t="str">
        <v>VV</v>
      </c>
      <c r="O405" s="126" t="str">
        <v>ここ</v>
      </c>
      <c r="P405" s="126">
        <v>0</v>
      </c>
      <c r="Q405" s="127" t="str">
        <v>っｖ</v>
      </c>
      <c r="R405" s="84">
        <v>0</v>
      </c>
      <c r="T405" s="100" t="e">
        <v>#N/A</v>
      </c>
      <c r="U405" s="121">
        <v>0</v>
      </c>
      <c r="V405" s="59" t="str">
        <v>VV</v>
      </c>
      <c r="W405" s="126" t="str">
        <v>ここ</v>
      </c>
      <c r="X405" s="126">
        <v>0</v>
      </c>
      <c r="Y405" s="127" t="str">
        <v>っｖ</v>
      </c>
      <c r="Z405" s="90">
        <v>0</v>
      </c>
    </row>
    <row r="406" spans="1:26" x14ac:dyDescent="0.4">
      <c r="A406" s="52">
        <v>405</v>
      </c>
      <c r="B406" s="51">
        <f t="shared" si="38"/>
        <v>14</v>
      </c>
      <c r="C406" s="50">
        <f t="shared" si="39"/>
        <v>15</v>
      </c>
      <c r="D406" s="64" t="e">
        <f t="shared" si="40"/>
        <v>#N/A</v>
      </c>
      <c r="E406" s="121" cm="1">
        <f t="array" ref="E406">INDEX(InputArea,B406,C406)</f>
        <v>0</v>
      </c>
      <c r="F406" s="59" t="str">
        <f t="shared" si="41"/>
        <v>VB</v>
      </c>
      <c r="G406" s="59" t="str">
        <f t="shared" si="42"/>
        <v>こそ</v>
      </c>
      <c r="H406" s="134"/>
      <c r="I406" s="135"/>
      <c r="J406" s="84">
        <f t="shared" si="43"/>
        <v>0</v>
      </c>
      <c r="K406" s="83"/>
      <c r="L406" s="64" t="e">
        <v>#N/A</v>
      </c>
      <c r="M406" s="121">
        <v>0</v>
      </c>
      <c r="N406" s="59" t="str">
        <v>VB</v>
      </c>
      <c r="O406" s="126" t="str">
        <v>こそ</v>
      </c>
      <c r="P406" s="126">
        <v>0</v>
      </c>
      <c r="Q406" s="127">
        <v>0</v>
      </c>
      <c r="R406" s="84">
        <v>0</v>
      </c>
      <c r="T406" s="100" t="e">
        <v>#N/A</v>
      </c>
      <c r="U406" s="121">
        <v>0</v>
      </c>
      <c r="V406" s="59" t="str">
        <v>VB</v>
      </c>
      <c r="W406" s="126" t="str">
        <v>こそ</v>
      </c>
      <c r="X406" s="126">
        <v>0</v>
      </c>
      <c r="Y406" s="127">
        <v>0</v>
      </c>
      <c r="Z406" s="90">
        <v>0</v>
      </c>
    </row>
    <row r="407" spans="1:26" x14ac:dyDescent="0.4">
      <c r="A407" s="52">
        <v>406</v>
      </c>
      <c r="B407" s="51">
        <f t="shared" si="38"/>
        <v>14</v>
      </c>
      <c r="C407" s="50">
        <f t="shared" si="39"/>
        <v>16</v>
      </c>
      <c r="D407" s="64" t="e">
        <f t="shared" si="40"/>
        <v>#N/A</v>
      </c>
      <c r="E407" s="121" cm="1">
        <f t="array" ref="E407">INDEX(InputArea,B407,C407)</f>
        <v>0</v>
      </c>
      <c r="F407" s="59" t="str">
        <f t="shared" si="41"/>
        <v>VY</v>
      </c>
      <c r="G407" s="59" t="str">
        <f t="shared" si="42"/>
        <v>こ→</v>
      </c>
      <c r="H407" s="134"/>
      <c r="I407" s="136" t="s">
        <v>412</v>
      </c>
      <c r="J407" s="84">
        <f t="shared" si="43"/>
        <v>1</v>
      </c>
      <c r="K407" s="83"/>
      <c r="L407" s="64" t="e">
        <v>#N/A</v>
      </c>
      <c r="M407" s="121">
        <v>0</v>
      </c>
      <c r="N407" s="59" t="str">
        <v>VY</v>
      </c>
      <c r="O407" s="126" t="str">
        <v>こ→</v>
      </c>
      <c r="P407" s="126">
        <v>0</v>
      </c>
      <c r="Q407" s="127" t="str">
        <v>ｖｙ</v>
      </c>
      <c r="R407" s="84">
        <v>1</v>
      </c>
      <c r="T407" s="100" t="e">
        <v>#N/A</v>
      </c>
      <c r="U407" s="121">
        <v>0</v>
      </c>
      <c r="V407" s="59" t="str">
        <v>VY</v>
      </c>
      <c r="W407" s="126" t="str">
        <v>こ→</v>
      </c>
      <c r="X407" s="126">
        <v>0</v>
      </c>
      <c r="Y407" s="127" t="str">
        <v>ｖｙ</v>
      </c>
      <c r="Z407" s="90">
        <v>1</v>
      </c>
    </row>
    <row r="408" spans="1:26" x14ac:dyDescent="0.4">
      <c r="A408" s="52">
        <v>407</v>
      </c>
      <c r="B408" s="51">
        <f t="shared" si="38"/>
        <v>14</v>
      </c>
      <c r="C408" s="50">
        <f t="shared" si="39"/>
        <v>17</v>
      </c>
      <c r="D408" s="64" t="e">
        <f t="shared" si="40"/>
        <v>#N/A</v>
      </c>
      <c r="E408" s="121" cm="1">
        <f t="array" ref="E408">INDEX(InputArea,B408,C408)</f>
        <v>0</v>
      </c>
      <c r="F408" s="59" t="str">
        <f t="shared" si="41"/>
        <v>VU</v>
      </c>
      <c r="G408" s="59" t="str">
        <f t="shared" si="42"/>
        <v>こBS</v>
      </c>
      <c r="H408" s="134"/>
      <c r="I408" s="136" t="s">
        <v>413</v>
      </c>
      <c r="J408" s="84">
        <f t="shared" si="43"/>
        <v>1</v>
      </c>
      <c r="K408" s="83"/>
      <c r="L408" s="64" t="e">
        <v>#N/A</v>
      </c>
      <c r="M408" s="121">
        <v>0</v>
      </c>
      <c r="N408" s="59" t="str">
        <v>VU</v>
      </c>
      <c r="O408" s="126" t="str">
        <v>こBS</v>
      </c>
      <c r="P408" s="126">
        <v>0</v>
      </c>
      <c r="Q408" s="127" t="str">
        <v>ゔ</v>
      </c>
      <c r="R408" s="84">
        <v>1</v>
      </c>
      <c r="T408" s="100" t="e">
        <v>#N/A</v>
      </c>
      <c r="U408" s="121">
        <v>0</v>
      </c>
      <c r="V408" s="59" t="str">
        <v>VU</v>
      </c>
      <c r="W408" s="126" t="str">
        <v>こBS</v>
      </c>
      <c r="X408" s="126">
        <v>0</v>
      </c>
      <c r="Y408" s="127" t="str">
        <v>ゔ</v>
      </c>
      <c r="Z408" s="90">
        <v>1</v>
      </c>
    </row>
    <row r="409" spans="1:26" x14ac:dyDescent="0.4">
      <c r="A409" s="52">
        <v>408</v>
      </c>
      <c r="B409" s="51">
        <f t="shared" si="38"/>
        <v>14</v>
      </c>
      <c r="C409" s="50">
        <f t="shared" si="39"/>
        <v>18</v>
      </c>
      <c r="D409" s="64" t="e">
        <f t="shared" si="40"/>
        <v>#N/A</v>
      </c>
      <c r="E409" s="121" cm="1">
        <f t="array" ref="E409">INDEX(InputArea,B409,C409)</f>
        <v>0</v>
      </c>
      <c r="F409" s="59" t="str">
        <f t="shared" si="41"/>
        <v>VI</v>
      </c>
      <c r="G409" s="59" t="str">
        <f t="shared" si="42"/>
        <v>こる</v>
      </c>
      <c r="H409" s="137"/>
      <c r="I409" s="136" t="s">
        <v>414</v>
      </c>
      <c r="J409" s="84">
        <f t="shared" si="43"/>
        <v>1</v>
      </c>
      <c r="K409" s="83"/>
      <c r="L409" s="64" t="e">
        <v>#N/A</v>
      </c>
      <c r="M409" s="121">
        <v>0</v>
      </c>
      <c r="N409" s="59" t="str">
        <v>VI</v>
      </c>
      <c r="O409" s="126" t="str">
        <v>こる</v>
      </c>
      <c r="P409" s="126">
        <v>0</v>
      </c>
      <c r="Q409" s="127" t="str">
        <v>ゔぃ</v>
      </c>
      <c r="R409" s="84">
        <v>1</v>
      </c>
      <c r="T409" s="100" t="e">
        <v>#N/A</v>
      </c>
      <c r="U409" s="121">
        <v>0</v>
      </c>
      <c r="V409" s="59" t="str">
        <v>VI</v>
      </c>
      <c r="W409" s="126" t="str">
        <v>こる</v>
      </c>
      <c r="X409" s="126">
        <v>0</v>
      </c>
      <c r="Y409" s="127" t="str">
        <v>ゔぃ</v>
      </c>
      <c r="Z409" s="90">
        <v>1</v>
      </c>
    </row>
    <row r="410" spans="1:26" x14ac:dyDescent="0.4">
      <c r="A410" s="52">
        <v>409</v>
      </c>
      <c r="B410" s="51">
        <f t="shared" si="38"/>
        <v>14</v>
      </c>
      <c r="C410" s="50">
        <f t="shared" si="39"/>
        <v>19</v>
      </c>
      <c r="D410" s="64" t="e">
        <f t="shared" si="40"/>
        <v>#N/A</v>
      </c>
      <c r="E410" s="121" cm="1">
        <f t="array" ref="E410">INDEX(InputArea,B410,C410)</f>
        <v>0</v>
      </c>
      <c r="F410" s="59" t="str">
        <f t="shared" si="41"/>
        <v>VO</v>
      </c>
      <c r="G410" s="59" t="str">
        <f t="shared" si="42"/>
        <v>こす</v>
      </c>
      <c r="H410" s="134"/>
      <c r="I410" s="136" t="s">
        <v>415</v>
      </c>
      <c r="J410" s="84">
        <f t="shared" si="43"/>
        <v>1</v>
      </c>
      <c r="K410" s="83"/>
      <c r="L410" s="64" t="e">
        <v>#N/A</v>
      </c>
      <c r="M410" s="121">
        <v>0</v>
      </c>
      <c r="N410" s="59" t="str">
        <v>VO</v>
      </c>
      <c r="O410" s="126" t="str">
        <v>こす</v>
      </c>
      <c r="P410" s="126">
        <v>0</v>
      </c>
      <c r="Q410" s="127" t="str">
        <v>ゔぉ</v>
      </c>
      <c r="R410" s="84">
        <v>1</v>
      </c>
      <c r="T410" s="100" t="e">
        <v>#N/A</v>
      </c>
      <c r="U410" s="121">
        <v>0</v>
      </c>
      <c r="V410" s="59" t="str">
        <v>VO</v>
      </c>
      <c r="W410" s="126" t="str">
        <v>こす</v>
      </c>
      <c r="X410" s="126">
        <v>0</v>
      </c>
      <c r="Y410" s="127" t="str">
        <v>ゔぉ</v>
      </c>
      <c r="Z410" s="90">
        <v>1</v>
      </c>
    </row>
    <row r="411" spans="1:26" x14ac:dyDescent="0.4">
      <c r="A411" s="52">
        <v>410</v>
      </c>
      <c r="B411" s="51">
        <f t="shared" si="38"/>
        <v>14</v>
      </c>
      <c r="C411" s="50">
        <f t="shared" si="39"/>
        <v>20</v>
      </c>
      <c r="D411" s="64" t="e">
        <f t="shared" si="40"/>
        <v>#N/A</v>
      </c>
      <c r="E411" s="121" cm="1">
        <f t="array" ref="E411">INDEX(InputArea,B411,C411)</f>
        <v>0</v>
      </c>
      <c r="F411" s="59" t="str">
        <f t="shared" si="41"/>
        <v>VP</v>
      </c>
      <c r="G411" s="59" t="str">
        <f t="shared" si="42"/>
        <v>こへ</v>
      </c>
      <c r="H411" s="137" t="s">
        <v>286</v>
      </c>
      <c r="I411" s="135"/>
      <c r="J411" s="84">
        <f t="shared" si="43"/>
        <v>1</v>
      </c>
      <c r="K411" s="83"/>
      <c r="L411" s="64" t="e">
        <v>#N/A</v>
      </c>
      <c r="M411" s="121">
        <v>0</v>
      </c>
      <c r="N411" s="59" t="str">
        <v>VP</v>
      </c>
      <c r="O411" s="126" t="str">
        <v>こへ</v>
      </c>
      <c r="P411" s="126" t="str">
        <v>ぺ</v>
      </c>
      <c r="Q411" s="127">
        <v>0</v>
      </c>
      <c r="R411" s="84">
        <v>1</v>
      </c>
      <c r="T411" s="100" t="e">
        <v>#N/A</v>
      </c>
      <c r="U411" s="121">
        <v>0</v>
      </c>
      <c r="V411" s="59" t="str">
        <v>VP</v>
      </c>
      <c r="W411" s="126" t="str">
        <v>こへ</v>
      </c>
      <c r="X411" s="126" t="str">
        <v>ぺ</v>
      </c>
      <c r="Y411" s="127">
        <v>0</v>
      </c>
      <c r="Z411" s="90">
        <v>1</v>
      </c>
    </row>
    <row r="412" spans="1:26" x14ac:dyDescent="0.4">
      <c r="A412" s="52">
        <v>411</v>
      </c>
      <c r="B412" s="51">
        <f t="shared" si="38"/>
        <v>14</v>
      </c>
      <c r="C412" s="50">
        <f t="shared" si="39"/>
        <v>21</v>
      </c>
      <c r="D412" s="64" t="e">
        <f t="shared" si="40"/>
        <v>#N/A</v>
      </c>
      <c r="E412" s="121" cm="1">
        <f t="array" ref="E412">INDEX(InputArea,B412,C412)</f>
        <v>0</v>
      </c>
      <c r="F412" s="59" t="str">
        <f t="shared" si="41"/>
        <v>VH</v>
      </c>
      <c r="G412" s="59" t="str">
        <f t="shared" si="42"/>
        <v>こく</v>
      </c>
      <c r="H412" s="134"/>
      <c r="I412" s="135"/>
      <c r="J412" s="84">
        <f t="shared" si="43"/>
        <v>1</v>
      </c>
      <c r="K412" s="83"/>
      <c r="L412" s="64" t="e">
        <v>#N/A</v>
      </c>
      <c r="M412" s="121">
        <v>0</v>
      </c>
      <c r="N412" s="59" t="str">
        <v>VH</v>
      </c>
      <c r="O412" s="126" t="str">
        <v>こく</v>
      </c>
      <c r="P412" s="126">
        <v>0</v>
      </c>
      <c r="Q412" s="127">
        <v>0</v>
      </c>
      <c r="R412" s="84">
        <v>1</v>
      </c>
      <c r="T412" s="100" t="e">
        <v>#N/A</v>
      </c>
      <c r="U412" s="121">
        <v>0</v>
      </c>
      <c r="V412" s="59" t="str">
        <v>VH</v>
      </c>
      <c r="W412" s="126" t="str">
        <v>こく</v>
      </c>
      <c r="X412" s="126">
        <v>0</v>
      </c>
      <c r="Y412" s="127">
        <v>0</v>
      </c>
      <c r="Z412" s="90">
        <v>1</v>
      </c>
    </row>
    <row r="413" spans="1:26" x14ac:dyDescent="0.4">
      <c r="A413" s="52">
        <v>412</v>
      </c>
      <c r="B413" s="51">
        <f t="shared" si="38"/>
        <v>14</v>
      </c>
      <c r="C413" s="50">
        <f t="shared" si="39"/>
        <v>22</v>
      </c>
      <c r="D413" s="64" t="e">
        <f t="shared" si="40"/>
        <v>#N/A</v>
      </c>
      <c r="E413" s="121" cm="1">
        <f t="array" ref="E413">INDEX(InputArea,B413,C413)</f>
        <v>0</v>
      </c>
      <c r="F413" s="59" t="str">
        <f t="shared" si="41"/>
        <v>VJ</v>
      </c>
      <c r="G413" s="59" t="str">
        <f t="shared" si="42"/>
        <v>こあ</v>
      </c>
      <c r="H413" s="137" t="s">
        <v>277</v>
      </c>
      <c r="I413" s="135"/>
      <c r="J413" s="84">
        <f t="shared" si="43"/>
        <v>1</v>
      </c>
      <c r="K413" s="83"/>
      <c r="L413" s="64" t="e">
        <v>#N/A</v>
      </c>
      <c r="M413" s="121">
        <v>0</v>
      </c>
      <c r="N413" s="59" t="str">
        <v>VJ</v>
      </c>
      <c r="O413" s="126" t="str">
        <v>こあ</v>
      </c>
      <c r="P413" s="126" t="str">
        <v>ご</v>
      </c>
      <c r="Q413" s="127">
        <v>0</v>
      </c>
      <c r="R413" s="84">
        <v>1</v>
      </c>
      <c r="T413" s="100" t="e">
        <v>#N/A</v>
      </c>
      <c r="U413" s="121">
        <v>0</v>
      </c>
      <c r="V413" s="59" t="str">
        <v>VJ</v>
      </c>
      <c r="W413" s="126" t="str">
        <v>こあ</v>
      </c>
      <c r="X413" s="126" t="str">
        <v>ご</v>
      </c>
      <c r="Y413" s="127">
        <v>0</v>
      </c>
      <c r="Z413" s="90">
        <v>1</v>
      </c>
    </row>
    <row r="414" spans="1:26" x14ac:dyDescent="0.4">
      <c r="A414" s="52">
        <v>413</v>
      </c>
      <c r="B414" s="51">
        <f t="shared" si="38"/>
        <v>14</v>
      </c>
      <c r="C414" s="50">
        <f t="shared" si="39"/>
        <v>23</v>
      </c>
      <c r="D414" s="64" t="e">
        <f t="shared" si="40"/>
        <v>#N/A</v>
      </c>
      <c r="E414" s="121" cm="1">
        <f t="array" ref="E414">INDEX(InputArea,B414,C414)</f>
        <v>0</v>
      </c>
      <c r="F414" s="59" t="str">
        <f t="shared" si="41"/>
        <v>VK</v>
      </c>
      <c r="G414" s="59" t="str">
        <f t="shared" si="42"/>
        <v>こい</v>
      </c>
      <c r="H414" s="134"/>
      <c r="I414" s="135"/>
      <c r="J414" s="84">
        <f t="shared" si="43"/>
        <v>1</v>
      </c>
      <c r="K414" s="83"/>
      <c r="L414" s="64" t="e">
        <v>#N/A</v>
      </c>
      <c r="M414" s="121">
        <v>0</v>
      </c>
      <c r="N414" s="59" t="str">
        <v>VK</v>
      </c>
      <c r="O414" s="126" t="str">
        <v>こい</v>
      </c>
      <c r="P414" s="126">
        <v>0</v>
      </c>
      <c r="Q414" s="127">
        <v>0</v>
      </c>
      <c r="R414" s="84">
        <v>1</v>
      </c>
      <c r="T414" s="100" t="e">
        <v>#N/A</v>
      </c>
      <c r="U414" s="121">
        <v>0</v>
      </c>
      <c r="V414" s="59" t="str">
        <v>VK</v>
      </c>
      <c r="W414" s="126" t="str">
        <v>こい</v>
      </c>
      <c r="X414" s="126">
        <v>0</v>
      </c>
      <c r="Y414" s="127">
        <v>0</v>
      </c>
      <c r="Z414" s="90">
        <v>1</v>
      </c>
    </row>
    <row r="415" spans="1:26" x14ac:dyDescent="0.4">
      <c r="A415" s="52">
        <v>414</v>
      </c>
      <c r="B415" s="51">
        <f t="shared" si="38"/>
        <v>14</v>
      </c>
      <c r="C415" s="50">
        <f t="shared" si="39"/>
        <v>24</v>
      </c>
      <c r="D415" s="64" t="e">
        <f t="shared" si="40"/>
        <v>#N/A</v>
      </c>
      <c r="E415" s="121" cm="1">
        <f t="array" ref="E415">INDEX(InputArea,B415,C415)</f>
        <v>0</v>
      </c>
      <c r="F415" s="59" t="str">
        <f t="shared" si="41"/>
        <v>VL</v>
      </c>
      <c r="G415" s="59" t="str">
        <f t="shared" si="42"/>
        <v>こう</v>
      </c>
      <c r="H415" s="134"/>
      <c r="I415" s="135"/>
      <c r="J415" s="84">
        <f t="shared" si="43"/>
        <v>1</v>
      </c>
      <c r="K415" s="83"/>
      <c r="L415" s="64" t="e">
        <v>#N/A</v>
      </c>
      <c r="M415" s="121">
        <v>0</v>
      </c>
      <c r="N415" s="59" t="str">
        <v>VL</v>
      </c>
      <c r="O415" s="126" t="str">
        <v>こう</v>
      </c>
      <c r="P415" s="126">
        <v>0</v>
      </c>
      <c r="Q415" s="127">
        <v>0</v>
      </c>
      <c r="R415" s="84">
        <v>1</v>
      </c>
      <c r="T415" s="100" t="e">
        <v>#N/A</v>
      </c>
      <c r="U415" s="121">
        <v>0</v>
      </c>
      <c r="V415" s="59" t="str">
        <v>VL</v>
      </c>
      <c r="W415" s="126" t="str">
        <v>こう</v>
      </c>
      <c r="X415" s="126">
        <v>0</v>
      </c>
      <c r="Y415" s="127">
        <v>0</v>
      </c>
      <c r="Z415" s="90">
        <v>1</v>
      </c>
    </row>
    <row r="416" spans="1:26" x14ac:dyDescent="0.4">
      <c r="A416" s="52">
        <v>415</v>
      </c>
      <c r="B416" s="51">
        <f t="shared" si="38"/>
        <v>14</v>
      </c>
      <c r="C416" s="50">
        <f t="shared" si="39"/>
        <v>25</v>
      </c>
      <c r="D416" s="64" t="e">
        <f t="shared" si="40"/>
        <v>#N/A</v>
      </c>
      <c r="E416" s="121" cm="1">
        <f t="array" ref="E416">INDEX(InputArea,B416,C416)</f>
        <v>0</v>
      </c>
      <c r="F416" s="59" t="str">
        <f t="shared" si="41"/>
        <v>V;</v>
      </c>
      <c r="G416" s="59" t="str">
        <f t="shared" si="42"/>
        <v>こー</v>
      </c>
      <c r="H416" s="134"/>
      <c r="I416" s="135"/>
      <c r="J416" s="84">
        <f t="shared" si="43"/>
        <v>1</v>
      </c>
      <c r="K416" s="83"/>
      <c r="L416" s="64" t="e">
        <v>#N/A</v>
      </c>
      <c r="M416" s="121">
        <v>0</v>
      </c>
      <c r="N416" s="59" t="str">
        <v>V;</v>
      </c>
      <c r="O416" s="126" t="str">
        <v>こー</v>
      </c>
      <c r="P416" s="126">
        <v>0</v>
      </c>
      <c r="Q416" s="127">
        <v>0</v>
      </c>
      <c r="R416" s="84">
        <v>1</v>
      </c>
      <c r="T416" s="100" t="e">
        <v>#N/A</v>
      </c>
      <c r="U416" s="121">
        <v>0</v>
      </c>
      <c r="V416" s="59" t="str">
        <v>V;</v>
      </c>
      <c r="W416" s="126" t="str">
        <v>こー</v>
      </c>
      <c r="X416" s="126">
        <v>0</v>
      </c>
      <c r="Y416" s="127">
        <v>0</v>
      </c>
      <c r="Z416" s="90">
        <v>1</v>
      </c>
    </row>
    <row r="417" spans="1:26" x14ac:dyDescent="0.4">
      <c r="A417" s="52">
        <v>416</v>
      </c>
      <c r="B417" s="51">
        <f t="shared" si="38"/>
        <v>14</v>
      </c>
      <c r="C417" s="50">
        <f t="shared" si="39"/>
        <v>26</v>
      </c>
      <c r="D417" s="64" t="e">
        <f t="shared" si="40"/>
        <v>#N/A</v>
      </c>
      <c r="E417" s="121" cm="1">
        <f t="array" ref="E417">INDEX(InputArea,B417,C417)</f>
        <v>0</v>
      </c>
      <c r="F417" s="59" t="str">
        <f t="shared" si="41"/>
        <v>VN</v>
      </c>
      <c r="G417" s="59" t="str">
        <f t="shared" si="42"/>
        <v>こた</v>
      </c>
      <c r="H417" s="134"/>
      <c r="I417" s="135"/>
      <c r="J417" s="84">
        <f t="shared" si="43"/>
        <v>1</v>
      </c>
      <c r="K417" s="83"/>
      <c r="L417" s="64" t="e">
        <v>#N/A</v>
      </c>
      <c r="M417" s="121">
        <v>0</v>
      </c>
      <c r="N417" s="59" t="str">
        <v>VN</v>
      </c>
      <c r="O417" s="126" t="str">
        <v>こた</v>
      </c>
      <c r="P417" s="126">
        <v>0</v>
      </c>
      <c r="Q417" s="127">
        <v>0</v>
      </c>
      <c r="R417" s="84">
        <v>1</v>
      </c>
      <c r="T417" s="100" t="e">
        <v>#N/A</v>
      </c>
      <c r="U417" s="121">
        <v>0</v>
      </c>
      <c r="V417" s="59" t="str">
        <v>VN</v>
      </c>
      <c r="W417" s="126" t="str">
        <v>こた</v>
      </c>
      <c r="X417" s="126">
        <v>0</v>
      </c>
      <c r="Y417" s="127">
        <v>0</v>
      </c>
      <c r="Z417" s="90">
        <v>1</v>
      </c>
    </row>
    <row r="418" spans="1:26" x14ac:dyDescent="0.4">
      <c r="A418" s="52">
        <v>417</v>
      </c>
      <c r="B418" s="51">
        <f t="shared" si="38"/>
        <v>14</v>
      </c>
      <c r="C418" s="50">
        <f t="shared" si="39"/>
        <v>27</v>
      </c>
      <c r="D418" s="64" t="e">
        <f t="shared" si="40"/>
        <v>#N/A</v>
      </c>
      <c r="E418" s="121" cm="1">
        <f t="array" ref="E418">INDEX(InputArea,B418,C418)</f>
        <v>0</v>
      </c>
      <c r="F418" s="59" t="str">
        <f t="shared" si="41"/>
        <v>VM</v>
      </c>
      <c r="G418" s="59" t="str">
        <f t="shared" si="42"/>
        <v>こな</v>
      </c>
      <c r="H418" s="137" t="s">
        <v>282</v>
      </c>
      <c r="I418" s="135"/>
      <c r="J418" s="84">
        <f t="shared" si="43"/>
        <v>1</v>
      </c>
      <c r="K418" s="83"/>
      <c r="L418" s="64" t="e">
        <v>#N/A</v>
      </c>
      <c r="M418" s="121">
        <v>0</v>
      </c>
      <c r="N418" s="59" t="str">
        <v>VM</v>
      </c>
      <c r="O418" s="126" t="str">
        <v>こな</v>
      </c>
      <c r="P418" s="126" t="str">
        <v>改行</v>
      </c>
      <c r="Q418" s="127">
        <v>0</v>
      </c>
      <c r="R418" s="84">
        <v>1</v>
      </c>
      <c r="T418" s="100" t="e">
        <v>#N/A</v>
      </c>
      <c r="U418" s="121">
        <v>0</v>
      </c>
      <c r="V418" s="59" t="str">
        <v>VM</v>
      </c>
      <c r="W418" s="126" t="str">
        <v>こな</v>
      </c>
      <c r="X418" s="126" t="str">
        <v>改行</v>
      </c>
      <c r="Y418" s="127">
        <v>0</v>
      </c>
      <c r="Z418" s="90">
        <v>1</v>
      </c>
    </row>
    <row r="419" spans="1:26" x14ac:dyDescent="0.4">
      <c r="A419" s="52">
        <v>418</v>
      </c>
      <c r="B419" s="51">
        <f t="shared" si="38"/>
        <v>14</v>
      </c>
      <c r="C419" s="50">
        <f t="shared" si="39"/>
        <v>28</v>
      </c>
      <c r="D419" s="64" t="e">
        <f t="shared" si="40"/>
        <v>#N/A</v>
      </c>
      <c r="E419" s="121" cm="1">
        <f t="array" ref="E419">INDEX(InputArea,B419,C419)</f>
        <v>0</v>
      </c>
      <c r="F419" s="59" t="str">
        <f t="shared" si="41"/>
        <v>V,</v>
      </c>
      <c r="G419" s="59" t="str">
        <f t="shared" si="42"/>
        <v>こん</v>
      </c>
      <c r="H419" s="134"/>
      <c r="I419" s="135"/>
      <c r="J419" s="84">
        <f t="shared" si="43"/>
        <v>1</v>
      </c>
      <c r="K419" s="83"/>
      <c r="L419" s="64" t="e">
        <v>#N/A</v>
      </c>
      <c r="M419" s="121">
        <v>0</v>
      </c>
      <c r="N419" s="59" t="str">
        <v>V,</v>
      </c>
      <c r="O419" s="126" t="str">
        <v>こん</v>
      </c>
      <c r="P419" s="126">
        <v>0</v>
      </c>
      <c r="Q419" s="127">
        <v>0</v>
      </c>
      <c r="R419" s="84">
        <v>1</v>
      </c>
      <c r="T419" s="100" t="e">
        <v>#N/A</v>
      </c>
      <c r="U419" s="121">
        <v>0</v>
      </c>
      <c r="V419" s="59" t="str">
        <v>V,</v>
      </c>
      <c r="W419" s="126" t="str">
        <v>こん</v>
      </c>
      <c r="X419" s="126">
        <v>0</v>
      </c>
      <c r="Y419" s="127">
        <v>0</v>
      </c>
      <c r="Z419" s="90">
        <v>1</v>
      </c>
    </row>
    <row r="420" spans="1:26" x14ac:dyDescent="0.4">
      <c r="A420" s="52">
        <v>419</v>
      </c>
      <c r="B420" s="51">
        <f t="shared" si="38"/>
        <v>14</v>
      </c>
      <c r="C420" s="50">
        <f t="shared" si="39"/>
        <v>29</v>
      </c>
      <c r="D420" s="64" t="e">
        <f t="shared" si="40"/>
        <v>#N/A</v>
      </c>
      <c r="E420" s="121" cm="1">
        <f t="array" ref="E420">INDEX(InputArea,B420,C420)</f>
        <v>0</v>
      </c>
      <c r="F420" s="59" t="str">
        <f t="shared" si="41"/>
        <v>V.</v>
      </c>
      <c r="G420" s="59" t="str">
        <f t="shared" si="42"/>
        <v>こら</v>
      </c>
      <c r="H420" s="134"/>
      <c r="I420" s="135"/>
      <c r="J420" s="84">
        <f t="shared" si="43"/>
        <v>1</v>
      </c>
      <c r="K420" s="83"/>
      <c r="L420" s="64" t="e">
        <v>#N/A</v>
      </c>
      <c r="M420" s="121">
        <v>0</v>
      </c>
      <c r="N420" s="59" t="str">
        <v>V.</v>
      </c>
      <c r="O420" s="126" t="str">
        <v>こら</v>
      </c>
      <c r="P420" s="126">
        <v>0</v>
      </c>
      <c r="Q420" s="127">
        <v>0</v>
      </c>
      <c r="R420" s="84">
        <v>1</v>
      </c>
      <c r="T420" s="100" t="e">
        <v>#N/A</v>
      </c>
      <c r="U420" s="121">
        <v>0</v>
      </c>
      <c r="V420" s="59" t="str">
        <v>V.</v>
      </c>
      <c r="W420" s="126" t="str">
        <v>こら</v>
      </c>
      <c r="X420" s="126">
        <v>0</v>
      </c>
      <c r="Y420" s="127">
        <v>0</v>
      </c>
      <c r="Z420" s="90">
        <v>1</v>
      </c>
    </row>
    <row r="421" spans="1:26" x14ac:dyDescent="0.4">
      <c r="A421" s="52">
        <v>420</v>
      </c>
      <c r="B421" s="51">
        <f t="shared" si="38"/>
        <v>14</v>
      </c>
      <c r="C421" s="50">
        <f t="shared" si="39"/>
        <v>30</v>
      </c>
      <c r="D421" s="64" t="e">
        <f t="shared" si="40"/>
        <v>#N/A</v>
      </c>
      <c r="E421" s="121" cm="1">
        <f t="array" ref="E421">INDEX(InputArea,B421,C421)</f>
        <v>0</v>
      </c>
      <c r="F421" s="59" t="str">
        <f t="shared" si="41"/>
        <v>V/</v>
      </c>
      <c r="G421" s="59" t="str">
        <f t="shared" si="42"/>
        <v>これ</v>
      </c>
      <c r="H421" s="134"/>
      <c r="I421" s="135"/>
      <c r="J421" s="84">
        <f t="shared" si="43"/>
        <v>1</v>
      </c>
      <c r="K421" s="83"/>
      <c r="L421" s="64" t="e">
        <v>#N/A</v>
      </c>
      <c r="M421" s="121">
        <v>0</v>
      </c>
      <c r="N421" s="59" t="str">
        <v>V/</v>
      </c>
      <c r="O421" s="126" t="str">
        <v>これ</v>
      </c>
      <c r="P421" s="126">
        <v>0</v>
      </c>
      <c r="Q421" s="127">
        <v>0</v>
      </c>
      <c r="R421" s="84">
        <v>1</v>
      </c>
      <c r="T421" s="100" t="e">
        <v>#N/A</v>
      </c>
      <c r="U421" s="121">
        <v>0</v>
      </c>
      <c r="V421" s="59" t="str">
        <v>V/</v>
      </c>
      <c r="W421" s="126" t="str">
        <v>これ</v>
      </c>
      <c r="X421" s="126">
        <v>0</v>
      </c>
      <c r="Y421" s="127">
        <v>0</v>
      </c>
      <c r="Z421" s="90">
        <v>1</v>
      </c>
    </row>
    <row r="422" spans="1:26" x14ac:dyDescent="0.4">
      <c r="A422" s="52">
        <v>421</v>
      </c>
      <c r="B422" s="51">
        <f t="shared" si="38"/>
        <v>15</v>
      </c>
      <c r="C422" s="50">
        <f t="shared" si="39"/>
        <v>1</v>
      </c>
      <c r="D422" s="64" t="e">
        <f t="shared" si="40"/>
        <v>#N/A</v>
      </c>
      <c r="E422" s="121" cm="1">
        <f t="array" ref="E422">INDEX(InputArea,B422,C422)</f>
        <v>0</v>
      </c>
      <c r="F422" s="59" t="str">
        <f t="shared" si="41"/>
        <v>BQ</v>
      </c>
      <c r="G422" s="59" t="str">
        <f t="shared" si="42"/>
        <v>そヴ</v>
      </c>
      <c r="H422" s="134"/>
      <c r="I422" s="135"/>
      <c r="J422" s="84">
        <f t="shared" si="43"/>
        <v>0</v>
      </c>
      <c r="K422" s="83"/>
      <c r="L422" s="64" t="e">
        <v>#N/A</v>
      </c>
      <c r="M422" s="121">
        <v>0</v>
      </c>
      <c r="N422" s="59" t="str">
        <v>BQ</v>
      </c>
      <c r="O422" s="126" t="str">
        <v>そヴ</v>
      </c>
      <c r="P422" s="126">
        <v>0</v>
      </c>
      <c r="Q422" s="127">
        <v>0</v>
      </c>
      <c r="R422" s="84">
        <v>0</v>
      </c>
      <c r="T422" s="100" t="e">
        <v>#N/A</v>
      </c>
      <c r="U422" s="121">
        <v>0</v>
      </c>
      <c r="V422" s="59" t="str">
        <v>BQ</v>
      </c>
      <c r="W422" s="126" t="str">
        <v>そヴ</v>
      </c>
      <c r="X422" s="126">
        <v>0</v>
      </c>
      <c r="Y422" s="127">
        <v>0</v>
      </c>
      <c r="Z422" s="90">
        <v>0</v>
      </c>
    </row>
    <row r="423" spans="1:26" x14ac:dyDescent="0.4">
      <c r="A423" s="52">
        <v>422</v>
      </c>
      <c r="B423" s="51">
        <f t="shared" si="38"/>
        <v>15</v>
      </c>
      <c r="C423" s="50">
        <f t="shared" si="39"/>
        <v>2</v>
      </c>
      <c r="D423" s="64" t="e">
        <f t="shared" si="40"/>
        <v>#N/A</v>
      </c>
      <c r="E423" s="121" cm="1">
        <f t="array" ref="E423">INDEX(InputArea,B423,C423)</f>
        <v>0</v>
      </c>
      <c r="F423" s="59" t="str">
        <f t="shared" si="41"/>
        <v>BW</v>
      </c>
      <c r="G423" s="59" t="str">
        <f t="shared" si="42"/>
        <v>そき</v>
      </c>
      <c r="H423" s="134"/>
      <c r="I423" s="135"/>
      <c r="J423" s="84">
        <f t="shared" si="43"/>
        <v>0</v>
      </c>
      <c r="K423" s="83"/>
      <c r="L423" s="64" t="e">
        <v>#N/A</v>
      </c>
      <c r="M423" s="121">
        <v>0</v>
      </c>
      <c r="N423" s="59" t="str">
        <v>BW</v>
      </c>
      <c r="O423" s="126" t="str">
        <v>そき</v>
      </c>
      <c r="P423" s="126">
        <v>0</v>
      </c>
      <c r="Q423" s="127">
        <v>0</v>
      </c>
      <c r="R423" s="84">
        <v>0</v>
      </c>
      <c r="T423" s="100" t="e">
        <v>#N/A</v>
      </c>
      <c r="U423" s="121">
        <v>0</v>
      </c>
      <c r="V423" s="59" t="str">
        <v>BW</v>
      </c>
      <c r="W423" s="126" t="str">
        <v>そき</v>
      </c>
      <c r="X423" s="126">
        <v>0</v>
      </c>
      <c r="Y423" s="127">
        <v>0</v>
      </c>
      <c r="Z423" s="90">
        <v>0</v>
      </c>
    </row>
    <row r="424" spans="1:26" x14ac:dyDescent="0.4">
      <c r="A424" s="52">
        <v>423</v>
      </c>
      <c r="B424" s="51">
        <f t="shared" si="38"/>
        <v>15</v>
      </c>
      <c r="C424" s="50">
        <f t="shared" si="39"/>
        <v>3</v>
      </c>
      <c r="D424" s="64" t="e">
        <f t="shared" si="40"/>
        <v>#N/A</v>
      </c>
      <c r="E424" s="121" cm="1">
        <f t="array" ref="E424">INDEX(InputArea,B424,C424)</f>
        <v>0</v>
      </c>
      <c r="F424" s="59" t="str">
        <f t="shared" si="41"/>
        <v>BE</v>
      </c>
      <c r="G424" s="59" t="str">
        <f t="shared" si="42"/>
        <v>そて</v>
      </c>
      <c r="H424" s="134"/>
      <c r="I424" s="136" t="s">
        <v>265</v>
      </c>
      <c r="J424" s="84">
        <f t="shared" si="43"/>
        <v>0</v>
      </c>
      <c r="K424" s="83"/>
      <c r="L424" s="64" t="e">
        <v>#N/A</v>
      </c>
      <c r="M424" s="121">
        <v>0</v>
      </c>
      <c r="N424" s="59" t="str">
        <v>BE</v>
      </c>
      <c r="O424" s="126" t="str">
        <v>そて</v>
      </c>
      <c r="P424" s="126">
        <v>0</v>
      </c>
      <c r="Q424" s="127" t="str">
        <v>べ</v>
      </c>
      <c r="R424" s="84">
        <v>0</v>
      </c>
      <c r="T424" s="100" t="e">
        <v>#N/A</v>
      </c>
      <c r="U424" s="121">
        <v>0</v>
      </c>
      <c r="V424" s="59" t="str">
        <v>BE</v>
      </c>
      <c r="W424" s="126" t="str">
        <v>そて</v>
      </c>
      <c r="X424" s="126">
        <v>0</v>
      </c>
      <c r="Y424" s="127" t="str">
        <v>べ</v>
      </c>
      <c r="Z424" s="90">
        <v>0</v>
      </c>
    </row>
    <row r="425" spans="1:26" x14ac:dyDescent="0.4">
      <c r="A425" s="52">
        <v>424</v>
      </c>
      <c r="B425" s="51">
        <f t="shared" si="38"/>
        <v>15</v>
      </c>
      <c r="C425" s="50">
        <f t="shared" si="39"/>
        <v>4</v>
      </c>
      <c r="D425" s="64" t="e">
        <f t="shared" si="40"/>
        <v>#N/A</v>
      </c>
      <c r="E425" s="121" cm="1">
        <f t="array" ref="E425">INDEX(InputArea,B425,C425)</f>
        <v>0</v>
      </c>
      <c r="F425" s="59" t="str">
        <f t="shared" si="41"/>
        <v>BR</v>
      </c>
      <c r="G425" s="59" t="str">
        <f t="shared" si="42"/>
        <v>そし</v>
      </c>
      <c r="H425" s="134"/>
      <c r="I425" s="135"/>
      <c r="J425" s="84">
        <f t="shared" si="43"/>
        <v>0</v>
      </c>
      <c r="K425" s="83"/>
      <c r="L425" s="64" t="e">
        <v>#N/A</v>
      </c>
      <c r="M425" s="121">
        <v>0</v>
      </c>
      <c r="N425" s="59" t="str">
        <v>BR</v>
      </c>
      <c r="O425" s="126" t="str">
        <v>そし</v>
      </c>
      <c r="P425" s="126">
        <v>0</v>
      </c>
      <c r="Q425" s="127">
        <v>0</v>
      </c>
      <c r="R425" s="84">
        <v>0</v>
      </c>
      <c r="T425" s="100" t="e">
        <v>#N/A</v>
      </c>
      <c r="U425" s="121">
        <v>0</v>
      </c>
      <c r="V425" s="59" t="str">
        <v>BR</v>
      </c>
      <c r="W425" s="126" t="str">
        <v>そし</v>
      </c>
      <c r="X425" s="126">
        <v>0</v>
      </c>
      <c r="Y425" s="127">
        <v>0</v>
      </c>
      <c r="Z425" s="90">
        <v>0</v>
      </c>
    </row>
    <row r="426" spans="1:26" x14ac:dyDescent="0.4">
      <c r="A426" s="52">
        <v>425</v>
      </c>
      <c r="B426" s="51">
        <f t="shared" si="38"/>
        <v>15</v>
      </c>
      <c r="C426" s="50">
        <f t="shared" si="39"/>
        <v>5</v>
      </c>
      <c r="D426" s="64" t="e">
        <f t="shared" si="40"/>
        <v>#N/A</v>
      </c>
      <c r="E426" s="121" cm="1">
        <f t="array" ref="E426">INDEX(InputArea,B426,C426)</f>
        <v>0</v>
      </c>
      <c r="F426" s="59" t="str">
        <f t="shared" si="41"/>
        <v>BT</v>
      </c>
      <c r="G426" s="59" t="str">
        <f t="shared" si="42"/>
        <v>そ←</v>
      </c>
      <c r="H426" s="134"/>
      <c r="I426" s="135"/>
      <c r="J426" s="84">
        <f t="shared" si="43"/>
        <v>0</v>
      </c>
      <c r="K426" s="83"/>
      <c r="L426" s="64" t="e">
        <v>#N/A</v>
      </c>
      <c r="M426" s="121">
        <v>0</v>
      </c>
      <c r="N426" s="59" t="str">
        <v>BT</v>
      </c>
      <c r="O426" s="126" t="str">
        <v>そ←</v>
      </c>
      <c r="P426" s="126">
        <v>0</v>
      </c>
      <c r="Q426" s="127">
        <v>0</v>
      </c>
      <c r="R426" s="84">
        <v>0</v>
      </c>
      <c r="T426" s="100" t="e">
        <v>#N/A</v>
      </c>
      <c r="U426" s="121">
        <v>0</v>
      </c>
      <c r="V426" s="59" t="str">
        <v>BT</v>
      </c>
      <c r="W426" s="126" t="str">
        <v>そ←</v>
      </c>
      <c r="X426" s="126">
        <v>0</v>
      </c>
      <c r="Y426" s="127">
        <v>0</v>
      </c>
      <c r="Z426" s="90">
        <v>0</v>
      </c>
    </row>
    <row r="427" spans="1:26" x14ac:dyDescent="0.4">
      <c r="A427" s="52">
        <v>426</v>
      </c>
      <c r="B427" s="51">
        <f t="shared" si="38"/>
        <v>15</v>
      </c>
      <c r="C427" s="50">
        <f t="shared" si="39"/>
        <v>6</v>
      </c>
      <c r="D427" s="64" t="e">
        <f t="shared" si="40"/>
        <v>#N/A</v>
      </c>
      <c r="E427" s="121" cm="1">
        <f t="array" ref="E427">INDEX(InputArea,B427,C427)</f>
        <v>0</v>
      </c>
      <c r="F427" s="59" t="str">
        <f t="shared" si="41"/>
        <v>BA</v>
      </c>
      <c r="G427" s="59" t="str">
        <f t="shared" si="42"/>
        <v>そろ</v>
      </c>
      <c r="H427" s="134"/>
      <c r="I427" s="136" t="s">
        <v>276</v>
      </c>
      <c r="J427" s="84">
        <f t="shared" si="43"/>
        <v>0</v>
      </c>
      <c r="K427" s="83"/>
      <c r="L427" s="64" t="e">
        <v>#N/A</v>
      </c>
      <c r="M427" s="121">
        <v>0</v>
      </c>
      <c r="N427" s="59" t="str">
        <v>BA</v>
      </c>
      <c r="O427" s="126" t="str">
        <v>そろ</v>
      </c>
      <c r="P427" s="126">
        <v>0</v>
      </c>
      <c r="Q427" s="127" t="str">
        <v>ば</v>
      </c>
      <c r="R427" s="84">
        <v>0</v>
      </c>
      <c r="T427" s="100" t="e">
        <v>#N/A</v>
      </c>
      <c r="U427" s="121">
        <v>0</v>
      </c>
      <c r="V427" s="59" t="str">
        <v>BA</v>
      </c>
      <c r="W427" s="126" t="str">
        <v>そろ</v>
      </c>
      <c r="X427" s="126">
        <v>0</v>
      </c>
      <c r="Y427" s="127" t="str">
        <v>ば</v>
      </c>
      <c r="Z427" s="90">
        <v>0</v>
      </c>
    </row>
    <row r="428" spans="1:26" x14ac:dyDescent="0.4">
      <c r="A428" s="52">
        <v>427</v>
      </c>
      <c r="B428" s="51">
        <f t="shared" si="38"/>
        <v>15</v>
      </c>
      <c r="C428" s="50">
        <f t="shared" si="39"/>
        <v>7</v>
      </c>
      <c r="D428" s="64" t="e">
        <f t="shared" si="40"/>
        <v>#N/A</v>
      </c>
      <c r="E428" s="121" cm="1">
        <f t="array" ref="E428">INDEX(InputArea,B428,C428)</f>
        <v>0</v>
      </c>
      <c r="F428" s="59" t="str">
        <f t="shared" si="41"/>
        <v>BS</v>
      </c>
      <c r="G428" s="59" t="str">
        <f t="shared" si="42"/>
        <v>そけ</v>
      </c>
      <c r="H428" s="134"/>
      <c r="I428" s="135"/>
      <c r="J428" s="84">
        <f t="shared" si="43"/>
        <v>0</v>
      </c>
      <c r="K428" s="83"/>
      <c r="L428" s="64" t="e">
        <v>#N/A</v>
      </c>
      <c r="M428" s="121">
        <v>0</v>
      </c>
      <c r="N428" s="59" t="str">
        <v>BS</v>
      </c>
      <c r="O428" s="126" t="str">
        <v>そけ</v>
      </c>
      <c r="P428" s="126">
        <v>0</v>
      </c>
      <c r="Q428" s="127">
        <v>0</v>
      </c>
      <c r="R428" s="84">
        <v>0</v>
      </c>
      <c r="T428" s="100" t="e">
        <v>#N/A</v>
      </c>
      <c r="U428" s="121">
        <v>0</v>
      </c>
      <c r="V428" s="59" t="str">
        <v>BS</v>
      </c>
      <c r="W428" s="126" t="str">
        <v>そけ</v>
      </c>
      <c r="X428" s="126">
        <v>0</v>
      </c>
      <c r="Y428" s="127">
        <v>0</v>
      </c>
      <c r="Z428" s="90">
        <v>0</v>
      </c>
    </row>
    <row r="429" spans="1:26" x14ac:dyDescent="0.4">
      <c r="A429" s="52">
        <v>428</v>
      </c>
      <c r="B429" s="51">
        <f t="shared" si="38"/>
        <v>15</v>
      </c>
      <c r="C429" s="50">
        <f t="shared" si="39"/>
        <v>8</v>
      </c>
      <c r="D429" s="64" t="e">
        <f t="shared" si="40"/>
        <v>#N/A</v>
      </c>
      <c r="E429" s="121" cm="1">
        <f t="array" ref="E429">INDEX(InputArea,B429,C429)</f>
        <v>0</v>
      </c>
      <c r="F429" s="59" t="str">
        <f t="shared" si="41"/>
        <v>BD</v>
      </c>
      <c r="G429" s="59" t="str">
        <f t="shared" si="42"/>
        <v>そと</v>
      </c>
      <c r="H429" s="134"/>
      <c r="I429" s="135"/>
      <c r="J429" s="84">
        <f t="shared" si="43"/>
        <v>0</v>
      </c>
      <c r="K429" s="83"/>
      <c r="L429" s="64" t="e">
        <v>#N/A</v>
      </c>
      <c r="M429" s="121">
        <v>0</v>
      </c>
      <c r="N429" s="59" t="str">
        <v>BD</v>
      </c>
      <c r="O429" s="126" t="str">
        <v>そと</v>
      </c>
      <c r="P429" s="126">
        <v>0</v>
      </c>
      <c r="Q429" s="127">
        <v>0</v>
      </c>
      <c r="R429" s="84">
        <v>0</v>
      </c>
      <c r="T429" s="100" t="e">
        <v>#N/A</v>
      </c>
      <c r="U429" s="121">
        <v>0</v>
      </c>
      <c r="V429" s="59" t="str">
        <v>BD</v>
      </c>
      <c r="W429" s="126" t="str">
        <v>そと</v>
      </c>
      <c r="X429" s="126">
        <v>0</v>
      </c>
      <c r="Y429" s="127">
        <v>0</v>
      </c>
      <c r="Z429" s="90">
        <v>0</v>
      </c>
    </row>
    <row r="430" spans="1:26" x14ac:dyDescent="0.4">
      <c r="A430" s="52">
        <v>429</v>
      </c>
      <c r="B430" s="51">
        <f t="shared" si="38"/>
        <v>15</v>
      </c>
      <c r="C430" s="50">
        <f t="shared" si="39"/>
        <v>9</v>
      </c>
      <c r="D430" s="64" t="e">
        <f t="shared" si="40"/>
        <v>#N/A</v>
      </c>
      <c r="E430" s="121" cm="1">
        <f t="array" ref="E430">INDEX(InputArea,B430,C430)</f>
        <v>0</v>
      </c>
      <c r="F430" s="59" t="str">
        <f t="shared" si="41"/>
        <v>BF</v>
      </c>
      <c r="G430" s="59" t="str">
        <f t="shared" si="42"/>
        <v>そか</v>
      </c>
      <c r="H430" s="134"/>
      <c r="I430" s="135"/>
      <c r="J430" s="84">
        <f t="shared" si="43"/>
        <v>0</v>
      </c>
      <c r="K430" s="83"/>
      <c r="L430" s="64" t="e">
        <v>#N/A</v>
      </c>
      <c r="M430" s="121">
        <v>0</v>
      </c>
      <c r="N430" s="59" t="str">
        <v>BF</v>
      </c>
      <c r="O430" s="126" t="str">
        <v>そか</v>
      </c>
      <c r="P430" s="126">
        <v>0</v>
      </c>
      <c r="Q430" s="127">
        <v>0</v>
      </c>
      <c r="R430" s="84">
        <v>0</v>
      </c>
      <c r="T430" s="100" t="e">
        <v>#N/A</v>
      </c>
      <c r="U430" s="121">
        <v>0</v>
      </c>
      <c r="V430" s="59" t="str">
        <v>BF</v>
      </c>
      <c r="W430" s="126" t="str">
        <v>そか</v>
      </c>
      <c r="X430" s="126">
        <v>0</v>
      </c>
      <c r="Y430" s="127">
        <v>0</v>
      </c>
      <c r="Z430" s="90">
        <v>0</v>
      </c>
    </row>
    <row r="431" spans="1:26" x14ac:dyDescent="0.4">
      <c r="A431" s="52">
        <v>430</v>
      </c>
      <c r="B431" s="51">
        <f t="shared" si="38"/>
        <v>15</v>
      </c>
      <c r="C431" s="50">
        <f t="shared" si="39"/>
        <v>10</v>
      </c>
      <c r="D431" s="64" t="e">
        <f t="shared" si="40"/>
        <v>#N/A</v>
      </c>
      <c r="E431" s="121" cm="1">
        <f t="array" ref="E431">INDEX(InputArea,B431,C431)</f>
        <v>0</v>
      </c>
      <c r="F431" s="59" t="str">
        <f t="shared" si="41"/>
        <v>BG</v>
      </c>
      <c r="G431" s="59" t="str">
        <f t="shared" si="42"/>
        <v>そっ</v>
      </c>
      <c r="H431" s="134"/>
      <c r="I431" s="135"/>
      <c r="J431" s="84">
        <f t="shared" si="43"/>
        <v>0</v>
      </c>
      <c r="K431" s="83"/>
      <c r="L431" s="64" t="e">
        <v>#N/A</v>
      </c>
      <c r="M431" s="121">
        <v>0</v>
      </c>
      <c r="N431" s="59" t="str">
        <v>BG</v>
      </c>
      <c r="O431" s="126" t="str">
        <v>そっ</v>
      </c>
      <c r="P431" s="126">
        <v>0</v>
      </c>
      <c r="Q431" s="127">
        <v>0</v>
      </c>
      <c r="R431" s="84">
        <v>0</v>
      </c>
      <c r="T431" s="100" t="e">
        <v>#N/A</v>
      </c>
      <c r="U431" s="121">
        <v>0</v>
      </c>
      <c r="V431" s="59" t="str">
        <v>BG</v>
      </c>
      <c r="W431" s="126" t="str">
        <v>そっ</v>
      </c>
      <c r="X431" s="126">
        <v>0</v>
      </c>
      <c r="Y431" s="127">
        <v>0</v>
      </c>
      <c r="Z431" s="90">
        <v>0</v>
      </c>
    </row>
    <row r="432" spans="1:26" x14ac:dyDescent="0.4">
      <c r="A432" s="52">
        <v>431</v>
      </c>
      <c r="B432" s="51">
        <f t="shared" si="38"/>
        <v>15</v>
      </c>
      <c r="C432" s="50">
        <f t="shared" si="39"/>
        <v>11</v>
      </c>
      <c r="D432" s="64" t="e">
        <f t="shared" si="40"/>
        <v>#N/A</v>
      </c>
      <c r="E432" s="121" cm="1">
        <f t="array" ref="E432">INDEX(InputArea,B432,C432)</f>
        <v>0</v>
      </c>
      <c r="F432" s="59" t="str">
        <f t="shared" si="41"/>
        <v>BZ</v>
      </c>
      <c r="G432" s="59" t="str">
        <f t="shared" si="42"/>
        <v>そほ</v>
      </c>
      <c r="H432" s="134"/>
      <c r="I432" s="135"/>
      <c r="J432" s="84">
        <f t="shared" si="43"/>
        <v>0</v>
      </c>
      <c r="K432" s="83"/>
      <c r="L432" s="64" t="e">
        <v>#N/A</v>
      </c>
      <c r="M432" s="121">
        <v>0</v>
      </c>
      <c r="N432" s="59" t="str">
        <v>BZ</v>
      </c>
      <c r="O432" s="126" t="str">
        <v>そほ</v>
      </c>
      <c r="P432" s="126">
        <v>0</v>
      </c>
      <c r="Q432" s="127">
        <v>0</v>
      </c>
      <c r="R432" s="84">
        <v>0</v>
      </c>
      <c r="T432" s="100" t="e">
        <v>#N/A</v>
      </c>
      <c r="U432" s="121">
        <v>0</v>
      </c>
      <c r="V432" s="59" t="str">
        <v>BZ</v>
      </c>
      <c r="W432" s="126" t="str">
        <v>そほ</v>
      </c>
      <c r="X432" s="126">
        <v>0</v>
      </c>
      <c r="Y432" s="127">
        <v>0</v>
      </c>
      <c r="Z432" s="90">
        <v>0</v>
      </c>
    </row>
    <row r="433" spans="1:26" x14ac:dyDescent="0.4">
      <c r="A433" s="52">
        <v>432</v>
      </c>
      <c r="B433" s="51">
        <f t="shared" si="38"/>
        <v>15</v>
      </c>
      <c r="C433" s="50">
        <f t="shared" si="39"/>
        <v>12</v>
      </c>
      <c r="D433" s="64" t="e">
        <f t="shared" si="40"/>
        <v>#N/A</v>
      </c>
      <c r="E433" s="121" cm="1">
        <f t="array" ref="E433">INDEX(InputArea,B433,C433)</f>
        <v>0</v>
      </c>
      <c r="F433" s="59" t="str">
        <f t="shared" si="41"/>
        <v>BX</v>
      </c>
      <c r="G433" s="59" t="str">
        <f t="shared" si="42"/>
        <v>そひ</v>
      </c>
      <c r="H433" s="134"/>
      <c r="I433" s="135"/>
      <c r="J433" s="84">
        <f t="shared" si="43"/>
        <v>0</v>
      </c>
      <c r="K433" s="83"/>
      <c r="L433" s="64" t="e">
        <v>#N/A</v>
      </c>
      <c r="M433" s="121">
        <v>0</v>
      </c>
      <c r="N433" s="59" t="str">
        <v>BX</v>
      </c>
      <c r="O433" s="126" t="str">
        <v>そひ</v>
      </c>
      <c r="P433" s="126">
        <v>0</v>
      </c>
      <c r="Q433" s="127">
        <v>0</v>
      </c>
      <c r="R433" s="84">
        <v>0</v>
      </c>
      <c r="T433" s="100" t="e">
        <v>#N/A</v>
      </c>
      <c r="U433" s="121">
        <v>0</v>
      </c>
      <c r="V433" s="59" t="str">
        <v>BX</v>
      </c>
      <c r="W433" s="126" t="str">
        <v>そひ</v>
      </c>
      <c r="X433" s="126">
        <v>0</v>
      </c>
      <c r="Y433" s="127">
        <v>0</v>
      </c>
      <c r="Z433" s="90">
        <v>0</v>
      </c>
    </row>
    <row r="434" spans="1:26" x14ac:dyDescent="0.4">
      <c r="A434" s="52">
        <v>433</v>
      </c>
      <c r="B434" s="51">
        <f t="shared" si="38"/>
        <v>15</v>
      </c>
      <c r="C434" s="50">
        <f t="shared" si="39"/>
        <v>13</v>
      </c>
      <c r="D434" s="64" t="e">
        <f t="shared" si="40"/>
        <v>#N/A</v>
      </c>
      <c r="E434" s="121" cm="1">
        <f t="array" ref="E434">INDEX(InputArea,B434,C434)</f>
        <v>0</v>
      </c>
      <c r="F434" s="59" t="str">
        <f t="shared" si="41"/>
        <v>BC</v>
      </c>
      <c r="G434" s="59" t="str">
        <f t="shared" si="42"/>
        <v>そは</v>
      </c>
      <c r="H434" s="134"/>
      <c r="I434" s="135"/>
      <c r="J434" s="84">
        <f t="shared" si="43"/>
        <v>0</v>
      </c>
      <c r="K434" s="83"/>
      <c r="L434" s="64" t="e">
        <v>#N/A</v>
      </c>
      <c r="M434" s="121">
        <v>0</v>
      </c>
      <c r="N434" s="59" t="str">
        <v>BC</v>
      </c>
      <c r="O434" s="126" t="str">
        <v>そは</v>
      </c>
      <c r="P434" s="126">
        <v>0</v>
      </c>
      <c r="Q434" s="127">
        <v>0</v>
      </c>
      <c r="R434" s="84">
        <v>0</v>
      </c>
      <c r="T434" s="100" t="e">
        <v>#N/A</v>
      </c>
      <c r="U434" s="121">
        <v>0</v>
      </c>
      <c r="V434" s="59" t="str">
        <v>BC</v>
      </c>
      <c r="W434" s="126" t="str">
        <v>そは</v>
      </c>
      <c r="X434" s="126">
        <v>0</v>
      </c>
      <c r="Y434" s="127">
        <v>0</v>
      </c>
      <c r="Z434" s="90">
        <v>0</v>
      </c>
    </row>
    <row r="435" spans="1:26" x14ac:dyDescent="0.4">
      <c r="A435" s="52">
        <v>434</v>
      </c>
      <c r="B435" s="51">
        <f t="shared" si="38"/>
        <v>15</v>
      </c>
      <c r="C435" s="50">
        <f t="shared" si="39"/>
        <v>14</v>
      </c>
      <c r="D435" s="64" t="e">
        <f t="shared" si="40"/>
        <v>#N/A</v>
      </c>
      <c r="E435" s="121" cm="1">
        <f t="array" ref="E435">INDEX(InputArea,B435,C435)</f>
        <v>0</v>
      </c>
      <c r="F435" s="59" t="str">
        <f t="shared" si="41"/>
        <v>BV</v>
      </c>
      <c r="G435" s="59" t="str">
        <f t="shared" si="42"/>
        <v>そこ</v>
      </c>
      <c r="H435" s="134"/>
      <c r="I435" s="135"/>
      <c r="J435" s="84">
        <f t="shared" si="43"/>
        <v>0</v>
      </c>
      <c r="K435" s="83"/>
      <c r="L435" s="64" t="e">
        <v>#N/A</v>
      </c>
      <c r="M435" s="121">
        <v>0</v>
      </c>
      <c r="N435" s="59" t="str">
        <v>BV</v>
      </c>
      <c r="O435" s="126" t="str">
        <v>そこ</v>
      </c>
      <c r="P435" s="126">
        <v>0</v>
      </c>
      <c r="Q435" s="127">
        <v>0</v>
      </c>
      <c r="R435" s="84">
        <v>0</v>
      </c>
      <c r="T435" s="100" t="e">
        <v>#N/A</v>
      </c>
      <c r="U435" s="121">
        <v>0</v>
      </c>
      <c r="V435" s="59" t="str">
        <v>BV</v>
      </c>
      <c r="W435" s="126" t="str">
        <v>そこ</v>
      </c>
      <c r="X435" s="126">
        <v>0</v>
      </c>
      <c r="Y435" s="127">
        <v>0</v>
      </c>
      <c r="Z435" s="90">
        <v>0</v>
      </c>
    </row>
    <row r="436" spans="1:26" x14ac:dyDescent="0.4">
      <c r="A436" s="52">
        <v>435</v>
      </c>
      <c r="B436" s="51">
        <f t="shared" si="38"/>
        <v>15</v>
      </c>
      <c r="C436" s="50">
        <f t="shared" si="39"/>
        <v>15</v>
      </c>
      <c r="D436" s="64" t="e">
        <f t="shared" si="40"/>
        <v>#N/A</v>
      </c>
      <c r="E436" s="121" cm="1">
        <f t="array" ref="E436">INDEX(InputArea,B436,C436)</f>
        <v>0</v>
      </c>
      <c r="F436" s="59" t="str">
        <f t="shared" si="41"/>
        <v>BB</v>
      </c>
      <c r="G436" s="59" t="str">
        <f t="shared" si="42"/>
        <v>そそ</v>
      </c>
      <c r="H436" s="134"/>
      <c r="I436" s="136" t="s">
        <v>416</v>
      </c>
      <c r="J436" s="84">
        <f t="shared" si="43"/>
        <v>0</v>
      </c>
      <c r="K436" s="83"/>
      <c r="L436" s="64" t="e">
        <v>#N/A</v>
      </c>
      <c r="M436" s="121">
        <v>0</v>
      </c>
      <c r="N436" s="59" t="str">
        <v>BB</v>
      </c>
      <c r="O436" s="126" t="str">
        <v>そそ</v>
      </c>
      <c r="P436" s="126">
        <v>0</v>
      </c>
      <c r="Q436" s="127" t="str">
        <v>っｂ</v>
      </c>
      <c r="R436" s="84">
        <v>0</v>
      </c>
      <c r="T436" s="100" t="e">
        <v>#N/A</v>
      </c>
      <c r="U436" s="121">
        <v>0</v>
      </c>
      <c r="V436" s="59" t="str">
        <v>BB</v>
      </c>
      <c r="W436" s="126" t="str">
        <v>そそ</v>
      </c>
      <c r="X436" s="126">
        <v>0</v>
      </c>
      <c r="Y436" s="127" t="str">
        <v>っｂ</v>
      </c>
      <c r="Z436" s="90">
        <v>0</v>
      </c>
    </row>
    <row r="437" spans="1:26" x14ac:dyDescent="0.4">
      <c r="A437" s="52">
        <v>436</v>
      </c>
      <c r="B437" s="51">
        <f t="shared" si="38"/>
        <v>15</v>
      </c>
      <c r="C437" s="50">
        <f t="shared" si="39"/>
        <v>16</v>
      </c>
      <c r="D437" s="64" t="e">
        <f t="shared" si="40"/>
        <v>#N/A</v>
      </c>
      <c r="E437" s="121" cm="1">
        <f t="array" ref="E437">INDEX(InputArea,B437,C437)</f>
        <v>0</v>
      </c>
      <c r="F437" s="59" t="str">
        <f t="shared" si="41"/>
        <v>BY</v>
      </c>
      <c r="G437" s="59" t="str">
        <f t="shared" si="42"/>
        <v>そ→</v>
      </c>
      <c r="H437" s="134"/>
      <c r="I437" s="136" t="s">
        <v>417</v>
      </c>
      <c r="J437" s="84">
        <f t="shared" si="43"/>
        <v>1</v>
      </c>
      <c r="K437" s="83"/>
      <c r="L437" s="64" t="e">
        <v>#N/A</v>
      </c>
      <c r="M437" s="121">
        <v>0</v>
      </c>
      <c r="N437" s="59" t="str">
        <v>BY</v>
      </c>
      <c r="O437" s="126" t="str">
        <v>そ→</v>
      </c>
      <c r="P437" s="126">
        <v>0</v>
      </c>
      <c r="Q437" s="127" t="str">
        <v>ｂｙ</v>
      </c>
      <c r="R437" s="84">
        <v>1</v>
      </c>
      <c r="T437" s="100" t="e">
        <v>#N/A</v>
      </c>
      <c r="U437" s="121">
        <v>0</v>
      </c>
      <c r="V437" s="59" t="str">
        <v>BY</v>
      </c>
      <c r="W437" s="126" t="str">
        <v>そ→</v>
      </c>
      <c r="X437" s="126">
        <v>0</v>
      </c>
      <c r="Y437" s="127" t="str">
        <v>ｂｙ</v>
      </c>
      <c r="Z437" s="90">
        <v>1</v>
      </c>
    </row>
    <row r="438" spans="1:26" x14ac:dyDescent="0.4">
      <c r="A438" s="52">
        <v>437</v>
      </c>
      <c r="B438" s="51">
        <f t="shared" si="38"/>
        <v>15</v>
      </c>
      <c r="C438" s="50">
        <f t="shared" si="39"/>
        <v>17</v>
      </c>
      <c r="D438" s="64" t="e">
        <f t="shared" si="40"/>
        <v>#N/A</v>
      </c>
      <c r="E438" s="121" cm="1">
        <f t="array" ref="E438">INDEX(InputArea,B438,C438)</f>
        <v>0</v>
      </c>
      <c r="F438" s="59" t="str">
        <f t="shared" si="41"/>
        <v>BU</v>
      </c>
      <c r="G438" s="59" t="str">
        <f t="shared" si="42"/>
        <v>そBS</v>
      </c>
      <c r="H438" s="134"/>
      <c r="I438" s="136" t="s">
        <v>257</v>
      </c>
      <c r="J438" s="84">
        <f t="shared" si="43"/>
        <v>1</v>
      </c>
      <c r="K438" s="83"/>
      <c r="L438" s="64" t="e">
        <v>#N/A</v>
      </c>
      <c r="M438" s="121">
        <v>0</v>
      </c>
      <c r="N438" s="59" t="str">
        <v>BU</v>
      </c>
      <c r="O438" s="126" t="str">
        <v>そBS</v>
      </c>
      <c r="P438" s="126">
        <v>0</v>
      </c>
      <c r="Q438" s="127" t="str">
        <v>ぶ</v>
      </c>
      <c r="R438" s="84">
        <v>1</v>
      </c>
      <c r="T438" s="100" t="e">
        <v>#N/A</v>
      </c>
      <c r="U438" s="121">
        <v>0</v>
      </c>
      <c r="V438" s="59" t="str">
        <v>BU</v>
      </c>
      <c r="W438" s="126" t="str">
        <v>そBS</v>
      </c>
      <c r="X438" s="126">
        <v>0</v>
      </c>
      <c r="Y438" s="127" t="str">
        <v>ぶ</v>
      </c>
      <c r="Z438" s="90">
        <v>1</v>
      </c>
    </row>
    <row r="439" spans="1:26" x14ac:dyDescent="0.4">
      <c r="A439" s="52">
        <v>438</v>
      </c>
      <c r="B439" s="51">
        <f t="shared" si="38"/>
        <v>15</v>
      </c>
      <c r="C439" s="50">
        <f t="shared" si="39"/>
        <v>18</v>
      </c>
      <c r="D439" s="64" t="e">
        <f t="shared" si="40"/>
        <v>#N/A</v>
      </c>
      <c r="E439" s="121" cm="1">
        <f t="array" ref="E439">INDEX(InputArea,B439,C439)</f>
        <v>0</v>
      </c>
      <c r="F439" s="59" t="str">
        <f t="shared" si="41"/>
        <v>BI</v>
      </c>
      <c r="G439" s="59" t="str">
        <f t="shared" si="42"/>
        <v>そる</v>
      </c>
      <c r="H439" s="137" t="s">
        <v>278</v>
      </c>
      <c r="I439" s="136" t="s">
        <v>275</v>
      </c>
      <c r="J439" s="84">
        <f t="shared" si="43"/>
        <v>1</v>
      </c>
      <c r="K439" s="83"/>
      <c r="L439" s="64" t="e">
        <v>#N/A</v>
      </c>
      <c r="M439" s="121">
        <v>0</v>
      </c>
      <c r="N439" s="59" t="str">
        <v>BI</v>
      </c>
      <c r="O439" s="126" t="str">
        <v>そる</v>
      </c>
      <c r="P439" s="126" t="str">
        <v>みょ</v>
      </c>
      <c r="Q439" s="127" t="str">
        <v>び</v>
      </c>
      <c r="R439" s="84">
        <v>1</v>
      </c>
      <c r="T439" s="100" t="e">
        <v>#N/A</v>
      </c>
      <c r="U439" s="121">
        <v>0</v>
      </c>
      <c r="V439" s="59" t="str">
        <v>BI</v>
      </c>
      <c r="W439" s="126" t="str">
        <v>そる</v>
      </c>
      <c r="X439" s="126" t="str">
        <v>みょ</v>
      </c>
      <c r="Y439" s="127" t="str">
        <v>び</v>
      </c>
      <c r="Z439" s="90">
        <v>1</v>
      </c>
    </row>
    <row r="440" spans="1:26" x14ac:dyDescent="0.4">
      <c r="A440" s="52">
        <v>439</v>
      </c>
      <c r="B440" s="51">
        <f t="shared" si="38"/>
        <v>15</v>
      </c>
      <c r="C440" s="50">
        <f t="shared" si="39"/>
        <v>19</v>
      </c>
      <c r="D440" s="64" t="e">
        <f t="shared" si="40"/>
        <v>#N/A</v>
      </c>
      <c r="E440" s="121" cm="1">
        <f t="array" ref="E440">INDEX(InputArea,B440,C440)</f>
        <v>0</v>
      </c>
      <c r="F440" s="59" t="str">
        <f t="shared" si="41"/>
        <v>BO</v>
      </c>
      <c r="G440" s="59" t="str">
        <f t="shared" si="42"/>
        <v>そす</v>
      </c>
      <c r="H440" s="134"/>
      <c r="I440" s="136" t="s">
        <v>271</v>
      </c>
      <c r="J440" s="84">
        <f t="shared" si="43"/>
        <v>1</v>
      </c>
      <c r="K440" s="83"/>
      <c r="L440" s="64" t="e">
        <v>#N/A</v>
      </c>
      <c r="M440" s="121">
        <v>0</v>
      </c>
      <c r="N440" s="59" t="str">
        <v>BO</v>
      </c>
      <c r="O440" s="126" t="str">
        <v>そす</v>
      </c>
      <c r="P440" s="126">
        <v>0</v>
      </c>
      <c r="Q440" s="127" t="str">
        <v>ぼ</v>
      </c>
      <c r="R440" s="84">
        <v>1</v>
      </c>
      <c r="T440" s="100" t="e">
        <v>#N/A</v>
      </c>
      <c r="U440" s="121">
        <v>0</v>
      </c>
      <c r="V440" s="59" t="str">
        <v>BO</v>
      </c>
      <c r="W440" s="126" t="str">
        <v>そす</v>
      </c>
      <c r="X440" s="126">
        <v>0</v>
      </c>
      <c r="Y440" s="127" t="str">
        <v>ぼ</v>
      </c>
      <c r="Z440" s="90">
        <v>1</v>
      </c>
    </row>
    <row r="441" spans="1:26" x14ac:dyDescent="0.4">
      <c r="A441" s="52">
        <v>440</v>
      </c>
      <c r="B441" s="51">
        <f t="shared" si="38"/>
        <v>15</v>
      </c>
      <c r="C441" s="50">
        <f t="shared" si="39"/>
        <v>20</v>
      </c>
      <c r="D441" s="64" t="e">
        <f t="shared" si="40"/>
        <v>#N/A</v>
      </c>
      <c r="E441" s="121" cm="1">
        <f t="array" ref="E441">INDEX(InputArea,B441,C441)</f>
        <v>0</v>
      </c>
      <c r="F441" s="59" t="str">
        <f t="shared" si="41"/>
        <v>BP</v>
      </c>
      <c r="G441" s="59" t="str">
        <f t="shared" si="42"/>
        <v>そへ</v>
      </c>
      <c r="H441" s="137" t="s">
        <v>279</v>
      </c>
      <c r="I441" s="135"/>
      <c r="J441" s="84">
        <f t="shared" si="43"/>
        <v>1</v>
      </c>
      <c r="K441" s="83"/>
      <c r="L441" s="64" t="e">
        <v>#N/A</v>
      </c>
      <c r="M441" s="121">
        <v>0</v>
      </c>
      <c r="N441" s="59" t="str">
        <v>BP</v>
      </c>
      <c r="O441" s="126" t="str">
        <v>そへ</v>
      </c>
      <c r="P441" s="126" t="str">
        <v>みゅ</v>
      </c>
      <c r="Q441" s="127">
        <v>0</v>
      </c>
      <c r="R441" s="84">
        <v>1</v>
      </c>
      <c r="T441" s="100" t="e">
        <v>#N/A</v>
      </c>
      <c r="U441" s="121">
        <v>0</v>
      </c>
      <c r="V441" s="59" t="str">
        <v>BP</v>
      </c>
      <c r="W441" s="126" t="str">
        <v>そへ</v>
      </c>
      <c r="X441" s="126" t="str">
        <v>みゅ</v>
      </c>
      <c r="Y441" s="127">
        <v>0</v>
      </c>
      <c r="Z441" s="90">
        <v>1</v>
      </c>
    </row>
    <row r="442" spans="1:26" x14ac:dyDescent="0.4">
      <c r="A442" s="52">
        <v>441</v>
      </c>
      <c r="B442" s="51">
        <f t="shared" si="38"/>
        <v>15</v>
      </c>
      <c r="C442" s="50">
        <f t="shared" si="39"/>
        <v>21</v>
      </c>
      <c r="D442" s="64" t="e">
        <f t="shared" si="40"/>
        <v>#N/A</v>
      </c>
      <c r="E442" s="121" cm="1">
        <f t="array" ref="E442">INDEX(InputArea,B442,C442)</f>
        <v>0</v>
      </c>
      <c r="F442" s="59" t="str">
        <f t="shared" si="41"/>
        <v>BH</v>
      </c>
      <c r="G442" s="59" t="str">
        <f t="shared" si="42"/>
        <v>そく</v>
      </c>
      <c r="H442" s="137" t="s">
        <v>280</v>
      </c>
      <c r="I442" s="135"/>
      <c r="J442" s="84">
        <f t="shared" si="43"/>
        <v>1</v>
      </c>
      <c r="K442" s="83"/>
      <c r="L442" s="64" t="e">
        <v>#N/A</v>
      </c>
      <c r="M442" s="121">
        <v>0</v>
      </c>
      <c r="N442" s="59" t="str">
        <v>BH</v>
      </c>
      <c r="O442" s="126" t="str">
        <v>そく</v>
      </c>
      <c r="P442" s="126" t="str">
        <v>みゃ</v>
      </c>
      <c r="Q442" s="127">
        <v>0</v>
      </c>
      <c r="R442" s="84">
        <v>1</v>
      </c>
      <c r="T442" s="100" t="e">
        <v>#N/A</v>
      </c>
      <c r="U442" s="121">
        <v>0</v>
      </c>
      <c r="V442" s="59" t="str">
        <v>BH</v>
      </c>
      <c r="W442" s="126" t="str">
        <v>そく</v>
      </c>
      <c r="X442" s="126" t="str">
        <v>みゃ</v>
      </c>
      <c r="Y442" s="127">
        <v>0</v>
      </c>
      <c r="Z442" s="90">
        <v>1</v>
      </c>
    </row>
    <row r="443" spans="1:26" x14ac:dyDescent="0.4">
      <c r="A443" s="52">
        <v>442</v>
      </c>
      <c r="B443" s="51">
        <f t="shared" si="38"/>
        <v>15</v>
      </c>
      <c r="C443" s="50">
        <f t="shared" si="39"/>
        <v>22</v>
      </c>
      <c r="D443" s="64" t="e">
        <f t="shared" si="40"/>
        <v>#N/A</v>
      </c>
      <c r="E443" s="121" cm="1">
        <f t="array" ref="E443">INDEX(InputArea,B443,C443)</f>
        <v>0</v>
      </c>
      <c r="F443" s="59" t="str">
        <f t="shared" si="41"/>
        <v>BJ</v>
      </c>
      <c r="G443" s="59" t="str">
        <f t="shared" si="42"/>
        <v>そあ</v>
      </c>
      <c r="H443" s="137" t="s">
        <v>281</v>
      </c>
      <c r="I443" s="135"/>
      <c r="J443" s="84">
        <f t="shared" si="43"/>
        <v>1</v>
      </c>
      <c r="K443" s="83"/>
      <c r="L443" s="64" t="e">
        <v>#N/A</v>
      </c>
      <c r="M443" s="121">
        <v>0</v>
      </c>
      <c r="N443" s="59" t="str">
        <v>BJ</v>
      </c>
      <c r="O443" s="126" t="str">
        <v>そあ</v>
      </c>
      <c r="P443" s="126" t="str">
        <v>ぞ</v>
      </c>
      <c r="Q443" s="127">
        <v>0</v>
      </c>
      <c r="R443" s="84">
        <v>1</v>
      </c>
      <c r="T443" s="100" t="e">
        <v>#N/A</v>
      </c>
      <c r="U443" s="121">
        <v>0</v>
      </c>
      <c r="V443" s="59" t="str">
        <v>BJ</v>
      </c>
      <c r="W443" s="126" t="str">
        <v>そあ</v>
      </c>
      <c r="X443" s="126" t="str">
        <v>ぞ</v>
      </c>
      <c r="Y443" s="127">
        <v>0</v>
      </c>
      <c r="Z443" s="90">
        <v>1</v>
      </c>
    </row>
    <row r="444" spans="1:26" x14ac:dyDescent="0.4">
      <c r="A444" s="52">
        <v>443</v>
      </c>
      <c r="B444" s="51">
        <f t="shared" si="38"/>
        <v>15</v>
      </c>
      <c r="C444" s="50">
        <f t="shared" si="39"/>
        <v>23</v>
      </c>
      <c r="D444" s="64" t="e">
        <f t="shared" si="40"/>
        <v>#N/A</v>
      </c>
      <c r="E444" s="121" cm="1">
        <f t="array" ref="E444">INDEX(InputArea,B444,C444)</f>
        <v>0</v>
      </c>
      <c r="F444" s="59" t="str">
        <f t="shared" si="41"/>
        <v>BK</v>
      </c>
      <c r="G444" s="59" t="str">
        <f t="shared" si="42"/>
        <v>そい</v>
      </c>
      <c r="H444" s="134"/>
      <c r="I444" s="135"/>
      <c r="J444" s="84">
        <f t="shared" si="43"/>
        <v>1</v>
      </c>
      <c r="K444" s="83"/>
      <c r="L444" s="64" t="e">
        <v>#N/A</v>
      </c>
      <c r="M444" s="121">
        <v>0</v>
      </c>
      <c r="N444" s="59" t="str">
        <v>BK</v>
      </c>
      <c r="O444" s="126" t="str">
        <v>そい</v>
      </c>
      <c r="P444" s="126">
        <v>0</v>
      </c>
      <c r="Q444" s="127">
        <v>0</v>
      </c>
      <c r="R444" s="84">
        <v>1</v>
      </c>
      <c r="T444" s="100" t="e">
        <v>#N/A</v>
      </c>
      <c r="U444" s="121">
        <v>0</v>
      </c>
      <c r="V444" s="59" t="str">
        <v>BK</v>
      </c>
      <c r="W444" s="126" t="str">
        <v>そい</v>
      </c>
      <c r="X444" s="126">
        <v>0</v>
      </c>
      <c r="Y444" s="127">
        <v>0</v>
      </c>
      <c r="Z444" s="90">
        <v>1</v>
      </c>
    </row>
    <row r="445" spans="1:26" x14ac:dyDescent="0.4">
      <c r="A445" s="52">
        <v>444</v>
      </c>
      <c r="B445" s="51">
        <f t="shared" si="38"/>
        <v>15</v>
      </c>
      <c r="C445" s="50">
        <f t="shared" si="39"/>
        <v>24</v>
      </c>
      <c r="D445" s="64" t="e">
        <f t="shared" si="40"/>
        <v>#N/A</v>
      </c>
      <c r="E445" s="121" cm="1">
        <f t="array" ref="E445">INDEX(InputArea,B445,C445)</f>
        <v>0</v>
      </c>
      <c r="F445" s="59" t="str">
        <f t="shared" si="41"/>
        <v>BL</v>
      </c>
      <c r="G445" s="59" t="str">
        <f t="shared" si="42"/>
        <v>そう</v>
      </c>
      <c r="H445" s="134"/>
      <c r="I445" s="135"/>
      <c r="J445" s="84">
        <f t="shared" si="43"/>
        <v>1</v>
      </c>
      <c r="K445" s="83"/>
      <c r="L445" s="64" t="e">
        <v>#N/A</v>
      </c>
      <c r="M445" s="121">
        <v>0</v>
      </c>
      <c r="N445" s="59" t="str">
        <v>BL</v>
      </c>
      <c r="O445" s="126" t="str">
        <v>そう</v>
      </c>
      <c r="P445" s="126">
        <v>0</v>
      </c>
      <c r="Q445" s="127">
        <v>0</v>
      </c>
      <c r="R445" s="84">
        <v>1</v>
      </c>
      <c r="T445" s="100" t="e">
        <v>#N/A</v>
      </c>
      <c r="U445" s="121">
        <v>0</v>
      </c>
      <c r="V445" s="59" t="str">
        <v>BL</v>
      </c>
      <c r="W445" s="126" t="str">
        <v>そう</v>
      </c>
      <c r="X445" s="126">
        <v>0</v>
      </c>
      <c r="Y445" s="127">
        <v>0</v>
      </c>
      <c r="Z445" s="90">
        <v>1</v>
      </c>
    </row>
    <row r="446" spans="1:26" x14ac:dyDescent="0.4">
      <c r="A446" s="52">
        <v>445</v>
      </c>
      <c r="B446" s="51">
        <f t="shared" si="38"/>
        <v>15</v>
      </c>
      <c r="C446" s="50">
        <f t="shared" si="39"/>
        <v>25</v>
      </c>
      <c r="D446" s="64" t="e">
        <f t="shared" si="40"/>
        <v>#N/A</v>
      </c>
      <c r="E446" s="121" cm="1">
        <f t="array" ref="E446">INDEX(InputArea,B446,C446)</f>
        <v>0</v>
      </c>
      <c r="F446" s="59" t="str">
        <f t="shared" si="41"/>
        <v>B;</v>
      </c>
      <c r="G446" s="59" t="str">
        <f t="shared" si="42"/>
        <v>そー</v>
      </c>
      <c r="H446" s="134"/>
      <c r="I446" s="135"/>
      <c r="J446" s="84">
        <f t="shared" si="43"/>
        <v>1</v>
      </c>
      <c r="K446" s="83"/>
      <c r="L446" s="64" t="e">
        <v>#N/A</v>
      </c>
      <c r="M446" s="121">
        <v>0</v>
      </c>
      <c r="N446" s="59" t="str">
        <v>B;</v>
      </c>
      <c r="O446" s="126" t="str">
        <v>そー</v>
      </c>
      <c r="P446" s="126">
        <v>0</v>
      </c>
      <c r="Q446" s="127">
        <v>0</v>
      </c>
      <c r="R446" s="84">
        <v>1</v>
      </c>
      <c r="T446" s="100" t="e">
        <v>#N/A</v>
      </c>
      <c r="U446" s="121">
        <v>0</v>
      </c>
      <c r="V446" s="59" t="str">
        <v>B;</v>
      </c>
      <c r="W446" s="126" t="str">
        <v>そー</v>
      </c>
      <c r="X446" s="126">
        <v>0</v>
      </c>
      <c r="Y446" s="127">
        <v>0</v>
      </c>
      <c r="Z446" s="90">
        <v>1</v>
      </c>
    </row>
    <row r="447" spans="1:26" x14ac:dyDescent="0.4">
      <c r="A447" s="52">
        <v>446</v>
      </c>
      <c r="B447" s="51">
        <f t="shared" si="38"/>
        <v>15</v>
      </c>
      <c r="C447" s="50">
        <f t="shared" si="39"/>
        <v>26</v>
      </c>
      <c r="D447" s="64" t="e">
        <f t="shared" si="40"/>
        <v>#N/A</v>
      </c>
      <c r="E447" s="121" cm="1">
        <f t="array" ref="E447">INDEX(InputArea,B447,C447)</f>
        <v>0</v>
      </c>
      <c r="F447" s="59" t="str">
        <f t="shared" si="41"/>
        <v>BN</v>
      </c>
      <c r="G447" s="59" t="str">
        <f t="shared" si="42"/>
        <v>そた</v>
      </c>
      <c r="H447" s="134"/>
      <c r="I447" s="135"/>
      <c r="J447" s="84">
        <f t="shared" si="43"/>
        <v>1</v>
      </c>
      <c r="K447" s="83"/>
      <c r="L447" s="64" t="e">
        <v>#N/A</v>
      </c>
      <c r="M447" s="121">
        <v>0</v>
      </c>
      <c r="N447" s="59" t="str">
        <v>BN</v>
      </c>
      <c r="O447" s="126" t="str">
        <v>そた</v>
      </c>
      <c r="P447" s="126">
        <v>0</v>
      </c>
      <c r="Q447" s="127">
        <v>0</v>
      </c>
      <c r="R447" s="84">
        <v>1</v>
      </c>
      <c r="T447" s="100" t="e">
        <v>#N/A</v>
      </c>
      <c r="U447" s="121">
        <v>0</v>
      </c>
      <c r="V447" s="59" t="str">
        <v>BN</v>
      </c>
      <c r="W447" s="126" t="str">
        <v>そた</v>
      </c>
      <c r="X447" s="126">
        <v>0</v>
      </c>
      <c r="Y447" s="127">
        <v>0</v>
      </c>
      <c r="Z447" s="90">
        <v>1</v>
      </c>
    </row>
    <row r="448" spans="1:26" x14ac:dyDescent="0.4">
      <c r="A448" s="52">
        <v>447</v>
      </c>
      <c r="B448" s="51">
        <f t="shared" si="38"/>
        <v>15</v>
      </c>
      <c r="C448" s="50">
        <f t="shared" si="39"/>
        <v>27</v>
      </c>
      <c r="D448" s="64" t="e">
        <f t="shared" si="40"/>
        <v>#N/A</v>
      </c>
      <c r="E448" s="121" cm="1">
        <f t="array" ref="E448">INDEX(InputArea,B448,C448)</f>
        <v>0</v>
      </c>
      <c r="F448" s="59" t="str">
        <f t="shared" si="41"/>
        <v>BM</v>
      </c>
      <c r="G448" s="59" t="str">
        <f t="shared" si="42"/>
        <v>そな</v>
      </c>
      <c r="H448" s="134"/>
      <c r="I448" s="135"/>
      <c r="J448" s="84">
        <f t="shared" si="43"/>
        <v>1</v>
      </c>
      <c r="K448" s="83"/>
      <c r="L448" s="64" t="e">
        <v>#N/A</v>
      </c>
      <c r="M448" s="121">
        <v>0</v>
      </c>
      <c r="N448" s="59" t="str">
        <v>BM</v>
      </c>
      <c r="O448" s="126" t="str">
        <v>そな</v>
      </c>
      <c r="P448" s="126">
        <v>0</v>
      </c>
      <c r="Q448" s="127">
        <v>0</v>
      </c>
      <c r="R448" s="84">
        <v>1</v>
      </c>
      <c r="T448" s="100" t="e">
        <v>#N/A</v>
      </c>
      <c r="U448" s="121">
        <v>0</v>
      </c>
      <c r="V448" s="59" t="str">
        <v>BM</v>
      </c>
      <c r="W448" s="126" t="str">
        <v>そな</v>
      </c>
      <c r="X448" s="126">
        <v>0</v>
      </c>
      <c r="Y448" s="127">
        <v>0</v>
      </c>
      <c r="Z448" s="90">
        <v>1</v>
      </c>
    </row>
    <row r="449" spans="1:26" x14ac:dyDescent="0.4">
      <c r="A449" s="52">
        <v>448</v>
      </c>
      <c r="B449" s="51">
        <f t="shared" si="38"/>
        <v>15</v>
      </c>
      <c r="C449" s="50">
        <f t="shared" si="39"/>
        <v>28</v>
      </c>
      <c r="D449" s="64" t="e">
        <f t="shared" si="40"/>
        <v>#N/A</v>
      </c>
      <c r="E449" s="121" cm="1">
        <f t="array" ref="E449">INDEX(InputArea,B449,C449)</f>
        <v>0</v>
      </c>
      <c r="F449" s="59" t="str">
        <f t="shared" si="41"/>
        <v>B,</v>
      </c>
      <c r="G449" s="59" t="str">
        <f t="shared" si="42"/>
        <v>そん</v>
      </c>
      <c r="H449" s="134"/>
      <c r="I449" s="135"/>
      <c r="J449" s="84">
        <f t="shared" si="43"/>
        <v>1</v>
      </c>
      <c r="K449" s="83"/>
      <c r="L449" s="64" t="e">
        <v>#N/A</v>
      </c>
      <c r="M449" s="121">
        <v>0</v>
      </c>
      <c r="N449" s="59" t="str">
        <v>B,</v>
      </c>
      <c r="O449" s="126" t="str">
        <v>そん</v>
      </c>
      <c r="P449" s="126">
        <v>0</v>
      </c>
      <c r="Q449" s="127">
        <v>0</v>
      </c>
      <c r="R449" s="84">
        <v>1</v>
      </c>
      <c r="T449" s="100" t="e">
        <v>#N/A</v>
      </c>
      <c r="U449" s="121">
        <v>0</v>
      </c>
      <c r="V449" s="59" t="str">
        <v>B,</v>
      </c>
      <c r="W449" s="126" t="str">
        <v>そん</v>
      </c>
      <c r="X449" s="126">
        <v>0</v>
      </c>
      <c r="Y449" s="127">
        <v>0</v>
      </c>
      <c r="Z449" s="90">
        <v>1</v>
      </c>
    </row>
    <row r="450" spans="1:26" x14ac:dyDescent="0.4">
      <c r="A450" s="52">
        <v>449</v>
      </c>
      <c r="B450" s="51">
        <f t="shared" ref="B450:B513" si="44">_xlfn.CEILING.MATH(A450/COLUMNS(InputArea))</f>
        <v>15</v>
      </c>
      <c r="C450" s="50">
        <f t="shared" ref="C450:C513" si="45">MOD(A450-1,COLUMNS(InputArea))+1</f>
        <v>29</v>
      </c>
      <c r="D450" s="64" t="e">
        <f t="shared" ref="D450:D513" si="46">_xlfn.RANK.EQ(E450,InputArea,1)</f>
        <v>#N/A</v>
      </c>
      <c r="E450" s="121" cm="1">
        <f t="array" ref="E450">INDEX(InputArea,B450,C450)</f>
        <v>0</v>
      </c>
      <c r="F450" s="59" t="str">
        <f t="shared" ref="F450:F513" si="47">_xlfn.CONCAT(INDEX(RowName,B450),INDEX(ColName,,C450))</f>
        <v>B.</v>
      </c>
      <c r="G450" s="59" t="str">
        <f t="shared" ref="G450:G513" si="48">_xlfn.CONCAT(INDEX(RowKana,B450),INDEX(ColKana,,C450))</f>
        <v>そら</v>
      </c>
      <c r="H450" s="134"/>
      <c r="I450" s="135"/>
      <c r="J450" s="84">
        <f t="shared" si="43"/>
        <v>1</v>
      </c>
      <c r="K450" s="83"/>
      <c r="L450" s="64" t="e">
        <v>#N/A</v>
      </c>
      <c r="M450" s="121">
        <v>0</v>
      </c>
      <c r="N450" s="59" t="str">
        <v>B.</v>
      </c>
      <c r="O450" s="126" t="str">
        <v>そら</v>
      </c>
      <c r="P450" s="126">
        <v>0</v>
      </c>
      <c r="Q450" s="127">
        <v>0</v>
      </c>
      <c r="R450" s="84">
        <v>1</v>
      </c>
      <c r="T450" s="100" t="e">
        <v>#N/A</v>
      </c>
      <c r="U450" s="121">
        <v>0</v>
      </c>
      <c r="V450" s="59" t="str">
        <v>B.</v>
      </c>
      <c r="W450" s="126" t="str">
        <v>そら</v>
      </c>
      <c r="X450" s="126">
        <v>0</v>
      </c>
      <c r="Y450" s="127">
        <v>0</v>
      </c>
      <c r="Z450" s="90">
        <v>1</v>
      </c>
    </row>
    <row r="451" spans="1:26" x14ac:dyDescent="0.4">
      <c r="A451" s="52">
        <v>450</v>
      </c>
      <c r="B451" s="51">
        <f t="shared" si="44"/>
        <v>15</v>
      </c>
      <c r="C451" s="50">
        <f t="shared" si="45"/>
        <v>30</v>
      </c>
      <c r="D451" s="64" t="e">
        <f t="shared" si="46"/>
        <v>#N/A</v>
      </c>
      <c r="E451" s="121" cm="1">
        <f t="array" ref="E451">INDEX(InputArea,B451,C451)</f>
        <v>0</v>
      </c>
      <c r="F451" s="59" t="str">
        <f t="shared" si="47"/>
        <v>B/</v>
      </c>
      <c r="G451" s="59" t="str">
        <f t="shared" si="48"/>
        <v>それ</v>
      </c>
      <c r="H451" s="134"/>
      <c r="I451" s="135"/>
      <c r="J451" s="84">
        <f t="shared" ref="J451:J514" si="49">(_xlfn.CEILING.MATH(B451/15)-1)*2+_xlfn.CEILING.MATH(C451/15)-1</f>
        <v>1</v>
      </c>
      <c r="K451" s="83"/>
      <c r="L451" s="64" t="e">
        <v>#N/A</v>
      </c>
      <c r="M451" s="121">
        <v>0</v>
      </c>
      <c r="N451" s="59" t="str">
        <v>B/</v>
      </c>
      <c r="O451" s="126" t="str">
        <v>それ</v>
      </c>
      <c r="P451" s="126">
        <v>0</v>
      </c>
      <c r="Q451" s="127">
        <v>0</v>
      </c>
      <c r="R451" s="84">
        <v>1</v>
      </c>
      <c r="T451" s="100" t="e">
        <v>#N/A</v>
      </c>
      <c r="U451" s="121">
        <v>0</v>
      </c>
      <c r="V451" s="59" t="str">
        <v>B/</v>
      </c>
      <c r="W451" s="126" t="str">
        <v>それ</v>
      </c>
      <c r="X451" s="126">
        <v>0</v>
      </c>
      <c r="Y451" s="127">
        <v>0</v>
      </c>
      <c r="Z451" s="90">
        <v>1</v>
      </c>
    </row>
    <row r="452" spans="1:26" x14ac:dyDescent="0.4">
      <c r="A452" s="52">
        <v>451</v>
      </c>
      <c r="B452" s="51">
        <f t="shared" si="44"/>
        <v>16</v>
      </c>
      <c r="C452" s="50">
        <f t="shared" si="45"/>
        <v>1</v>
      </c>
      <c r="D452" s="64" t="e">
        <f t="shared" si="46"/>
        <v>#N/A</v>
      </c>
      <c r="E452" s="121" cm="1">
        <f t="array" ref="E452">INDEX(InputArea,B452,C452)</f>
        <v>0</v>
      </c>
      <c r="F452" s="59" t="str">
        <f t="shared" si="47"/>
        <v>YQ</v>
      </c>
      <c r="G452" s="59" t="str">
        <f t="shared" si="48"/>
        <v>→ヴ</v>
      </c>
      <c r="H452" s="134"/>
      <c r="I452" s="135"/>
      <c r="J452" s="84">
        <f t="shared" si="49"/>
        <v>2</v>
      </c>
      <c r="K452" s="83"/>
      <c r="L452" s="64" t="e">
        <v>#N/A</v>
      </c>
      <c r="M452" s="121">
        <v>0</v>
      </c>
      <c r="N452" s="59" t="str">
        <v>YQ</v>
      </c>
      <c r="O452" s="126" t="str">
        <v>→ヴ</v>
      </c>
      <c r="P452" s="126">
        <v>0</v>
      </c>
      <c r="Q452" s="127">
        <v>0</v>
      </c>
      <c r="R452" s="84">
        <v>2</v>
      </c>
      <c r="T452" s="100" t="e">
        <v>#N/A</v>
      </c>
      <c r="U452" s="121">
        <v>0</v>
      </c>
      <c r="V452" s="59" t="str">
        <v>YQ</v>
      </c>
      <c r="W452" s="126" t="str">
        <v>→ヴ</v>
      </c>
      <c r="X452" s="126">
        <v>0</v>
      </c>
      <c r="Y452" s="127">
        <v>0</v>
      </c>
      <c r="Z452" s="90">
        <v>2</v>
      </c>
    </row>
    <row r="453" spans="1:26" x14ac:dyDescent="0.4">
      <c r="A453" s="52">
        <v>452</v>
      </c>
      <c r="B453" s="51">
        <f t="shared" si="44"/>
        <v>16</v>
      </c>
      <c r="C453" s="50">
        <f t="shared" si="45"/>
        <v>2</v>
      </c>
      <c r="D453" s="64" t="e">
        <f t="shared" si="46"/>
        <v>#N/A</v>
      </c>
      <c r="E453" s="121" cm="1">
        <f t="array" ref="E453">INDEX(InputArea,B453,C453)</f>
        <v>0</v>
      </c>
      <c r="F453" s="59" t="str">
        <f t="shared" si="47"/>
        <v>YW</v>
      </c>
      <c r="G453" s="59" t="str">
        <f t="shared" si="48"/>
        <v>→き</v>
      </c>
      <c r="H453" s="134"/>
      <c r="I453" s="135"/>
      <c r="J453" s="84">
        <f t="shared" si="49"/>
        <v>2</v>
      </c>
      <c r="K453" s="83"/>
      <c r="L453" s="64" t="e">
        <v>#N/A</v>
      </c>
      <c r="M453" s="121">
        <v>0</v>
      </c>
      <c r="N453" s="59" t="str">
        <v>YW</v>
      </c>
      <c r="O453" s="126" t="str">
        <v>→き</v>
      </c>
      <c r="P453" s="126">
        <v>0</v>
      </c>
      <c r="Q453" s="127">
        <v>0</v>
      </c>
      <c r="R453" s="84">
        <v>2</v>
      </c>
      <c r="T453" s="100" t="e">
        <v>#N/A</v>
      </c>
      <c r="U453" s="121">
        <v>0</v>
      </c>
      <c r="V453" s="59" t="str">
        <v>YW</v>
      </c>
      <c r="W453" s="126" t="str">
        <v>→き</v>
      </c>
      <c r="X453" s="126">
        <v>0</v>
      </c>
      <c r="Y453" s="127">
        <v>0</v>
      </c>
      <c r="Z453" s="90">
        <v>2</v>
      </c>
    </row>
    <row r="454" spans="1:26" x14ac:dyDescent="0.4">
      <c r="A454" s="52">
        <v>453</v>
      </c>
      <c r="B454" s="51">
        <f t="shared" si="44"/>
        <v>16</v>
      </c>
      <c r="C454" s="50">
        <f t="shared" si="45"/>
        <v>3</v>
      </c>
      <c r="D454" s="64" t="e">
        <f t="shared" si="46"/>
        <v>#N/A</v>
      </c>
      <c r="E454" s="121" cm="1">
        <f t="array" ref="E454">INDEX(InputArea,B454,C454)</f>
        <v>0</v>
      </c>
      <c r="F454" s="59" t="str">
        <f t="shared" si="47"/>
        <v>YE</v>
      </c>
      <c r="G454" s="59" t="str">
        <f t="shared" si="48"/>
        <v>→て</v>
      </c>
      <c r="H454" s="134"/>
      <c r="I454" s="136" t="s">
        <v>418</v>
      </c>
      <c r="J454" s="84">
        <f t="shared" si="49"/>
        <v>2</v>
      </c>
      <c r="K454" s="83"/>
      <c r="L454" s="64" t="e">
        <v>#N/A</v>
      </c>
      <c r="M454" s="121">
        <v>0</v>
      </c>
      <c r="N454" s="59" t="str">
        <v>YE</v>
      </c>
      <c r="O454" s="126" t="str">
        <v>→て</v>
      </c>
      <c r="P454" s="126">
        <v>0</v>
      </c>
      <c r="Q454" s="127" t="str">
        <v>いぇ</v>
      </c>
      <c r="R454" s="84">
        <v>2</v>
      </c>
      <c r="T454" s="100" t="e">
        <v>#N/A</v>
      </c>
      <c r="U454" s="121">
        <v>0</v>
      </c>
      <c r="V454" s="59" t="str">
        <v>YE</v>
      </c>
      <c r="W454" s="126" t="str">
        <v>→て</v>
      </c>
      <c r="X454" s="126">
        <v>0</v>
      </c>
      <c r="Y454" s="127" t="str">
        <v>いぇ</v>
      </c>
      <c r="Z454" s="90">
        <v>2</v>
      </c>
    </row>
    <row r="455" spans="1:26" x14ac:dyDescent="0.4">
      <c r="A455" s="52">
        <v>454</v>
      </c>
      <c r="B455" s="51">
        <f t="shared" si="44"/>
        <v>16</v>
      </c>
      <c r="C455" s="50">
        <f t="shared" si="45"/>
        <v>4</v>
      </c>
      <c r="D455" s="64" t="e">
        <f t="shared" si="46"/>
        <v>#N/A</v>
      </c>
      <c r="E455" s="121" cm="1">
        <f t="array" ref="E455">INDEX(InputArea,B455,C455)</f>
        <v>0</v>
      </c>
      <c r="F455" s="59" t="str">
        <f t="shared" si="47"/>
        <v>YR</v>
      </c>
      <c r="G455" s="59" t="str">
        <f t="shared" si="48"/>
        <v>→し</v>
      </c>
      <c r="H455" s="134"/>
      <c r="I455" s="135"/>
      <c r="J455" s="84">
        <f t="shared" si="49"/>
        <v>2</v>
      </c>
      <c r="K455" s="83"/>
      <c r="L455" s="64" t="e">
        <v>#N/A</v>
      </c>
      <c r="M455" s="121">
        <v>0</v>
      </c>
      <c r="N455" s="59" t="str">
        <v>YR</v>
      </c>
      <c r="O455" s="126" t="str">
        <v>→し</v>
      </c>
      <c r="P455" s="126">
        <v>0</v>
      </c>
      <c r="Q455" s="127">
        <v>0</v>
      </c>
      <c r="R455" s="84">
        <v>2</v>
      </c>
      <c r="T455" s="100" t="e">
        <v>#N/A</v>
      </c>
      <c r="U455" s="121">
        <v>0</v>
      </c>
      <c r="V455" s="59" t="str">
        <v>YR</v>
      </c>
      <c r="W455" s="126" t="str">
        <v>→し</v>
      </c>
      <c r="X455" s="126">
        <v>0</v>
      </c>
      <c r="Y455" s="127">
        <v>0</v>
      </c>
      <c r="Z455" s="90">
        <v>2</v>
      </c>
    </row>
    <row r="456" spans="1:26" x14ac:dyDescent="0.4">
      <c r="A456" s="52">
        <v>455</v>
      </c>
      <c r="B456" s="51">
        <f t="shared" si="44"/>
        <v>16</v>
      </c>
      <c r="C456" s="50">
        <f t="shared" si="45"/>
        <v>5</v>
      </c>
      <c r="D456" s="64" t="e">
        <f t="shared" si="46"/>
        <v>#N/A</v>
      </c>
      <c r="E456" s="121" cm="1">
        <f t="array" ref="E456">INDEX(InputArea,B456,C456)</f>
        <v>0</v>
      </c>
      <c r="F456" s="59" t="str">
        <f t="shared" si="47"/>
        <v>YT</v>
      </c>
      <c r="G456" s="59" t="str">
        <f t="shared" si="48"/>
        <v>→←</v>
      </c>
      <c r="H456" s="134"/>
      <c r="I456" s="135"/>
      <c r="J456" s="84">
        <f t="shared" si="49"/>
        <v>2</v>
      </c>
      <c r="K456" s="83"/>
      <c r="L456" s="64" t="e">
        <v>#N/A</v>
      </c>
      <c r="M456" s="121">
        <v>0</v>
      </c>
      <c r="N456" s="59" t="str">
        <v>YT</v>
      </c>
      <c r="O456" s="126" t="str">
        <v>→←</v>
      </c>
      <c r="P456" s="126">
        <v>0</v>
      </c>
      <c r="Q456" s="127">
        <v>0</v>
      </c>
      <c r="R456" s="84">
        <v>2</v>
      </c>
      <c r="T456" s="100" t="e">
        <v>#N/A</v>
      </c>
      <c r="U456" s="121">
        <v>0</v>
      </c>
      <c r="V456" s="59" t="str">
        <v>YT</v>
      </c>
      <c r="W456" s="126" t="str">
        <v>→←</v>
      </c>
      <c r="X456" s="126">
        <v>0</v>
      </c>
      <c r="Y456" s="127">
        <v>0</v>
      </c>
      <c r="Z456" s="90">
        <v>2</v>
      </c>
    </row>
    <row r="457" spans="1:26" x14ac:dyDescent="0.4">
      <c r="A457" s="52">
        <v>456</v>
      </c>
      <c r="B457" s="51">
        <f t="shared" si="44"/>
        <v>16</v>
      </c>
      <c r="C457" s="50">
        <f t="shared" si="45"/>
        <v>6</v>
      </c>
      <c r="D457" s="64" t="e">
        <f t="shared" si="46"/>
        <v>#N/A</v>
      </c>
      <c r="E457" s="121" cm="1">
        <f t="array" ref="E457">INDEX(InputArea,B457,C457)</f>
        <v>0</v>
      </c>
      <c r="F457" s="59" t="str">
        <f t="shared" si="47"/>
        <v>YA</v>
      </c>
      <c r="G457" s="59" t="str">
        <f t="shared" si="48"/>
        <v>→ろ</v>
      </c>
      <c r="H457" s="134"/>
      <c r="I457" s="136" t="s">
        <v>419</v>
      </c>
      <c r="J457" s="84">
        <f t="shared" si="49"/>
        <v>2</v>
      </c>
      <c r="K457" s="83"/>
      <c r="L457" s="64" t="e">
        <v>#N/A</v>
      </c>
      <c r="M457" s="121">
        <v>0</v>
      </c>
      <c r="N457" s="59" t="str">
        <v>YA</v>
      </c>
      <c r="O457" s="126" t="str">
        <v>→ろ</v>
      </c>
      <c r="P457" s="126">
        <v>0</v>
      </c>
      <c r="Q457" s="127" t="str">
        <v>や</v>
      </c>
      <c r="R457" s="84">
        <v>2</v>
      </c>
      <c r="T457" s="100" t="e">
        <v>#N/A</v>
      </c>
      <c r="U457" s="121">
        <v>0</v>
      </c>
      <c r="V457" s="59" t="str">
        <v>YA</v>
      </c>
      <c r="W457" s="126" t="str">
        <v>→ろ</v>
      </c>
      <c r="X457" s="126">
        <v>0</v>
      </c>
      <c r="Y457" s="127" t="str">
        <v>や</v>
      </c>
      <c r="Z457" s="90">
        <v>2</v>
      </c>
    </row>
    <row r="458" spans="1:26" x14ac:dyDescent="0.4">
      <c r="A458" s="52">
        <v>457</v>
      </c>
      <c r="B458" s="51">
        <f t="shared" si="44"/>
        <v>16</v>
      </c>
      <c r="C458" s="50">
        <f t="shared" si="45"/>
        <v>7</v>
      </c>
      <c r="D458" s="64" t="e">
        <f t="shared" si="46"/>
        <v>#N/A</v>
      </c>
      <c r="E458" s="121" cm="1">
        <f t="array" ref="E458">INDEX(InputArea,B458,C458)</f>
        <v>0</v>
      </c>
      <c r="F458" s="59" t="str">
        <f t="shared" si="47"/>
        <v>YS</v>
      </c>
      <c r="G458" s="59" t="str">
        <f t="shared" si="48"/>
        <v>→け</v>
      </c>
      <c r="H458" s="134"/>
      <c r="I458" s="135"/>
      <c r="J458" s="84">
        <f t="shared" si="49"/>
        <v>2</v>
      </c>
      <c r="K458" s="83"/>
      <c r="L458" s="64" t="e">
        <v>#N/A</v>
      </c>
      <c r="M458" s="121">
        <v>0</v>
      </c>
      <c r="N458" s="59" t="str">
        <v>YS</v>
      </c>
      <c r="O458" s="126" t="str">
        <v>→け</v>
      </c>
      <c r="P458" s="126">
        <v>0</v>
      </c>
      <c r="Q458" s="127">
        <v>0</v>
      </c>
      <c r="R458" s="84">
        <v>2</v>
      </c>
      <c r="T458" s="100" t="e">
        <v>#N/A</v>
      </c>
      <c r="U458" s="121">
        <v>0</v>
      </c>
      <c r="V458" s="59" t="str">
        <v>YS</v>
      </c>
      <c r="W458" s="126" t="str">
        <v>→け</v>
      </c>
      <c r="X458" s="126">
        <v>0</v>
      </c>
      <c r="Y458" s="127">
        <v>0</v>
      </c>
      <c r="Z458" s="90">
        <v>2</v>
      </c>
    </row>
    <row r="459" spans="1:26" x14ac:dyDescent="0.4">
      <c r="A459" s="52">
        <v>458</v>
      </c>
      <c r="B459" s="51">
        <f t="shared" si="44"/>
        <v>16</v>
      </c>
      <c r="C459" s="50">
        <f t="shared" si="45"/>
        <v>8</v>
      </c>
      <c r="D459" s="64" t="e">
        <f t="shared" si="46"/>
        <v>#N/A</v>
      </c>
      <c r="E459" s="121" cm="1">
        <f t="array" ref="E459">INDEX(InputArea,B459,C459)</f>
        <v>0</v>
      </c>
      <c r="F459" s="59" t="str">
        <f t="shared" si="47"/>
        <v>YD</v>
      </c>
      <c r="G459" s="59" t="str">
        <f t="shared" si="48"/>
        <v>→と</v>
      </c>
      <c r="H459" s="134"/>
      <c r="I459" s="135"/>
      <c r="J459" s="84">
        <f t="shared" si="49"/>
        <v>2</v>
      </c>
      <c r="K459" s="83"/>
      <c r="L459" s="64" t="e">
        <v>#N/A</v>
      </c>
      <c r="M459" s="121">
        <v>0</v>
      </c>
      <c r="N459" s="59" t="str">
        <v>YD</v>
      </c>
      <c r="O459" s="126" t="str">
        <v>→と</v>
      </c>
      <c r="P459" s="126">
        <v>0</v>
      </c>
      <c r="Q459" s="127">
        <v>0</v>
      </c>
      <c r="R459" s="84">
        <v>2</v>
      </c>
      <c r="T459" s="100" t="e">
        <v>#N/A</v>
      </c>
      <c r="U459" s="121">
        <v>0</v>
      </c>
      <c r="V459" s="59" t="str">
        <v>YD</v>
      </c>
      <c r="W459" s="126" t="str">
        <v>→と</v>
      </c>
      <c r="X459" s="126">
        <v>0</v>
      </c>
      <c r="Y459" s="127">
        <v>0</v>
      </c>
      <c r="Z459" s="90">
        <v>2</v>
      </c>
    </row>
    <row r="460" spans="1:26" x14ac:dyDescent="0.4">
      <c r="A460" s="52">
        <v>459</v>
      </c>
      <c r="B460" s="51">
        <f t="shared" si="44"/>
        <v>16</v>
      </c>
      <c r="C460" s="50">
        <f t="shared" si="45"/>
        <v>9</v>
      </c>
      <c r="D460" s="64" t="e">
        <f t="shared" si="46"/>
        <v>#N/A</v>
      </c>
      <c r="E460" s="121" cm="1">
        <f t="array" ref="E460">INDEX(InputArea,B460,C460)</f>
        <v>0</v>
      </c>
      <c r="F460" s="59" t="str">
        <f t="shared" si="47"/>
        <v>YF</v>
      </c>
      <c r="G460" s="59" t="str">
        <f t="shared" si="48"/>
        <v>→か</v>
      </c>
      <c r="H460" s="134"/>
      <c r="I460" s="135"/>
      <c r="J460" s="84">
        <f t="shared" si="49"/>
        <v>2</v>
      </c>
      <c r="K460" s="83"/>
      <c r="L460" s="64" t="e">
        <v>#N/A</v>
      </c>
      <c r="M460" s="121">
        <v>0</v>
      </c>
      <c r="N460" s="59" t="str">
        <v>YF</v>
      </c>
      <c r="O460" s="126" t="str">
        <v>→か</v>
      </c>
      <c r="P460" s="126">
        <v>0</v>
      </c>
      <c r="Q460" s="127">
        <v>0</v>
      </c>
      <c r="R460" s="84">
        <v>2</v>
      </c>
      <c r="T460" s="100" t="e">
        <v>#N/A</v>
      </c>
      <c r="U460" s="121">
        <v>0</v>
      </c>
      <c r="V460" s="59" t="str">
        <v>YF</v>
      </c>
      <c r="W460" s="126" t="str">
        <v>→か</v>
      </c>
      <c r="X460" s="126">
        <v>0</v>
      </c>
      <c r="Y460" s="127">
        <v>0</v>
      </c>
      <c r="Z460" s="90">
        <v>2</v>
      </c>
    </row>
    <row r="461" spans="1:26" x14ac:dyDescent="0.4">
      <c r="A461" s="52">
        <v>460</v>
      </c>
      <c r="B461" s="51">
        <f t="shared" si="44"/>
        <v>16</v>
      </c>
      <c r="C461" s="50">
        <f t="shared" si="45"/>
        <v>10</v>
      </c>
      <c r="D461" s="64" t="e">
        <f t="shared" si="46"/>
        <v>#N/A</v>
      </c>
      <c r="E461" s="121" cm="1">
        <f t="array" ref="E461">INDEX(InputArea,B461,C461)</f>
        <v>0</v>
      </c>
      <c r="F461" s="59" t="str">
        <f t="shared" si="47"/>
        <v>YG</v>
      </c>
      <c r="G461" s="59" t="str">
        <f t="shared" si="48"/>
        <v>→っ</v>
      </c>
      <c r="H461" s="134"/>
      <c r="I461" s="135"/>
      <c r="J461" s="84">
        <f t="shared" si="49"/>
        <v>2</v>
      </c>
      <c r="K461" s="83"/>
      <c r="L461" s="64" t="e">
        <v>#N/A</v>
      </c>
      <c r="M461" s="121">
        <v>0</v>
      </c>
      <c r="N461" s="59" t="str">
        <v>YG</v>
      </c>
      <c r="O461" s="126" t="str">
        <v>→っ</v>
      </c>
      <c r="P461" s="126">
        <v>0</v>
      </c>
      <c r="Q461" s="127">
        <v>0</v>
      </c>
      <c r="R461" s="84">
        <v>2</v>
      </c>
      <c r="T461" s="100" t="e">
        <v>#N/A</v>
      </c>
      <c r="U461" s="121">
        <v>0</v>
      </c>
      <c r="V461" s="59" t="str">
        <v>YG</v>
      </c>
      <c r="W461" s="126" t="str">
        <v>→っ</v>
      </c>
      <c r="X461" s="126">
        <v>0</v>
      </c>
      <c r="Y461" s="127">
        <v>0</v>
      </c>
      <c r="Z461" s="90">
        <v>2</v>
      </c>
    </row>
    <row r="462" spans="1:26" x14ac:dyDescent="0.4">
      <c r="A462" s="52">
        <v>461</v>
      </c>
      <c r="B462" s="51">
        <f t="shared" si="44"/>
        <v>16</v>
      </c>
      <c r="C462" s="50">
        <f t="shared" si="45"/>
        <v>11</v>
      </c>
      <c r="D462" s="64" t="e">
        <f t="shared" si="46"/>
        <v>#N/A</v>
      </c>
      <c r="E462" s="121" cm="1">
        <f t="array" ref="E462">INDEX(InputArea,B462,C462)</f>
        <v>0</v>
      </c>
      <c r="F462" s="59" t="str">
        <f t="shared" si="47"/>
        <v>YZ</v>
      </c>
      <c r="G462" s="59" t="str">
        <f t="shared" si="48"/>
        <v>→ほ</v>
      </c>
      <c r="H462" s="134"/>
      <c r="I462" s="135"/>
      <c r="J462" s="84">
        <f t="shared" si="49"/>
        <v>2</v>
      </c>
      <c r="K462" s="83"/>
      <c r="L462" s="64" t="e">
        <v>#N/A</v>
      </c>
      <c r="M462" s="121">
        <v>0</v>
      </c>
      <c r="N462" s="59" t="str">
        <v>YZ</v>
      </c>
      <c r="O462" s="126" t="str">
        <v>→ほ</v>
      </c>
      <c r="P462" s="126">
        <v>0</v>
      </c>
      <c r="Q462" s="127">
        <v>0</v>
      </c>
      <c r="R462" s="84">
        <v>2</v>
      </c>
      <c r="T462" s="100" t="e">
        <v>#N/A</v>
      </c>
      <c r="U462" s="121">
        <v>0</v>
      </c>
      <c r="V462" s="59" t="str">
        <v>YZ</v>
      </c>
      <c r="W462" s="126" t="str">
        <v>→ほ</v>
      </c>
      <c r="X462" s="126">
        <v>0</v>
      </c>
      <c r="Y462" s="127">
        <v>0</v>
      </c>
      <c r="Z462" s="90">
        <v>2</v>
      </c>
    </row>
    <row r="463" spans="1:26" x14ac:dyDescent="0.4">
      <c r="A463" s="52">
        <v>462</v>
      </c>
      <c r="B463" s="51">
        <f t="shared" si="44"/>
        <v>16</v>
      </c>
      <c r="C463" s="50">
        <f t="shared" si="45"/>
        <v>12</v>
      </c>
      <c r="D463" s="64" t="e">
        <f t="shared" si="46"/>
        <v>#N/A</v>
      </c>
      <c r="E463" s="121" cm="1">
        <f t="array" ref="E463">INDEX(InputArea,B463,C463)</f>
        <v>0</v>
      </c>
      <c r="F463" s="59" t="str">
        <f t="shared" si="47"/>
        <v>YX</v>
      </c>
      <c r="G463" s="59" t="str">
        <f t="shared" si="48"/>
        <v>→ひ</v>
      </c>
      <c r="H463" s="134"/>
      <c r="I463" s="135"/>
      <c r="J463" s="84">
        <f t="shared" si="49"/>
        <v>2</v>
      </c>
      <c r="K463" s="83"/>
      <c r="L463" s="64" t="e">
        <v>#N/A</v>
      </c>
      <c r="M463" s="121">
        <v>0</v>
      </c>
      <c r="N463" s="59" t="str">
        <v>YX</v>
      </c>
      <c r="O463" s="126" t="str">
        <v>→ひ</v>
      </c>
      <c r="P463" s="126">
        <v>0</v>
      </c>
      <c r="Q463" s="127">
        <v>0</v>
      </c>
      <c r="R463" s="84">
        <v>2</v>
      </c>
      <c r="T463" s="100" t="e">
        <v>#N/A</v>
      </c>
      <c r="U463" s="121">
        <v>0</v>
      </c>
      <c r="V463" s="59" t="str">
        <v>YX</v>
      </c>
      <c r="W463" s="126" t="str">
        <v>→ひ</v>
      </c>
      <c r="X463" s="126">
        <v>0</v>
      </c>
      <c r="Y463" s="127">
        <v>0</v>
      </c>
      <c r="Z463" s="90">
        <v>2</v>
      </c>
    </row>
    <row r="464" spans="1:26" x14ac:dyDescent="0.4">
      <c r="A464" s="52">
        <v>463</v>
      </c>
      <c r="B464" s="51">
        <f t="shared" si="44"/>
        <v>16</v>
      </c>
      <c r="C464" s="50">
        <f t="shared" si="45"/>
        <v>13</v>
      </c>
      <c r="D464" s="64" t="e">
        <f t="shared" si="46"/>
        <v>#N/A</v>
      </c>
      <c r="E464" s="121" cm="1">
        <f t="array" ref="E464">INDEX(InputArea,B464,C464)</f>
        <v>0</v>
      </c>
      <c r="F464" s="59" t="str">
        <f t="shared" si="47"/>
        <v>YC</v>
      </c>
      <c r="G464" s="59" t="str">
        <f t="shared" si="48"/>
        <v>→は</v>
      </c>
      <c r="H464" s="134"/>
      <c r="I464" s="135"/>
      <c r="J464" s="84">
        <f t="shared" si="49"/>
        <v>2</v>
      </c>
      <c r="K464" s="83"/>
      <c r="L464" s="64" t="e">
        <v>#N/A</v>
      </c>
      <c r="M464" s="121">
        <v>0</v>
      </c>
      <c r="N464" s="59" t="str">
        <v>YC</v>
      </c>
      <c r="O464" s="126" t="str">
        <v>→は</v>
      </c>
      <c r="P464" s="126">
        <v>0</v>
      </c>
      <c r="Q464" s="127">
        <v>0</v>
      </c>
      <c r="R464" s="84">
        <v>2</v>
      </c>
      <c r="T464" s="100" t="e">
        <v>#N/A</v>
      </c>
      <c r="U464" s="121">
        <v>0</v>
      </c>
      <c r="V464" s="59" t="str">
        <v>YC</v>
      </c>
      <c r="W464" s="126" t="str">
        <v>→は</v>
      </c>
      <c r="X464" s="126">
        <v>0</v>
      </c>
      <c r="Y464" s="127">
        <v>0</v>
      </c>
      <c r="Z464" s="90">
        <v>2</v>
      </c>
    </row>
    <row r="465" spans="1:26" x14ac:dyDescent="0.4">
      <c r="A465" s="52">
        <v>464</v>
      </c>
      <c r="B465" s="51">
        <f t="shared" si="44"/>
        <v>16</v>
      </c>
      <c r="C465" s="50">
        <f t="shared" si="45"/>
        <v>14</v>
      </c>
      <c r="D465" s="64" t="e">
        <f t="shared" si="46"/>
        <v>#N/A</v>
      </c>
      <c r="E465" s="121" cm="1">
        <f t="array" ref="E465">INDEX(InputArea,B465,C465)</f>
        <v>0</v>
      </c>
      <c r="F465" s="59" t="str">
        <f t="shared" si="47"/>
        <v>YV</v>
      </c>
      <c r="G465" s="59" t="str">
        <f t="shared" si="48"/>
        <v>→こ</v>
      </c>
      <c r="H465" s="134"/>
      <c r="I465" s="135"/>
      <c r="J465" s="84">
        <f t="shared" si="49"/>
        <v>2</v>
      </c>
      <c r="K465" s="83"/>
      <c r="L465" s="64" t="e">
        <v>#N/A</v>
      </c>
      <c r="M465" s="121">
        <v>0</v>
      </c>
      <c r="N465" s="59" t="str">
        <v>YV</v>
      </c>
      <c r="O465" s="126" t="str">
        <v>→こ</v>
      </c>
      <c r="P465" s="126">
        <v>0</v>
      </c>
      <c r="Q465" s="127">
        <v>0</v>
      </c>
      <c r="R465" s="84">
        <v>2</v>
      </c>
      <c r="T465" s="100" t="e">
        <v>#N/A</v>
      </c>
      <c r="U465" s="121">
        <v>0</v>
      </c>
      <c r="V465" s="59" t="str">
        <v>YV</v>
      </c>
      <c r="W465" s="126" t="str">
        <v>→こ</v>
      </c>
      <c r="X465" s="126">
        <v>0</v>
      </c>
      <c r="Y465" s="127">
        <v>0</v>
      </c>
      <c r="Z465" s="90">
        <v>2</v>
      </c>
    </row>
    <row r="466" spans="1:26" x14ac:dyDescent="0.4">
      <c r="A466" s="52">
        <v>465</v>
      </c>
      <c r="B466" s="51">
        <f t="shared" si="44"/>
        <v>16</v>
      </c>
      <c r="C466" s="50">
        <f t="shared" si="45"/>
        <v>15</v>
      </c>
      <c r="D466" s="64" t="e">
        <f t="shared" si="46"/>
        <v>#N/A</v>
      </c>
      <c r="E466" s="121" cm="1">
        <f t="array" ref="E466">INDEX(InputArea,B466,C466)</f>
        <v>0</v>
      </c>
      <c r="F466" s="59" t="str">
        <f t="shared" si="47"/>
        <v>YB</v>
      </c>
      <c r="G466" s="59" t="str">
        <f t="shared" si="48"/>
        <v>→そ</v>
      </c>
      <c r="H466" s="134"/>
      <c r="I466" s="135"/>
      <c r="J466" s="84">
        <f t="shared" si="49"/>
        <v>2</v>
      </c>
      <c r="K466" s="83"/>
      <c r="L466" s="64" t="e">
        <v>#N/A</v>
      </c>
      <c r="M466" s="121">
        <v>0</v>
      </c>
      <c r="N466" s="59" t="str">
        <v>YB</v>
      </c>
      <c r="O466" s="126" t="str">
        <v>→そ</v>
      </c>
      <c r="P466" s="126">
        <v>0</v>
      </c>
      <c r="Q466" s="127">
        <v>0</v>
      </c>
      <c r="R466" s="84">
        <v>2</v>
      </c>
      <c r="T466" s="100" t="e">
        <v>#N/A</v>
      </c>
      <c r="U466" s="121">
        <v>0</v>
      </c>
      <c r="V466" s="59" t="str">
        <v>YB</v>
      </c>
      <c r="W466" s="126" t="str">
        <v>→そ</v>
      </c>
      <c r="X466" s="126">
        <v>0</v>
      </c>
      <c r="Y466" s="127">
        <v>0</v>
      </c>
      <c r="Z466" s="90">
        <v>2</v>
      </c>
    </row>
    <row r="467" spans="1:26" x14ac:dyDescent="0.4">
      <c r="A467" s="52">
        <v>466</v>
      </c>
      <c r="B467" s="51">
        <f t="shared" si="44"/>
        <v>16</v>
      </c>
      <c r="C467" s="50">
        <f t="shared" si="45"/>
        <v>16</v>
      </c>
      <c r="D467" s="64" t="e">
        <f t="shared" si="46"/>
        <v>#N/A</v>
      </c>
      <c r="E467" s="121" cm="1">
        <f t="array" ref="E467">INDEX(InputArea,B467,C467)</f>
        <v>0</v>
      </c>
      <c r="F467" s="59" t="str">
        <f t="shared" si="47"/>
        <v>YY</v>
      </c>
      <c r="G467" s="59" t="str">
        <f t="shared" si="48"/>
        <v>→→</v>
      </c>
      <c r="H467" s="134"/>
      <c r="I467" s="136" t="s">
        <v>420</v>
      </c>
      <c r="J467" s="84">
        <f t="shared" si="49"/>
        <v>3</v>
      </c>
      <c r="K467" s="83"/>
      <c r="L467" s="64" t="e">
        <v>#N/A</v>
      </c>
      <c r="M467" s="121">
        <v>0</v>
      </c>
      <c r="N467" s="59" t="str">
        <v>YY</v>
      </c>
      <c r="O467" s="126" t="str">
        <v>→→</v>
      </c>
      <c r="P467" s="126">
        <v>0</v>
      </c>
      <c r="Q467" s="127" t="str">
        <v>っｙ</v>
      </c>
      <c r="R467" s="84">
        <v>3</v>
      </c>
      <c r="T467" s="100" t="e">
        <v>#N/A</v>
      </c>
      <c r="U467" s="121">
        <v>0</v>
      </c>
      <c r="V467" s="59" t="str">
        <v>YY</v>
      </c>
      <c r="W467" s="126" t="str">
        <v>→→</v>
      </c>
      <c r="X467" s="126">
        <v>0</v>
      </c>
      <c r="Y467" s="127" t="str">
        <v>っｙ</v>
      </c>
      <c r="Z467" s="90">
        <v>3</v>
      </c>
    </row>
    <row r="468" spans="1:26" x14ac:dyDescent="0.4">
      <c r="A468" s="52">
        <v>467</v>
      </c>
      <c r="B468" s="51">
        <f t="shared" si="44"/>
        <v>16</v>
      </c>
      <c r="C468" s="50">
        <f t="shared" si="45"/>
        <v>17</v>
      </c>
      <c r="D468" s="64" t="e">
        <f t="shared" si="46"/>
        <v>#N/A</v>
      </c>
      <c r="E468" s="121" cm="1">
        <f t="array" ref="E468">INDEX(InputArea,B468,C468)</f>
        <v>0</v>
      </c>
      <c r="F468" s="59" t="str">
        <f t="shared" si="47"/>
        <v>YU</v>
      </c>
      <c r="G468" s="59" t="str">
        <f t="shared" si="48"/>
        <v>→BS</v>
      </c>
      <c r="H468" s="134"/>
      <c r="I468" s="136" t="s">
        <v>421</v>
      </c>
      <c r="J468" s="84">
        <f t="shared" si="49"/>
        <v>3</v>
      </c>
      <c r="K468" s="83"/>
      <c r="L468" s="64" t="e">
        <v>#N/A</v>
      </c>
      <c r="M468" s="121">
        <v>0</v>
      </c>
      <c r="N468" s="59" t="str">
        <v>YU</v>
      </c>
      <c r="O468" s="126" t="str">
        <v>→BS</v>
      </c>
      <c r="P468" s="126">
        <v>0</v>
      </c>
      <c r="Q468" s="127" t="str">
        <v>ゆ</v>
      </c>
      <c r="R468" s="84">
        <v>3</v>
      </c>
      <c r="T468" s="100" t="e">
        <v>#N/A</v>
      </c>
      <c r="U468" s="121">
        <v>0</v>
      </c>
      <c r="V468" s="59" t="str">
        <v>YU</v>
      </c>
      <c r="W468" s="126" t="str">
        <v>→BS</v>
      </c>
      <c r="X468" s="126">
        <v>0</v>
      </c>
      <c r="Y468" s="127" t="str">
        <v>ゆ</v>
      </c>
      <c r="Z468" s="90">
        <v>3</v>
      </c>
    </row>
    <row r="469" spans="1:26" x14ac:dyDescent="0.4">
      <c r="A469" s="52">
        <v>468</v>
      </c>
      <c r="B469" s="51">
        <f t="shared" si="44"/>
        <v>16</v>
      </c>
      <c r="C469" s="50">
        <f t="shared" si="45"/>
        <v>18</v>
      </c>
      <c r="D469" s="64" t="e">
        <f t="shared" si="46"/>
        <v>#N/A</v>
      </c>
      <c r="E469" s="121" cm="1">
        <f t="array" ref="E469">INDEX(InputArea,B469,C469)</f>
        <v>0</v>
      </c>
      <c r="F469" s="59" t="str">
        <f t="shared" si="47"/>
        <v>YI</v>
      </c>
      <c r="G469" s="59" t="str">
        <f t="shared" si="48"/>
        <v>→る</v>
      </c>
      <c r="H469" s="134"/>
      <c r="I469" s="136" t="s">
        <v>422</v>
      </c>
      <c r="J469" s="84">
        <f t="shared" si="49"/>
        <v>3</v>
      </c>
      <c r="K469" s="83"/>
      <c r="L469" s="64" t="e">
        <v>#N/A</v>
      </c>
      <c r="M469" s="121">
        <v>0</v>
      </c>
      <c r="N469" s="59" t="str">
        <v>YI</v>
      </c>
      <c r="O469" s="126" t="str">
        <v>→る</v>
      </c>
      <c r="P469" s="126">
        <v>0</v>
      </c>
      <c r="Q469" s="127" t="str">
        <v>い</v>
      </c>
      <c r="R469" s="84">
        <v>3</v>
      </c>
      <c r="T469" s="100" t="e">
        <v>#N/A</v>
      </c>
      <c r="U469" s="121">
        <v>0</v>
      </c>
      <c r="V469" s="59" t="str">
        <v>YI</v>
      </c>
      <c r="W469" s="126" t="str">
        <v>→る</v>
      </c>
      <c r="X469" s="126">
        <v>0</v>
      </c>
      <c r="Y469" s="127" t="str">
        <v>い</v>
      </c>
      <c r="Z469" s="90">
        <v>3</v>
      </c>
    </row>
    <row r="470" spans="1:26" x14ac:dyDescent="0.4">
      <c r="A470" s="52">
        <v>469</v>
      </c>
      <c r="B470" s="51">
        <f t="shared" si="44"/>
        <v>16</v>
      </c>
      <c r="C470" s="50">
        <f t="shared" si="45"/>
        <v>19</v>
      </c>
      <c r="D470" s="64" t="e">
        <f t="shared" si="46"/>
        <v>#N/A</v>
      </c>
      <c r="E470" s="121" cm="1">
        <f t="array" ref="E470">INDEX(InputArea,B470,C470)</f>
        <v>0</v>
      </c>
      <c r="F470" s="59" t="str">
        <f t="shared" si="47"/>
        <v>YO</v>
      </c>
      <c r="G470" s="59" t="str">
        <f t="shared" si="48"/>
        <v>→す</v>
      </c>
      <c r="H470" s="134"/>
      <c r="I470" s="136" t="s">
        <v>423</v>
      </c>
      <c r="J470" s="84">
        <f t="shared" si="49"/>
        <v>3</v>
      </c>
      <c r="K470" s="83"/>
      <c r="L470" s="64" t="e">
        <v>#N/A</v>
      </c>
      <c r="M470" s="121">
        <v>0</v>
      </c>
      <c r="N470" s="59" t="str">
        <v>YO</v>
      </c>
      <c r="O470" s="126" t="str">
        <v>→す</v>
      </c>
      <c r="P470" s="126">
        <v>0</v>
      </c>
      <c r="Q470" s="127" t="str">
        <v>よ</v>
      </c>
      <c r="R470" s="84">
        <v>3</v>
      </c>
      <c r="T470" s="100" t="e">
        <v>#N/A</v>
      </c>
      <c r="U470" s="121">
        <v>0</v>
      </c>
      <c r="V470" s="59" t="str">
        <v>YO</v>
      </c>
      <c r="W470" s="126" t="str">
        <v>→す</v>
      </c>
      <c r="X470" s="126">
        <v>0</v>
      </c>
      <c r="Y470" s="127" t="str">
        <v>よ</v>
      </c>
      <c r="Z470" s="90">
        <v>3</v>
      </c>
    </row>
    <row r="471" spans="1:26" x14ac:dyDescent="0.4">
      <c r="A471" s="52">
        <v>470</v>
      </c>
      <c r="B471" s="51">
        <f t="shared" si="44"/>
        <v>16</v>
      </c>
      <c r="C471" s="50">
        <f t="shared" si="45"/>
        <v>20</v>
      </c>
      <c r="D471" s="64" t="e">
        <f t="shared" si="46"/>
        <v>#N/A</v>
      </c>
      <c r="E471" s="121" cm="1">
        <f t="array" ref="E471">INDEX(InputArea,B471,C471)</f>
        <v>0</v>
      </c>
      <c r="F471" s="59" t="str">
        <f t="shared" si="47"/>
        <v>YP</v>
      </c>
      <c r="G471" s="59" t="str">
        <f t="shared" si="48"/>
        <v>→へ</v>
      </c>
      <c r="H471" s="134"/>
      <c r="I471" s="135"/>
      <c r="J471" s="84">
        <f t="shared" si="49"/>
        <v>3</v>
      </c>
      <c r="K471" s="83"/>
      <c r="L471" s="64" t="e">
        <v>#N/A</v>
      </c>
      <c r="M471" s="121">
        <v>0</v>
      </c>
      <c r="N471" s="59" t="str">
        <v>YP</v>
      </c>
      <c r="O471" s="126" t="str">
        <v>→へ</v>
      </c>
      <c r="P471" s="126">
        <v>0</v>
      </c>
      <c r="Q471" s="127">
        <v>0</v>
      </c>
      <c r="R471" s="84">
        <v>3</v>
      </c>
      <c r="T471" s="100" t="e">
        <v>#N/A</v>
      </c>
      <c r="U471" s="121">
        <v>0</v>
      </c>
      <c r="V471" s="59" t="str">
        <v>YP</v>
      </c>
      <c r="W471" s="126" t="str">
        <v>→へ</v>
      </c>
      <c r="X471" s="126">
        <v>0</v>
      </c>
      <c r="Y471" s="127">
        <v>0</v>
      </c>
      <c r="Z471" s="90">
        <v>3</v>
      </c>
    </row>
    <row r="472" spans="1:26" x14ac:dyDescent="0.4">
      <c r="A472" s="52">
        <v>471</v>
      </c>
      <c r="B472" s="51">
        <f t="shared" si="44"/>
        <v>16</v>
      </c>
      <c r="C472" s="50">
        <f t="shared" si="45"/>
        <v>21</v>
      </c>
      <c r="D472" s="64" t="e">
        <f t="shared" si="46"/>
        <v>#N/A</v>
      </c>
      <c r="E472" s="121" cm="1">
        <f t="array" ref="E472">INDEX(InputArea,B472,C472)</f>
        <v>0</v>
      </c>
      <c r="F472" s="59" t="str">
        <f t="shared" si="47"/>
        <v>YH</v>
      </c>
      <c r="G472" s="59" t="str">
        <f t="shared" si="48"/>
        <v>→く</v>
      </c>
      <c r="H472" s="134"/>
      <c r="I472" s="135"/>
      <c r="J472" s="84">
        <f t="shared" si="49"/>
        <v>3</v>
      </c>
      <c r="K472" s="83"/>
      <c r="L472" s="64" t="e">
        <v>#N/A</v>
      </c>
      <c r="M472" s="121">
        <v>0</v>
      </c>
      <c r="N472" s="59" t="str">
        <v>YH</v>
      </c>
      <c r="O472" s="126" t="str">
        <v>→く</v>
      </c>
      <c r="P472" s="126">
        <v>0</v>
      </c>
      <c r="Q472" s="127">
        <v>0</v>
      </c>
      <c r="R472" s="84">
        <v>3</v>
      </c>
      <c r="T472" s="100" t="e">
        <v>#N/A</v>
      </c>
      <c r="U472" s="121">
        <v>0</v>
      </c>
      <c r="V472" s="59" t="str">
        <v>YH</v>
      </c>
      <c r="W472" s="126" t="str">
        <v>→く</v>
      </c>
      <c r="X472" s="126">
        <v>0</v>
      </c>
      <c r="Y472" s="127">
        <v>0</v>
      </c>
      <c r="Z472" s="90">
        <v>3</v>
      </c>
    </row>
    <row r="473" spans="1:26" x14ac:dyDescent="0.4">
      <c r="A473" s="52">
        <v>472</v>
      </c>
      <c r="B473" s="51">
        <f t="shared" si="44"/>
        <v>16</v>
      </c>
      <c r="C473" s="50">
        <f t="shared" si="45"/>
        <v>22</v>
      </c>
      <c r="D473" s="64" t="e">
        <f t="shared" si="46"/>
        <v>#N/A</v>
      </c>
      <c r="E473" s="121" cm="1">
        <f t="array" ref="E473">INDEX(InputArea,B473,C473)</f>
        <v>0</v>
      </c>
      <c r="F473" s="59" t="str">
        <f t="shared" si="47"/>
        <v>YJ</v>
      </c>
      <c r="G473" s="59" t="str">
        <f t="shared" si="48"/>
        <v>→あ</v>
      </c>
      <c r="H473" s="134"/>
      <c r="I473" s="135"/>
      <c r="J473" s="84">
        <f t="shared" si="49"/>
        <v>3</v>
      </c>
      <c r="K473" s="83"/>
      <c r="L473" s="64" t="e">
        <v>#N/A</v>
      </c>
      <c r="M473" s="121">
        <v>0</v>
      </c>
      <c r="N473" s="59" t="str">
        <v>YJ</v>
      </c>
      <c r="O473" s="126" t="str">
        <v>→あ</v>
      </c>
      <c r="P473" s="126">
        <v>0</v>
      </c>
      <c r="Q473" s="127">
        <v>0</v>
      </c>
      <c r="R473" s="84">
        <v>3</v>
      </c>
      <c r="T473" s="100" t="e">
        <v>#N/A</v>
      </c>
      <c r="U473" s="121">
        <v>0</v>
      </c>
      <c r="V473" s="59" t="str">
        <v>YJ</v>
      </c>
      <c r="W473" s="126" t="str">
        <v>→あ</v>
      </c>
      <c r="X473" s="126">
        <v>0</v>
      </c>
      <c r="Y473" s="127">
        <v>0</v>
      </c>
      <c r="Z473" s="90">
        <v>3</v>
      </c>
    </row>
    <row r="474" spans="1:26" x14ac:dyDescent="0.4">
      <c r="A474" s="52">
        <v>473</v>
      </c>
      <c r="B474" s="51">
        <f t="shared" si="44"/>
        <v>16</v>
      </c>
      <c r="C474" s="50">
        <f t="shared" si="45"/>
        <v>23</v>
      </c>
      <c r="D474" s="64" t="e">
        <f t="shared" si="46"/>
        <v>#N/A</v>
      </c>
      <c r="E474" s="121" cm="1">
        <f t="array" ref="E474">INDEX(InputArea,B474,C474)</f>
        <v>0</v>
      </c>
      <c r="F474" s="59" t="str">
        <f t="shared" si="47"/>
        <v>YK</v>
      </c>
      <c r="G474" s="59" t="str">
        <f t="shared" si="48"/>
        <v>→い</v>
      </c>
      <c r="H474" s="134"/>
      <c r="I474" s="135"/>
      <c r="J474" s="84">
        <f t="shared" si="49"/>
        <v>3</v>
      </c>
      <c r="K474" s="83"/>
      <c r="L474" s="64" t="e">
        <v>#N/A</v>
      </c>
      <c r="M474" s="121">
        <v>0</v>
      </c>
      <c r="N474" s="59" t="str">
        <v>YK</v>
      </c>
      <c r="O474" s="126" t="str">
        <v>→い</v>
      </c>
      <c r="P474" s="126">
        <v>0</v>
      </c>
      <c r="Q474" s="127">
        <v>0</v>
      </c>
      <c r="R474" s="84">
        <v>3</v>
      </c>
      <c r="T474" s="100" t="e">
        <v>#N/A</v>
      </c>
      <c r="U474" s="121">
        <v>0</v>
      </c>
      <c r="V474" s="59" t="str">
        <v>YK</v>
      </c>
      <c r="W474" s="126" t="str">
        <v>→い</v>
      </c>
      <c r="X474" s="126">
        <v>0</v>
      </c>
      <c r="Y474" s="127">
        <v>0</v>
      </c>
      <c r="Z474" s="90">
        <v>3</v>
      </c>
    </row>
    <row r="475" spans="1:26" x14ac:dyDescent="0.4">
      <c r="A475" s="52">
        <v>474</v>
      </c>
      <c r="B475" s="51">
        <f t="shared" si="44"/>
        <v>16</v>
      </c>
      <c r="C475" s="50">
        <f t="shared" si="45"/>
        <v>24</v>
      </c>
      <c r="D475" s="64" t="e">
        <f t="shared" si="46"/>
        <v>#N/A</v>
      </c>
      <c r="E475" s="121" cm="1">
        <f t="array" ref="E475">INDEX(InputArea,B475,C475)</f>
        <v>0</v>
      </c>
      <c r="F475" s="59" t="str">
        <f t="shared" si="47"/>
        <v>YL</v>
      </c>
      <c r="G475" s="59" t="str">
        <f t="shared" si="48"/>
        <v>→う</v>
      </c>
      <c r="H475" s="134"/>
      <c r="I475" s="135"/>
      <c r="J475" s="84">
        <f t="shared" si="49"/>
        <v>3</v>
      </c>
      <c r="K475" s="83"/>
      <c r="L475" s="64" t="e">
        <v>#N/A</v>
      </c>
      <c r="M475" s="121">
        <v>0</v>
      </c>
      <c r="N475" s="59" t="str">
        <v>YL</v>
      </c>
      <c r="O475" s="126" t="str">
        <v>→う</v>
      </c>
      <c r="P475" s="126">
        <v>0</v>
      </c>
      <c r="Q475" s="127">
        <v>0</v>
      </c>
      <c r="R475" s="84">
        <v>3</v>
      </c>
      <c r="T475" s="100" t="e">
        <v>#N/A</v>
      </c>
      <c r="U475" s="121">
        <v>0</v>
      </c>
      <c r="V475" s="59" t="str">
        <v>YL</v>
      </c>
      <c r="W475" s="126" t="str">
        <v>→う</v>
      </c>
      <c r="X475" s="126">
        <v>0</v>
      </c>
      <c r="Y475" s="127">
        <v>0</v>
      </c>
      <c r="Z475" s="90">
        <v>3</v>
      </c>
    </row>
    <row r="476" spans="1:26" x14ac:dyDescent="0.4">
      <c r="A476" s="52">
        <v>475</v>
      </c>
      <c r="B476" s="51">
        <f t="shared" si="44"/>
        <v>16</v>
      </c>
      <c r="C476" s="50">
        <f t="shared" si="45"/>
        <v>25</v>
      </c>
      <c r="D476" s="64" t="e">
        <f t="shared" si="46"/>
        <v>#N/A</v>
      </c>
      <c r="E476" s="121" cm="1">
        <f t="array" ref="E476">INDEX(InputArea,B476,C476)</f>
        <v>0</v>
      </c>
      <c r="F476" s="59" t="str">
        <f t="shared" si="47"/>
        <v>Y;</v>
      </c>
      <c r="G476" s="59" t="str">
        <f t="shared" si="48"/>
        <v>→ー</v>
      </c>
      <c r="H476" s="134"/>
      <c r="I476" s="135"/>
      <c r="J476" s="84">
        <f t="shared" si="49"/>
        <v>3</v>
      </c>
      <c r="K476" s="83"/>
      <c r="L476" s="64" t="e">
        <v>#N/A</v>
      </c>
      <c r="M476" s="121">
        <v>0</v>
      </c>
      <c r="N476" s="59" t="str">
        <v>Y;</v>
      </c>
      <c r="O476" s="126" t="str">
        <v>→ー</v>
      </c>
      <c r="P476" s="126">
        <v>0</v>
      </c>
      <c r="Q476" s="127">
        <v>0</v>
      </c>
      <c r="R476" s="84">
        <v>3</v>
      </c>
      <c r="T476" s="100" t="e">
        <v>#N/A</v>
      </c>
      <c r="U476" s="121">
        <v>0</v>
      </c>
      <c r="V476" s="59" t="str">
        <v>Y;</v>
      </c>
      <c r="W476" s="126" t="str">
        <v>→ー</v>
      </c>
      <c r="X476" s="126">
        <v>0</v>
      </c>
      <c r="Y476" s="127">
        <v>0</v>
      </c>
      <c r="Z476" s="90">
        <v>3</v>
      </c>
    </row>
    <row r="477" spans="1:26" x14ac:dyDescent="0.4">
      <c r="A477" s="52">
        <v>476</v>
      </c>
      <c r="B477" s="51">
        <f t="shared" si="44"/>
        <v>16</v>
      </c>
      <c r="C477" s="50">
        <f t="shared" si="45"/>
        <v>26</v>
      </c>
      <c r="D477" s="64" t="e">
        <f t="shared" si="46"/>
        <v>#N/A</v>
      </c>
      <c r="E477" s="121" cm="1">
        <f t="array" ref="E477">INDEX(InputArea,B477,C477)</f>
        <v>0</v>
      </c>
      <c r="F477" s="59" t="str">
        <f t="shared" si="47"/>
        <v>YN</v>
      </c>
      <c r="G477" s="59" t="str">
        <f t="shared" si="48"/>
        <v>→た</v>
      </c>
      <c r="H477" s="134"/>
      <c r="I477" s="135"/>
      <c r="J477" s="84">
        <f t="shared" si="49"/>
        <v>3</v>
      </c>
      <c r="K477" s="83"/>
      <c r="L477" s="64" t="e">
        <v>#N/A</v>
      </c>
      <c r="M477" s="121">
        <v>0</v>
      </c>
      <c r="N477" s="59" t="str">
        <v>YN</v>
      </c>
      <c r="O477" s="126" t="str">
        <v>→た</v>
      </c>
      <c r="P477" s="126">
        <v>0</v>
      </c>
      <c r="Q477" s="127">
        <v>0</v>
      </c>
      <c r="R477" s="84">
        <v>3</v>
      </c>
      <c r="T477" s="100" t="e">
        <v>#N/A</v>
      </c>
      <c r="U477" s="121">
        <v>0</v>
      </c>
      <c r="V477" s="59" t="str">
        <v>YN</v>
      </c>
      <c r="W477" s="126" t="str">
        <v>→た</v>
      </c>
      <c r="X477" s="126">
        <v>0</v>
      </c>
      <c r="Y477" s="127">
        <v>0</v>
      </c>
      <c r="Z477" s="90">
        <v>3</v>
      </c>
    </row>
    <row r="478" spans="1:26" x14ac:dyDescent="0.4">
      <c r="A478" s="52">
        <v>477</v>
      </c>
      <c r="B478" s="51">
        <f t="shared" si="44"/>
        <v>16</v>
      </c>
      <c r="C478" s="50">
        <f t="shared" si="45"/>
        <v>27</v>
      </c>
      <c r="D478" s="64" t="e">
        <f t="shared" si="46"/>
        <v>#N/A</v>
      </c>
      <c r="E478" s="121" cm="1">
        <f t="array" ref="E478">INDEX(InputArea,B478,C478)</f>
        <v>0</v>
      </c>
      <c r="F478" s="59" t="str">
        <f t="shared" si="47"/>
        <v>YM</v>
      </c>
      <c r="G478" s="59" t="str">
        <f t="shared" si="48"/>
        <v>→な</v>
      </c>
      <c r="H478" s="134"/>
      <c r="I478" s="135"/>
      <c r="J478" s="84">
        <f t="shared" si="49"/>
        <v>3</v>
      </c>
      <c r="K478" s="83"/>
      <c r="L478" s="64" t="e">
        <v>#N/A</v>
      </c>
      <c r="M478" s="121">
        <v>0</v>
      </c>
      <c r="N478" s="59" t="str">
        <v>YM</v>
      </c>
      <c r="O478" s="126" t="str">
        <v>→な</v>
      </c>
      <c r="P478" s="126">
        <v>0</v>
      </c>
      <c r="Q478" s="127">
        <v>0</v>
      </c>
      <c r="R478" s="84">
        <v>3</v>
      </c>
      <c r="T478" s="100" t="e">
        <v>#N/A</v>
      </c>
      <c r="U478" s="121">
        <v>0</v>
      </c>
      <c r="V478" s="59" t="str">
        <v>YM</v>
      </c>
      <c r="W478" s="126" t="str">
        <v>→な</v>
      </c>
      <c r="X478" s="126">
        <v>0</v>
      </c>
      <c r="Y478" s="127">
        <v>0</v>
      </c>
      <c r="Z478" s="90">
        <v>3</v>
      </c>
    </row>
    <row r="479" spans="1:26" x14ac:dyDescent="0.4">
      <c r="A479" s="52">
        <v>478</v>
      </c>
      <c r="B479" s="51">
        <f t="shared" si="44"/>
        <v>16</v>
      </c>
      <c r="C479" s="50">
        <f t="shared" si="45"/>
        <v>28</v>
      </c>
      <c r="D479" s="64" t="e">
        <f t="shared" si="46"/>
        <v>#N/A</v>
      </c>
      <c r="E479" s="121" cm="1">
        <f t="array" ref="E479">INDEX(InputArea,B479,C479)</f>
        <v>0</v>
      </c>
      <c r="F479" s="59" t="str">
        <f t="shared" si="47"/>
        <v>Y,</v>
      </c>
      <c r="G479" s="59" t="str">
        <f t="shared" si="48"/>
        <v>→ん</v>
      </c>
      <c r="H479" s="134"/>
      <c r="I479" s="135"/>
      <c r="J479" s="84">
        <f t="shared" si="49"/>
        <v>3</v>
      </c>
      <c r="K479" s="83"/>
      <c r="L479" s="64" t="e">
        <v>#N/A</v>
      </c>
      <c r="M479" s="121">
        <v>0</v>
      </c>
      <c r="N479" s="59" t="str">
        <v>Y,</v>
      </c>
      <c r="O479" s="126" t="str">
        <v>→ん</v>
      </c>
      <c r="P479" s="126">
        <v>0</v>
      </c>
      <c r="Q479" s="127">
        <v>0</v>
      </c>
      <c r="R479" s="84">
        <v>3</v>
      </c>
      <c r="T479" s="100" t="e">
        <v>#N/A</v>
      </c>
      <c r="U479" s="121">
        <v>0</v>
      </c>
      <c r="V479" s="59" t="str">
        <v>Y,</v>
      </c>
      <c r="W479" s="126" t="str">
        <v>→ん</v>
      </c>
      <c r="X479" s="126">
        <v>0</v>
      </c>
      <c r="Y479" s="127">
        <v>0</v>
      </c>
      <c r="Z479" s="90">
        <v>3</v>
      </c>
    </row>
    <row r="480" spans="1:26" x14ac:dyDescent="0.4">
      <c r="A480" s="52">
        <v>479</v>
      </c>
      <c r="B480" s="51">
        <f t="shared" si="44"/>
        <v>16</v>
      </c>
      <c r="C480" s="50">
        <f t="shared" si="45"/>
        <v>29</v>
      </c>
      <c r="D480" s="64" t="e">
        <f t="shared" si="46"/>
        <v>#N/A</v>
      </c>
      <c r="E480" s="121" cm="1">
        <f t="array" ref="E480">INDEX(InputArea,B480,C480)</f>
        <v>0</v>
      </c>
      <c r="F480" s="59" t="str">
        <f t="shared" si="47"/>
        <v>Y.</v>
      </c>
      <c r="G480" s="59" t="str">
        <f t="shared" si="48"/>
        <v>→ら</v>
      </c>
      <c r="H480" s="134"/>
      <c r="I480" s="135"/>
      <c r="J480" s="84">
        <f t="shared" si="49"/>
        <v>3</v>
      </c>
      <c r="K480" s="83"/>
      <c r="L480" s="64" t="e">
        <v>#N/A</v>
      </c>
      <c r="M480" s="121">
        <v>0</v>
      </c>
      <c r="N480" s="59" t="str">
        <v>Y.</v>
      </c>
      <c r="O480" s="126" t="str">
        <v>→ら</v>
      </c>
      <c r="P480" s="126">
        <v>0</v>
      </c>
      <c r="Q480" s="127">
        <v>0</v>
      </c>
      <c r="R480" s="84">
        <v>3</v>
      </c>
      <c r="T480" s="100" t="e">
        <v>#N/A</v>
      </c>
      <c r="U480" s="121">
        <v>0</v>
      </c>
      <c r="V480" s="59" t="str">
        <v>Y.</v>
      </c>
      <c r="W480" s="126" t="str">
        <v>→ら</v>
      </c>
      <c r="X480" s="126">
        <v>0</v>
      </c>
      <c r="Y480" s="127">
        <v>0</v>
      </c>
      <c r="Z480" s="90">
        <v>3</v>
      </c>
    </row>
    <row r="481" spans="1:26" x14ac:dyDescent="0.4">
      <c r="A481" s="52">
        <v>480</v>
      </c>
      <c r="B481" s="51">
        <f t="shared" si="44"/>
        <v>16</v>
      </c>
      <c r="C481" s="50">
        <f t="shared" si="45"/>
        <v>30</v>
      </c>
      <c r="D481" s="64" t="e">
        <f t="shared" si="46"/>
        <v>#N/A</v>
      </c>
      <c r="E481" s="121" cm="1">
        <f t="array" ref="E481">INDEX(InputArea,B481,C481)</f>
        <v>0</v>
      </c>
      <c r="F481" s="59" t="str">
        <f t="shared" si="47"/>
        <v>Y/</v>
      </c>
      <c r="G481" s="59" t="str">
        <f t="shared" si="48"/>
        <v>→れ</v>
      </c>
      <c r="H481" s="134"/>
      <c r="I481" s="135"/>
      <c r="J481" s="84">
        <f t="shared" si="49"/>
        <v>3</v>
      </c>
      <c r="K481" s="83"/>
      <c r="L481" s="64" t="e">
        <v>#N/A</v>
      </c>
      <c r="M481" s="121">
        <v>0</v>
      </c>
      <c r="N481" s="59" t="str">
        <v>Y/</v>
      </c>
      <c r="O481" s="126" t="str">
        <v>→れ</v>
      </c>
      <c r="P481" s="126">
        <v>0</v>
      </c>
      <c r="Q481" s="127">
        <v>0</v>
      </c>
      <c r="R481" s="84">
        <v>3</v>
      </c>
      <c r="T481" s="100" t="e">
        <v>#N/A</v>
      </c>
      <c r="U481" s="121">
        <v>0</v>
      </c>
      <c r="V481" s="59" t="str">
        <v>Y/</v>
      </c>
      <c r="W481" s="126" t="str">
        <v>→れ</v>
      </c>
      <c r="X481" s="126">
        <v>0</v>
      </c>
      <c r="Y481" s="127">
        <v>0</v>
      </c>
      <c r="Z481" s="90">
        <v>3</v>
      </c>
    </row>
    <row r="482" spans="1:26" x14ac:dyDescent="0.4">
      <c r="A482" s="52">
        <v>481</v>
      </c>
      <c r="B482" s="51">
        <f t="shared" si="44"/>
        <v>17</v>
      </c>
      <c r="C482" s="50">
        <f t="shared" si="45"/>
        <v>1</v>
      </c>
      <c r="D482" s="64" t="e">
        <f t="shared" si="46"/>
        <v>#N/A</v>
      </c>
      <c r="E482" s="121" cm="1">
        <f t="array" ref="E482">INDEX(InputArea,B482,C482)</f>
        <v>0</v>
      </c>
      <c r="F482" s="59" t="str">
        <f t="shared" si="47"/>
        <v>UQ</v>
      </c>
      <c r="G482" s="59" t="str">
        <f t="shared" si="48"/>
        <v>BSヴ</v>
      </c>
      <c r="H482" s="134"/>
      <c r="I482" s="136" t="s">
        <v>424</v>
      </c>
      <c r="J482" s="84">
        <f t="shared" si="49"/>
        <v>2</v>
      </c>
      <c r="K482" s="83"/>
      <c r="L482" s="64" t="e">
        <v>#N/A</v>
      </c>
      <c r="M482" s="121">
        <v>0</v>
      </c>
      <c r="N482" s="59" t="str">
        <v>UQ</v>
      </c>
      <c r="O482" s="126" t="str">
        <v>BSヴ</v>
      </c>
      <c r="P482" s="126">
        <v>0</v>
      </c>
      <c r="Q482" s="127" t="str">
        <v>うｑ</v>
      </c>
      <c r="R482" s="84">
        <v>2</v>
      </c>
      <c r="T482" s="100" t="e">
        <v>#N/A</v>
      </c>
      <c r="U482" s="121">
        <v>0</v>
      </c>
      <c r="V482" s="59" t="str">
        <v>UQ</v>
      </c>
      <c r="W482" s="126" t="str">
        <v>BSヴ</v>
      </c>
      <c r="X482" s="126">
        <v>0</v>
      </c>
      <c r="Y482" s="127" t="str">
        <v>うｑ</v>
      </c>
      <c r="Z482" s="90">
        <v>2</v>
      </c>
    </row>
    <row r="483" spans="1:26" x14ac:dyDescent="0.4">
      <c r="A483" s="52">
        <v>482</v>
      </c>
      <c r="B483" s="51">
        <f t="shared" si="44"/>
        <v>17</v>
      </c>
      <c r="C483" s="50">
        <f t="shared" si="45"/>
        <v>2</v>
      </c>
      <c r="D483" s="64" t="e">
        <f t="shared" si="46"/>
        <v>#N/A</v>
      </c>
      <c r="E483" s="121" cm="1">
        <f t="array" ref="E483">INDEX(InputArea,B483,C483)</f>
        <v>0</v>
      </c>
      <c r="F483" s="59" t="str">
        <f t="shared" si="47"/>
        <v>UW</v>
      </c>
      <c r="G483" s="59" t="str">
        <f t="shared" si="48"/>
        <v>BSき</v>
      </c>
      <c r="H483" s="134"/>
      <c r="I483" s="136" t="s">
        <v>425</v>
      </c>
      <c r="J483" s="84">
        <f t="shared" si="49"/>
        <v>2</v>
      </c>
      <c r="K483" s="83"/>
      <c r="L483" s="64" t="e">
        <v>#N/A</v>
      </c>
      <c r="M483" s="121">
        <v>0</v>
      </c>
      <c r="N483" s="59" t="str">
        <v>UW</v>
      </c>
      <c r="O483" s="126" t="str">
        <v>BSき</v>
      </c>
      <c r="P483" s="126">
        <v>0</v>
      </c>
      <c r="Q483" s="127" t="str">
        <v>うｗ</v>
      </c>
      <c r="R483" s="84">
        <v>2</v>
      </c>
      <c r="T483" s="100" t="e">
        <v>#N/A</v>
      </c>
      <c r="U483" s="121">
        <v>0</v>
      </c>
      <c r="V483" s="59" t="str">
        <v>UW</v>
      </c>
      <c r="W483" s="126" t="str">
        <v>BSき</v>
      </c>
      <c r="X483" s="126">
        <v>0</v>
      </c>
      <c r="Y483" s="127" t="str">
        <v>うｗ</v>
      </c>
      <c r="Z483" s="90">
        <v>2</v>
      </c>
    </row>
    <row r="484" spans="1:26" x14ac:dyDescent="0.4">
      <c r="A484" s="52">
        <v>483</v>
      </c>
      <c r="B484" s="51">
        <f t="shared" si="44"/>
        <v>17</v>
      </c>
      <c r="C484" s="50">
        <f t="shared" si="45"/>
        <v>3</v>
      </c>
      <c r="D484" s="64" t="e">
        <f t="shared" si="46"/>
        <v>#N/A</v>
      </c>
      <c r="E484" s="121" cm="1">
        <f t="array" ref="E484">INDEX(InputArea,B484,C484)</f>
        <v>0</v>
      </c>
      <c r="F484" s="59" t="str">
        <f t="shared" si="47"/>
        <v>UE</v>
      </c>
      <c r="G484" s="59" t="str">
        <f t="shared" si="48"/>
        <v>BSて</v>
      </c>
      <c r="H484" s="134"/>
      <c r="I484" s="136" t="s">
        <v>426</v>
      </c>
      <c r="J484" s="84">
        <f t="shared" si="49"/>
        <v>2</v>
      </c>
      <c r="K484" s="83"/>
      <c r="L484" s="64" t="e">
        <v>#N/A</v>
      </c>
      <c r="M484" s="121">
        <v>0</v>
      </c>
      <c r="N484" s="59" t="str">
        <v>UE</v>
      </c>
      <c r="O484" s="126" t="str">
        <v>BSて</v>
      </c>
      <c r="P484" s="126">
        <v>0</v>
      </c>
      <c r="Q484" s="127" t="str">
        <v>うえ</v>
      </c>
      <c r="R484" s="84">
        <v>2</v>
      </c>
      <c r="T484" s="100" t="e">
        <v>#N/A</v>
      </c>
      <c r="U484" s="121">
        <v>0</v>
      </c>
      <c r="V484" s="59" t="str">
        <v>UE</v>
      </c>
      <c r="W484" s="126" t="str">
        <v>BSて</v>
      </c>
      <c r="X484" s="126">
        <v>0</v>
      </c>
      <c r="Y484" s="127" t="str">
        <v>うえ</v>
      </c>
      <c r="Z484" s="90">
        <v>2</v>
      </c>
    </row>
    <row r="485" spans="1:26" x14ac:dyDescent="0.4">
      <c r="A485" s="52">
        <v>484</v>
      </c>
      <c r="B485" s="51">
        <f t="shared" si="44"/>
        <v>17</v>
      </c>
      <c r="C485" s="50">
        <f t="shared" si="45"/>
        <v>4</v>
      </c>
      <c r="D485" s="64" t="e">
        <f t="shared" si="46"/>
        <v>#N/A</v>
      </c>
      <c r="E485" s="121" cm="1">
        <f t="array" ref="E485">INDEX(InputArea,B485,C485)</f>
        <v>0</v>
      </c>
      <c r="F485" s="59" t="str">
        <f t="shared" si="47"/>
        <v>UR</v>
      </c>
      <c r="G485" s="59" t="str">
        <f t="shared" si="48"/>
        <v>BSし</v>
      </c>
      <c r="H485" s="134"/>
      <c r="I485" s="136" t="s">
        <v>427</v>
      </c>
      <c r="J485" s="84">
        <f t="shared" si="49"/>
        <v>2</v>
      </c>
      <c r="K485" s="83"/>
      <c r="L485" s="64" t="e">
        <v>#N/A</v>
      </c>
      <c r="M485" s="121">
        <v>0</v>
      </c>
      <c r="N485" s="59" t="str">
        <v>UR</v>
      </c>
      <c r="O485" s="126" t="str">
        <v>BSし</v>
      </c>
      <c r="P485" s="126">
        <v>0</v>
      </c>
      <c r="Q485" s="127" t="str">
        <v>うｒ</v>
      </c>
      <c r="R485" s="84">
        <v>2</v>
      </c>
      <c r="T485" s="100" t="e">
        <v>#N/A</v>
      </c>
      <c r="U485" s="121">
        <v>0</v>
      </c>
      <c r="V485" s="59" t="str">
        <v>UR</v>
      </c>
      <c r="W485" s="126" t="str">
        <v>BSし</v>
      </c>
      <c r="X485" s="126">
        <v>0</v>
      </c>
      <c r="Y485" s="127" t="str">
        <v>うｒ</v>
      </c>
      <c r="Z485" s="90">
        <v>2</v>
      </c>
    </row>
    <row r="486" spans="1:26" x14ac:dyDescent="0.4">
      <c r="A486" s="52">
        <v>485</v>
      </c>
      <c r="B486" s="51">
        <f t="shared" si="44"/>
        <v>17</v>
      </c>
      <c r="C486" s="50">
        <f t="shared" si="45"/>
        <v>5</v>
      </c>
      <c r="D486" s="64" t="e">
        <f t="shared" si="46"/>
        <v>#N/A</v>
      </c>
      <c r="E486" s="121" cm="1">
        <f t="array" ref="E486">INDEX(InputArea,B486,C486)</f>
        <v>0</v>
      </c>
      <c r="F486" s="59" t="str">
        <f t="shared" si="47"/>
        <v>UT</v>
      </c>
      <c r="G486" s="59" t="str">
        <f t="shared" si="48"/>
        <v>BS←</v>
      </c>
      <c r="H486" s="134"/>
      <c r="I486" s="136" t="s">
        <v>428</v>
      </c>
      <c r="J486" s="84">
        <f t="shared" si="49"/>
        <v>2</v>
      </c>
      <c r="K486" s="83"/>
      <c r="L486" s="64" t="e">
        <v>#N/A</v>
      </c>
      <c r="M486" s="121">
        <v>0</v>
      </c>
      <c r="N486" s="59" t="str">
        <v>UT</v>
      </c>
      <c r="O486" s="126" t="str">
        <v>BS←</v>
      </c>
      <c r="P486" s="126">
        <v>0</v>
      </c>
      <c r="Q486" s="127" t="str">
        <v>うｔ</v>
      </c>
      <c r="R486" s="84">
        <v>2</v>
      </c>
      <c r="T486" s="100" t="e">
        <v>#N/A</v>
      </c>
      <c r="U486" s="121">
        <v>0</v>
      </c>
      <c r="V486" s="59" t="str">
        <v>UT</v>
      </c>
      <c r="W486" s="126" t="str">
        <v>BS←</v>
      </c>
      <c r="X486" s="126">
        <v>0</v>
      </c>
      <c r="Y486" s="127" t="str">
        <v>うｔ</v>
      </c>
      <c r="Z486" s="90">
        <v>2</v>
      </c>
    </row>
    <row r="487" spans="1:26" x14ac:dyDescent="0.4">
      <c r="A487" s="52">
        <v>486</v>
      </c>
      <c r="B487" s="51">
        <f t="shared" si="44"/>
        <v>17</v>
      </c>
      <c r="C487" s="50">
        <f t="shared" si="45"/>
        <v>6</v>
      </c>
      <c r="D487" s="64" t="e">
        <f t="shared" si="46"/>
        <v>#N/A</v>
      </c>
      <c r="E487" s="121" cm="1">
        <f t="array" ref="E487">INDEX(InputArea,B487,C487)</f>
        <v>0</v>
      </c>
      <c r="F487" s="59" t="str">
        <f t="shared" si="47"/>
        <v>UA</v>
      </c>
      <c r="G487" s="59" t="str">
        <f t="shared" si="48"/>
        <v>BSろ</v>
      </c>
      <c r="H487" s="134"/>
      <c r="I487" s="136" t="s">
        <v>429</v>
      </c>
      <c r="J487" s="84">
        <f t="shared" si="49"/>
        <v>2</v>
      </c>
      <c r="K487" s="83"/>
      <c r="L487" s="64" t="e">
        <v>#N/A</v>
      </c>
      <c r="M487" s="121">
        <v>0</v>
      </c>
      <c r="N487" s="59" t="str">
        <v>UA</v>
      </c>
      <c r="O487" s="126" t="str">
        <v>BSろ</v>
      </c>
      <c r="P487" s="126">
        <v>0</v>
      </c>
      <c r="Q487" s="127" t="str">
        <v>うあ</v>
      </c>
      <c r="R487" s="84">
        <v>2</v>
      </c>
      <c r="T487" s="100" t="e">
        <v>#N/A</v>
      </c>
      <c r="U487" s="121">
        <v>0</v>
      </c>
      <c r="V487" s="59" t="str">
        <v>UA</v>
      </c>
      <c r="W487" s="126" t="str">
        <v>BSろ</v>
      </c>
      <c r="X487" s="126">
        <v>0</v>
      </c>
      <c r="Y487" s="127" t="str">
        <v>うあ</v>
      </c>
      <c r="Z487" s="90">
        <v>2</v>
      </c>
    </row>
    <row r="488" spans="1:26" x14ac:dyDescent="0.4">
      <c r="A488" s="52">
        <v>487</v>
      </c>
      <c r="B488" s="51">
        <f t="shared" si="44"/>
        <v>17</v>
      </c>
      <c r="C488" s="50">
        <f t="shared" si="45"/>
        <v>7</v>
      </c>
      <c r="D488" s="64" t="e">
        <f t="shared" si="46"/>
        <v>#N/A</v>
      </c>
      <c r="E488" s="121" cm="1">
        <f t="array" ref="E488">INDEX(InputArea,B488,C488)</f>
        <v>0</v>
      </c>
      <c r="F488" s="59" t="str">
        <f t="shared" si="47"/>
        <v>US</v>
      </c>
      <c r="G488" s="59" t="str">
        <f t="shared" si="48"/>
        <v>BSけ</v>
      </c>
      <c r="H488" s="134"/>
      <c r="I488" s="136" t="s">
        <v>430</v>
      </c>
      <c r="J488" s="84">
        <f t="shared" si="49"/>
        <v>2</v>
      </c>
      <c r="K488" s="83"/>
      <c r="L488" s="64" t="e">
        <v>#N/A</v>
      </c>
      <c r="M488" s="121">
        <v>0</v>
      </c>
      <c r="N488" s="59" t="str">
        <v>US</v>
      </c>
      <c r="O488" s="126" t="str">
        <v>BSけ</v>
      </c>
      <c r="P488" s="126">
        <v>0</v>
      </c>
      <c r="Q488" s="127" t="str">
        <v>うｓ</v>
      </c>
      <c r="R488" s="84">
        <v>2</v>
      </c>
      <c r="T488" s="100" t="e">
        <v>#N/A</v>
      </c>
      <c r="U488" s="121">
        <v>0</v>
      </c>
      <c r="V488" s="59" t="str">
        <v>US</v>
      </c>
      <c r="W488" s="126" t="str">
        <v>BSけ</v>
      </c>
      <c r="X488" s="126">
        <v>0</v>
      </c>
      <c r="Y488" s="127" t="str">
        <v>うｓ</v>
      </c>
      <c r="Z488" s="90">
        <v>2</v>
      </c>
    </row>
    <row r="489" spans="1:26" x14ac:dyDescent="0.4">
      <c r="A489" s="52">
        <v>488</v>
      </c>
      <c r="B489" s="51">
        <f t="shared" si="44"/>
        <v>17</v>
      </c>
      <c r="C489" s="50">
        <f t="shared" si="45"/>
        <v>8</v>
      </c>
      <c r="D489" s="64" t="e">
        <f t="shared" si="46"/>
        <v>#N/A</v>
      </c>
      <c r="E489" s="121" cm="1">
        <f t="array" ref="E489">INDEX(InputArea,B489,C489)</f>
        <v>0</v>
      </c>
      <c r="F489" s="59" t="str">
        <f t="shared" si="47"/>
        <v>UD</v>
      </c>
      <c r="G489" s="59" t="str">
        <f t="shared" si="48"/>
        <v>BSと</v>
      </c>
      <c r="H489" s="134"/>
      <c r="I489" s="136" t="s">
        <v>431</v>
      </c>
      <c r="J489" s="84">
        <f t="shared" si="49"/>
        <v>2</v>
      </c>
      <c r="K489" s="83"/>
      <c r="L489" s="64" t="e">
        <v>#N/A</v>
      </c>
      <c r="M489" s="121">
        <v>0</v>
      </c>
      <c r="N489" s="59" t="str">
        <v>UD</v>
      </c>
      <c r="O489" s="126" t="str">
        <v>BSと</v>
      </c>
      <c r="P489" s="126">
        <v>0</v>
      </c>
      <c r="Q489" s="127" t="str">
        <v>うｄ</v>
      </c>
      <c r="R489" s="84">
        <v>2</v>
      </c>
      <c r="T489" s="100" t="e">
        <v>#N/A</v>
      </c>
      <c r="U489" s="121">
        <v>0</v>
      </c>
      <c r="V489" s="59" t="str">
        <v>UD</v>
      </c>
      <c r="W489" s="126" t="str">
        <v>BSと</v>
      </c>
      <c r="X489" s="126">
        <v>0</v>
      </c>
      <c r="Y489" s="127" t="str">
        <v>うｄ</v>
      </c>
      <c r="Z489" s="90">
        <v>2</v>
      </c>
    </row>
    <row r="490" spans="1:26" x14ac:dyDescent="0.4">
      <c r="A490" s="52">
        <v>489</v>
      </c>
      <c r="B490" s="51">
        <f t="shared" si="44"/>
        <v>17</v>
      </c>
      <c r="C490" s="50">
        <f t="shared" si="45"/>
        <v>9</v>
      </c>
      <c r="D490" s="64" t="e">
        <f t="shared" si="46"/>
        <v>#N/A</v>
      </c>
      <c r="E490" s="121" cm="1">
        <f t="array" ref="E490">INDEX(InputArea,B490,C490)</f>
        <v>0</v>
      </c>
      <c r="F490" s="59" t="str">
        <f t="shared" si="47"/>
        <v>UF</v>
      </c>
      <c r="G490" s="59" t="str">
        <f t="shared" si="48"/>
        <v>BSか</v>
      </c>
      <c r="H490" s="137" t="s">
        <v>283</v>
      </c>
      <c r="I490" s="136" t="s">
        <v>432</v>
      </c>
      <c r="J490" s="84">
        <f t="shared" si="49"/>
        <v>2</v>
      </c>
      <c r="K490" s="83"/>
      <c r="L490" s="64" t="e">
        <v>#N/A</v>
      </c>
      <c r="M490" s="121">
        <v>0</v>
      </c>
      <c r="N490" s="59" t="str">
        <v>UF</v>
      </c>
      <c r="O490" s="126" t="str">
        <v>BSか</v>
      </c>
      <c r="P490" s="126" t="str">
        <v>ざ</v>
      </c>
      <c r="Q490" s="127" t="str">
        <v>うｆ</v>
      </c>
      <c r="R490" s="84">
        <v>2</v>
      </c>
      <c r="T490" s="100" t="e">
        <v>#N/A</v>
      </c>
      <c r="U490" s="121">
        <v>0</v>
      </c>
      <c r="V490" s="59" t="str">
        <v>UF</v>
      </c>
      <c r="W490" s="126" t="str">
        <v>BSか</v>
      </c>
      <c r="X490" s="126" t="str">
        <v>ざ</v>
      </c>
      <c r="Y490" s="127" t="str">
        <v>うｆ</v>
      </c>
      <c r="Z490" s="90">
        <v>2</v>
      </c>
    </row>
    <row r="491" spans="1:26" x14ac:dyDescent="0.4">
      <c r="A491" s="52">
        <v>490</v>
      </c>
      <c r="B491" s="51">
        <f t="shared" si="44"/>
        <v>17</v>
      </c>
      <c r="C491" s="50">
        <f t="shared" si="45"/>
        <v>10</v>
      </c>
      <c r="D491" s="64" t="e">
        <f t="shared" si="46"/>
        <v>#N/A</v>
      </c>
      <c r="E491" s="121" cm="1">
        <f t="array" ref="E491">INDEX(InputArea,B491,C491)</f>
        <v>0</v>
      </c>
      <c r="F491" s="59" t="str">
        <f t="shared" si="47"/>
        <v>UG</v>
      </c>
      <c r="G491" s="59" t="str">
        <f t="shared" si="48"/>
        <v>BSっ</v>
      </c>
      <c r="H491" s="134"/>
      <c r="I491" s="136" t="s">
        <v>433</v>
      </c>
      <c r="J491" s="84">
        <f t="shared" si="49"/>
        <v>2</v>
      </c>
      <c r="K491" s="83"/>
      <c r="L491" s="64" t="e">
        <v>#N/A</v>
      </c>
      <c r="M491" s="121">
        <v>0</v>
      </c>
      <c r="N491" s="59" t="str">
        <v>UG</v>
      </c>
      <c r="O491" s="126" t="str">
        <v>BSっ</v>
      </c>
      <c r="P491" s="126">
        <v>0</v>
      </c>
      <c r="Q491" s="127" t="str">
        <v>うｇ</v>
      </c>
      <c r="R491" s="84">
        <v>2</v>
      </c>
      <c r="T491" s="100" t="e">
        <v>#N/A</v>
      </c>
      <c r="U491" s="121">
        <v>0</v>
      </c>
      <c r="V491" s="59" t="str">
        <v>UG</v>
      </c>
      <c r="W491" s="126" t="str">
        <v>BSっ</v>
      </c>
      <c r="X491" s="126">
        <v>0</v>
      </c>
      <c r="Y491" s="127" t="str">
        <v>うｇ</v>
      </c>
      <c r="Z491" s="90">
        <v>2</v>
      </c>
    </row>
    <row r="492" spans="1:26" x14ac:dyDescent="0.4">
      <c r="A492" s="52">
        <v>491</v>
      </c>
      <c r="B492" s="51">
        <f t="shared" si="44"/>
        <v>17</v>
      </c>
      <c r="C492" s="50">
        <f t="shared" si="45"/>
        <v>11</v>
      </c>
      <c r="D492" s="64" t="e">
        <f t="shared" si="46"/>
        <v>#N/A</v>
      </c>
      <c r="E492" s="121" cm="1">
        <f t="array" ref="E492">INDEX(InputArea,B492,C492)</f>
        <v>0</v>
      </c>
      <c r="F492" s="59" t="str">
        <f t="shared" si="47"/>
        <v>UZ</v>
      </c>
      <c r="G492" s="59" t="str">
        <f t="shared" si="48"/>
        <v>BSほ</v>
      </c>
      <c r="H492" s="134"/>
      <c r="I492" s="136" t="s">
        <v>434</v>
      </c>
      <c r="J492" s="84">
        <f t="shared" si="49"/>
        <v>2</v>
      </c>
      <c r="K492" s="83"/>
      <c r="L492" s="64" t="e">
        <v>#N/A</v>
      </c>
      <c r="M492" s="121">
        <v>0</v>
      </c>
      <c r="N492" s="59" t="str">
        <v>UZ</v>
      </c>
      <c r="O492" s="126" t="str">
        <v>BSほ</v>
      </c>
      <c r="P492" s="126">
        <v>0</v>
      </c>
      <c r="Q492" s="127" t="str">
        <v>うｚ</v>
      </c>
      <c r="R492" s="84">
        <v>2</v>
      </c>
      <c r="T492" s="100" t="e">
        <v>#N/A</v>
      </c>
      <c r="U492" s="121">
        <v>0</v>
      </c>
      <c r="V492" s="59" t="str">
        <v>UZ</v>
      </c>
      <c r="W492" s="126" t="str">
        <v>BSほ</v>
      </c>
      <c r="X492" s="126">
        <v>0</v>
      </c>
      <c r="Y492" s="127" t="str">
        <v>うｚ</v>
      </c>
      <c r="Z492" s="90">
        <v>2</v>
      </c>
    </row>
    <row r="493" spans="1:26" x14ac:dyDescent="0.4">
      <c r="A493" s="52">
        <v>492</v>
      </c>
      <c r="B493" s="51">
        <f t="shared" si="44"/>
        <v>17</v>
      </c>
      <c r="C493" s="50">
        <f t="shared" si="45"/>
        <v>12</v>
      </c>
      <c r="D493" s="64" t="e">
        <f t="shared" si="46"/>
        <v>#N/A</v>
      </c>
      <c r="E493" s="121" cm="1">
        <f t="array" ref="E493">INDEX(InputArea,B493,C493)</f>
        <v>0</v>
      </c>
      <c r="F493" s="59" t="str">
        <f t="shared" si="47"/>
        <v>UX</v>
      </c>
      <c r="G493" s="59" t="str">
        <f t="shared" si="48"/>
        <v>BSひ</v>
      </c>
      <c r="H493" s="134"/>
      <c r="I493" s="136" t="s">
        <v>435</v>
      </c>
      <c r="J493" s="84">
        <f t="shared" si="49"/>
        <v>2</v>
      </c>
      <c r="K493" s="83"/>
      <c r="L493" s="64" t="e">
        <v>#N/A</v>
      </c>
      <c r="M493" s="121">
        <v>0</v>
      </c>
      <c r="N493" s="59" t="str">
        <v>UX</v>
      </c>
      <c r="O493" s="126" t="str">
        <v>BSひ</v>
      </c>
      <c r="P493" s="126">
        <v>0</v>
      </c>
      <c r="Q493" s="127" t="str">
        <v>うｘ</v>
      </c>
      <c r="R493" s="84">
        <v>2</v>
      </c>
      <c r="T493" s="100" t="e">
        <v>#N/A</v>
      </c>
      <c r="U493" s="121">
        <v>0</v>
      </c>
      <c r="V493" s="59" t="str">
        <v>UX</v>
      </c>
      <c r="W493" s="126" t="str">
        <v>BSひ</v>
      </c>
      <c r="X493" s="126">
        <v>0</v>
      </c>
      <c r="Y493" s="127" t="str">
        <v>うｘ</v>
      </c>
      <c r="Z493" s="90">
        <v>2</v>
      </c>
    </row>
    <row r="494" spans="1:26" x14ac:dyDescent="0.4">
      <c r="A494" s="52">
        <v>493</v>
      </c>
      <c r="B494" s="51">
        <f t="shared" si="44"/>
        <v>17</v>
      </c>
      <c r="C494" s="50">
        <f t="shared" si="45"/>
        <v>13</v>
      </c>
      <c r="D494" s="64" t="e">
        <f t="shared" si="46"/>
        <v>#N/A</v>
      </c>
      <c r="E494" s="121" cm="1">
        <f t="array" ref="E494">INDEX(InputArea,B494,C494)</f>
        <v>0</v>
      </c>
      <c r="F494" s="59" t="str">
        <f t="shared" si="47"/>
        <v>UC</v>
      </c>
      <c r="G494" s="59" t="str">
        <f t="shared" si="48"/>
        <v>BSは</v>
      </c>
      <c r="H494" s="134"/>
      <c r="I494" s="136" t="s">
        <v>436</v>
      </c>
      <c r="J494" s="84">
        <f t="shared" si="49"/>
        <v>2</v>
      </c>
      <c r="K494" s="83"/>
      <c r="L494" s="64" t="e">
        <v>#N/A</v>
      </c>
      <c r="M494" s="121">
        <v>0</v>
      </c>
      <c r="N494" s="59" t="str">
        <v>UC</v>
      </c>
      <c r="O494" s="126" t="str">
        <v>BSは</v>
      </c>
      <c r="P494" s="126">
        <v>0</v>
      </c>
      <c r="Q494" s="127" t="str">
        <v>うｃ</v>
      </c>
      <c r="R494" s="84">
        <v>2</v>
      </c>
      <c r="T494" s="100" t="e">
        <v>#N/A</v>
      </c>
      <c r="U494" s="121">
        <v>0</v>
      </c>
      <c r="V494" s="59" t="str">
        <v>UC</v>
      </c>
      <c r="W494" s="126" t="str">
        <v>BSは</v>
      </c>
      <c r="X494" s="126">
        <v>0</v>
      </c>
      <c r="Y494" s="127" t="str">
        <v>うｃ</v>
      </c>
      <c r="Z494" s="90">
        <v>2</v>
      </c>
    </row>
    <row r="495" spans="1:26" x14ac:dyDescent="0.4">
      <c r="A495" s="52">
        <v>494</v>
      </c>
      <c r="B495" s="51">
        <f t="shared" si="44"/>
        <v>17</v>
      </c>
      <c r="C495" s="50">
        <f t="shared" si="45"/>
        <v>14</v>
      </c>
      <c r="D495" s="64" t="e">
        <f t="shared" si="46"/>
        <v>#N/A</v>
      </c>
      <c r="E495" s="121" cm="1">
        <f t="array" ref="E495">INDEX(InputArea,B495,C495)</f>
        <v>0</v>
      </c>
      <c r="F495" s="59" t="str">
        <f t="shared" si="47"/>
        <v>UV</v>
      </c>
      <c r="G495" s="59" t="str">
        <f t="shared" si="48"/>
        <v>BSこ</v>
      </c>
      <c r="H495" s="134"/>
      <c r="I495" s="136" t="s">
        <v>437</v>
      </c>
      <c r="J495" s="84">
        <f t="shared" si="49"/>
        <v>2</v>
      </c>
      <c r="K495" s="83"/>
      <c r="L495" s="64" t="e">
        <v>#N/A</v>
      </c>
      <c r="M495" s="121">
        <v>0</v>
      </c>
      <c r="N495" s="59" t="str">
        <v>UV</v>
      </c>
      <c r="O495" s="126" t="str">
        <v>BSこ</v>
      </c>
      <c r="P495" s="126">
        <v>0</v>
      </c>
      <c r="Q495" s="127" t="str">
        <v>うｖ</v>
      </c>
      <c r="R495" s="84">
        <v>2</v>
      </c>
      <c r="T495" s="100" t="e">
        <v>#N/A</v>
      </c>
      <c r="U495" s="121">
        <v>0</v>
      </c>
      <c r="V495" s="59" t="str">
        <v>UV</v>
      </c>
      <c r="W495" s="126" t="str">
        <v>BSこ</v>
      </c>
      <c r="X495" s="126">
        <v>0</v>
      </c>
      <c r="Y495" s="127" t="str">
        <v>うｖ</v>
      </c>
      <c r="Z495" s="90">
        <v>2</v>
      </c>
    </row>
    <row r="496" spans="1:26" x14ac:dyDescent="0.4">
      <c r="A496" s="52">
        <v>495</v>
      </c>
      <c r="B496" s="51">
        <f t="shared" si="44"/>
        <v>17</v>
      </c>
      <c r="C496" s="50">
        <f t="shared" si="45"/>
        <v>15</v>
      </c>
      <c r="D496" s="64" t="e">
        <f t="shared" si="46"/>
        <v>#N/A</v>
      </c>
      <c r="E496" s="121" cm="1">
        <f t="array" ref="E496">INDEX(InputArea,B496,C496)</f>
        <v>0</v>
      </c>
      <c r="F496" s="59" t="str">
        <f t="shared" si="47"/>
        <v>UB</v>
      </c>
      <c r="G496" s="59" t="str">
        <f t="shared" si="48"/>
        <v>BSそ</v>
      </c>
      <c r="H496" s="134"/>
      <c r="I496" s="136" t="s">
        <v>438</v>
      </c>
      <c r="J496" s="84">
        <f t="shared" si="49"/>
        <v>2</v>
      </c>
      <c r="K496" s="83"/>
      <c r="L496" s="64" t="e">
        <v>#N/A</v>
      </c>
      <c r="M496" s="121">
        <v>0</v>
      </c>
      <c r="N496" s="59" t="str">
        <v>UB</v>
      </c>
      <c r="O496" s="126" t="str">
        <v>BSそ</v>
      </c>
      <c r="P496" s="126">
        <v>0</v>
      </c>
      <c r="Q496" s="127" t="str">
        <v>うｂ</v>
      </c>
      <c r="R496" s="84">
        <v>2</v>
      </c>
      <c r="T496" s="100" t="e">
        <v>#N/A</v>
      </c>
      <c r="U496" s="121">
        <v>0</v>
      </c>
      <c r="V496" s="59" t="str">
        <v>UB</v>
      </c>
      <c r="W496" s="126" t="str">
        <v>BSそ</v>
      </c>
      <c r="X496" s="126">
        <v>0</v>
      </c>
      <c r="Y496" s="127" t="str">
        <v>うｂ</v>
      </c>
      <c r="Z496" s="90">
        <v>2</v>
      </c>
    </row>
    <row r="497" spans="1:26" x14ac:dyDescent="0.4">
      <c r="A497" s="52">
        <v>496</v>
      </c>
      <c r="B497" s="51">
        <f t="shared" si="44"/>
        <v>17</v>
      </c>
      <c r="C497" s="50">
        <f t="shared" si="45"/>
        <v>16</v>
      </c>
      <c r="D497" s="64" t="e">
        <f t="shared" si="46"/>
        <v>#N/A</v>
      </c>
      <c r="E497" s="121" cm="1">
        <f t="array" ref="E497">INDEX(InputArea,B497,C497)</f>
        <v>0</v>
      </c>
      <c r="F497" s="59" t="str">
        <f t="shared" si="47"/>
        <v>UY</v>
      </c>
      <c r="G497" s="59" t="str">
        <f t="shared" si="48"/>
        <v>BS→</v>
      </c>
      <c r="H497" s="134"/>
      <c r="I497" s="136" t="s">
        <v>439</v>
      </c>
      <c r="J497" s="84">
        <f t="shared" si="49"/>
        <v>3</v>
      </c>
      <c r="K497" s="83"/>
      <c r="L497" s="64" t="e">
        <v>#N/A</v>
      </c>
      <c r="M497" s="121">
        <v>0</v>
      </c>
      <c r="N497" s="59" t="str">
        <v>UY</v>
      </c>
      <c r="O497" s="126" t="str">
        <v>BS→</v>
      </c>
      <c r="P497" s="126">
        <v>0</v>
      </c>
      <c r="Q497" s="127" t="str">
        <v>うｙ</v>
      </c>
      <c r="R497" s="84">
        <v>3</v>
      </c>
      <c r="T497" s="100" t="e">
        <v>#N/A</v>
      </c>
      <c r="U497" s="121">
        <v>0</v>
      </c>
      <c r="V497" s="59" t="str">
        <v>UY</v>
      </c>
      <c r="W497" s="126" t="str">
        <v>BS→</v>
      </c>
      <c r="X497" s="126">
        <v>0</v>
      </c>
      <c r="Y497" s="127" t="str">
        <v>うｙ</v>
      </c>
      <c r="Z497" s="90">
        <v>3</v>
      </c>
    </row>
    <row r="498" spans="1:26" x14ac:dyDescent="0.4">
      <c r="A498" s="52">
        <v>497</v>
      </c>
      <c r="B498" s="51">
        <f t="shared" si="44"/>
        <v>17</v>
      </c>
      <c r="C498" s="50">
        <f t="shared" si="45"/>
        <v>17</v>
      </c>
      <c r="D498" s="64" t="e">
        <f t="shared" si="46"/>
        <v>#N/A</v>
      </c>
      <c r="E498" s="121" cm="1">
        <f t="array" ref="E498">INDEX(InputArea,B498,C498)</f>
        <v>0</v>
      </c>
      <c r="F498" s="59" t="str">
        <f t="shared" si="47"/>
        <v>UU</v>
      </c>
      <c r="G498" s="59" t="str">
        <f t="shared" si="48"/>
        <v>BSBS</v>
      </c>
      <c r="H498" s="134"/>
      <c r="I498" s="136" t="s">
        <v>440</v>
      </c>
      <c r="J498" s="84">
        <f t="shared" si="49"/>
        <v>3</v>
      </c>
      <c r="K498" s="83"/>
      <c r="L498" s="64" t="e">
        <v>#N/A</v>
      </c>
      <c r="M498" s="121">
        <v>0</v>
      </c>
      <c r="N498" s="59" t="str">
        <v>UU</v>
      </c>
      <c r="O498" s="126" t="str">
        <v>BSBS</v>
      </c>
      <c r="P498" s="126">
        <v>0</v>
      </c>
      <c r="Q498" s="127" t="str">
        <v>うう</v>
      </c>
      <c r="R498" s="84">
        <v>3</v>
      </c>
      <c r="T498" s="100" t="e">
        <v>#N/A</v>
      </c>
      <c r="U498" s="121">
        <v>0</v>
      </c>
      <c r="V498" s="59" t="str">
        <v>UU</v>
      </c>
      <c r="W498" s="126" t="str">
        <v>BSBS</v>
      </c>
      <c r="X498" s="126">
        <v>0</v>
      </c>
      <c r="Y498" s="127" t="str">
        <v>うう</v>
      </c>
      <c r="Z498" s="90">
        <v>3</v>
      </c>
    </row>
    <row r="499" spans="1:26" x14ac:dyDescent="0.4">
      <c r="A499" s="52">
        <v>498</v>
      </c>
      <c r="B499" s="51">
        <f t="shared" si="44"/>
        <v>17</v>
      </c>
      <c r="C499" s="50">
        <f t="shared" si="45"/>
        <v>18</v>
      </c>
      <c r="D499" s="64" t="e">
        <f t="shared" si="46"/>
        <v>#N/A</v>
      </c>
      <c r="E499" s="121" cm="1">
        <f t="array" ref="E499">INDEX(InputArea,B499,C499)</f>
        <v>0</v>
      </c>
      <c r="F499" s="59" t="str">
        <f t="shared" si="47"/>
        <v>UI</v>
      </c>
      <c r="G499" s="59" t="str">
        <f t="shared" si="48"/>
        <v>BSる</v>
      </c>
      <c r="H499" s="134"/>
      <c r="I499" s="136" t="s">
        <v>441</v>
      </c>
      <c r="J499" s="84">
        <f t="shared" si="49"/>
        <v>3</v>
      </c>
      <c r="K499" s="83"/>
      <c r="L499" s="64" t="e">
        <v>#N/A</v>
      </c>
      <c r="M499" s="121">
        <v>0</v>
      </c>
      <c r="N499" s="59" t="str">
        <v>UI</v>
      </c>
      <c r="O499" s="126" t="str">
        <v>BSる</v>
      </c>
      <c r="P499" s="126">
        <v>0</v>
      </c>
      <c r="Q499" s="127" t="str">
        <v>うい</v>
      </c>
      <c r="R499" s="84">
        <v>3</v>
      </c>
      <c r="T499" s="100" t="e">
        <v>#N/A</v>
      </c>
      <c r="U499" s="121">
        <v>0</v>
      </c>
      <c r="V499" s="59" t="str">
        <v>UI</v>
      </c>
      <c r="W499" s="126" t="str">
        <v>BSる</v>
      </c>
      <c r="X499" s="126">
        <v>0</v>
      </c>
      <c r="Y499" s="127" t="str">
        <v>うい</v>
      </c>
      <c r="Z499" s="90">
        <v>3</v>
      </c>
    </row>
    <row r="500" spans="1:26" x14ac:dyDescent="0.4">
      <c r="A500" s="52">
        <v>499</v>
      </c>
      <c r="B500" s="51">
        <f t="shared" si="44"/>
        <v>17</v>
      </c>
      <c r="C500" s="50">
        <f t="shared" si="45"/>
        <v>19</v>
      </c>
      <c r="D500" s="64" t="e">
        <f t="shared" si="46"/>
        <v>#N/A</v>
      </c>
      <c r="E500" s="121" cm="1">
        <f t="array" ref="E500">INDEX(InputArea,B500,C500)</f>
        <v>0</v>
      </c>
      <c r="F500" s="59" t="str">
        <f t="shared" si="47"/>
        <v>UO</v>
      </c>
      <c r="G500" s="59" t="str">
        <f t="shared" si="48"/>
        <v>BSす</v>
      </c>
      <c r="H500" s="134"/>
      <c r="I500" s="136" t="s">
        <v>442</v>
      </c>
      <c r="J500" s="84">
        <f t="shared" si="49"/>
        <v>3</v>
      </c>
      <c r="K500" s="83"/>
      <c r="L500" s="64" t="e">
        <v>#N/A</v>
      </c>
      <c r="M500" s="121">
        <v>0</v>
      </c>
      <c r="N500" s="59" t="str">
        <v>UO</v>
      </c>
      <c r="O500" s="126" t="str">
        <v>BSす</v>
      </c>
      <c r="P500" s="126">
        <v>0</v>
      </c>
      <c r="Q500" s="127" t="str">
        <v>うお</v>
      </c>
      <c r="R500" s="84">
        <v>3</v>
      </c>
      <c r="T500" s="100" t="e">
        <v>#N/A</v>
      </c>
      <c r="U500" s="121">
        <v>0</v>
      </c>
      <c r="V500" s="59" t="str">
        <v>UO</v>
      </c>
      <c r="W500" s="126" t="str">
        <v>BSす</v>
      </c>
      <c r="X500" s="126">
        <v>0</v>
      </c>
      <c r="Y500" s="127" t="str">
        <v>うお</v>
      </c>
      <c r="Z500" s="90">
        <v>3</v>
      </c>
    </row>
    <row r="501" spans="1:26" x14ac:dyDescent="0.4">
      <c r="A501" s="52">
        <v>500</v>
      </c>
      <c r="B501" s="51">
        <f t="shared" si="44"/>
        <v>17</v>
      </c>
      <c r="C501" s="50">
        <f t="shared" si="45"/>
        <v>20</v>
      </c>
      <c r="D501" s="64" t="e">
        <f t="shared" si="46"/>
        <v>#N/A</v>
      </c>
      <c r="E501" s="121" cm="1">
        <f t="array" ref="E501">INDEX(InputArea,B501,C501)</f>
        <v>0</v>
      </c>
      <c r="F501" s="59" t="str">
        <f t="shared" si="47"/>
        <v>UP</v>
      </c>
      <c r="G501" s="59" t="str">
        <f t="shared" si="48"/>
        <v>BSへ</v>
      </c>
      <c r="H501" s="134"/>
      <c r="I501" s="136" t="s">
        <v>443</v>
      </c>
      <c r="J501" s="84">
        <f t="shared" si="49"/>
        <v>3</v>
      </c>
      <c r="K501" s="83"/>
      <c r="L501" s="64" t="e">
        <v>#N/A</v>
      </c>
      <c r="M501" s="121">
        <v>0</v>
      </c>
      <c r="N501" s="59" t="str">
        <v>UP</v>
      </c>
      <c r="O501" s="126" t="str">
        <v>BSへ</v>
      </c>
      <c r="P501" s="126">
        <v>0</v>
      </c>
      <c r="Q501" s="127" t="str">
        <v>うｐ</v>
      </c>
      <c r="R501" s="84">
        <v>3</v>
      </c>
      <c r="T501" s="100" t="e">
        <v>#N/A</v>
      </c>
      <c r="U501" s="121">
        <v>0</v>
      </c>
      <c r="V501" s="59" t="str">
        <v>UP</v>
      </c>
      <c r="W501" s="126" t="str">
        <v>BSへ</v>
      </c>
      <c r="X501" s="126">
        <v>0</v>
      </c>
      <c r="Y501" s="127" t="str">
        <v>うｐ</v>
      </c>
      <c r="Z501" s="90">
        <v>3</v>
      </c>
    </row>
    <row r="502" spans="1:26" x14ac:dyDescent="0.4">
      <c r="A502" s="52">
        <v>501</v>
      </c>
      <c r="B502" s="51">
        <f t="shared" si="44"/>
        <v>17</v>
      </c>
      <c r="C502" s="50">
        <f t="shared" si="45"/>
        <v>21</v>
      </c>
      <c r="D502" s="64" t="e">
        <f t="shared" si="46"/>
        <v>#N/A</v>
      </c>
      <c r="E502" s="121" cm="1">
        <f t="array" ref="E502">INDEX(InputArea,B502,C502)</f>
        <v>0</v>
      </c>
      <c r="F502" s="59" t="str">
        <f t="shared" si="47"/>
        <v>UH</v>
      </c>
      <c r="G502" s="59" t="str">
        <f t="shared" si="48"/>
        <v>BSく</v>
      </c>
      <c r="H502" s="134"/>
      <c r="I502" s="136" t="s">
        <v>444</v>
      </c>
      <c r="J502" s="84">
        <f t="shared" si="49"/>
        <v>3</v>
      </c>
      <c r="K502" s="83"/>
      <c r="L502" s="64" t="e">
        <v>#N/A</v>
      </c>
      <c r="M502" s="121">
        <v>0</v>
      </c>
      <c r="N502" s="59" t="str">
        <v>UH</v>
      </c>
      <c r="O502" s="126" t="str">
        <v>BSく</v>
      </c>
      <c r="P502" s="126">
        <v>0</v>
      </c>
      <c r="Q502" s="127" t="str">
        <v>うｈ</v>
      </c>
      <c r="R502" s="84">
        <v>3</v>
      </c>
      <c r="T502" s="100" t="e">
        <v>#N/A</v>
      </c>
      <c r="U502" s="121">
        <v>0</v>
      </c>
      <c r="V502" s="59" t="str">
        <v>UH</v>
      </c>
      <c r="W502" s="126" t="str">
        <v>BSく</v>
      </c>
      <c r="X502" s="126">
        <v>0</v>
      </c>
      <c r="Y502" s="127" t="str">
        <v>うｈ</v>
      </c>
      <c r="Z502" s="90">
        <v>3</v>
      </c>
    </row>
    <row r="503" spans="1:26" x14ac:dyDescent="0.4">
      <c r="A503" s="52">
        <v>502</v>
      </c>
      <c r="B503" s="51">
        <f t="shared" si="44"/>
        <v>17</v>
      </c>
      <c r="C503" s="50">
        <f t="shared" si="45"/>
        <v>22</v>
      </c>
      <c r="D503" s="64" t="e">
        <f t="shared" si="46"/>
        <v>#N/A</v>
      </c>
      <c r="E503" s="121" cm="1">
        <f t="array" ref="E503">INDEX(InputArea,B503,C503)</f>
        <v>0</v>
      </c>
      <c r="F503" s="59" t="str">
        <f t="shared" si="47"/>
        <v>UJ</v>
      </c>
      <c r="G503" s="59" t="str">
        <f t="shared" si="48"/>
        <v>BSあ</v>
      </c>
      <c r="H503" s="134"/>
      <c r="I503" s="136" t="s">
        <v>445</v>
      </c>
      <c r="J503" s="84">
        <f t="shared" si="49"/>
        <v>3</v>
      </c>
      <c r="K503" s="83"/>
      <c r="L503" s="64" t="e">
        <v>#N/A</v>
      </c>
      <c r="M503" s="121">
        <v>0</v>
      </c>
      <c r="N503" s="59" t="str">
        <v>UJ</v>
      </c>
      <c r="O503" s="126" t="str">
        <v>BSあ</v>
      </c>
      <c r="P503" s="126">
        <v>0</v>
      </c>
      <c r="Q503" s="127" t="str">
        <v>うｊ</v>
      </c>
      <c r="R503" s="84">
        <v>3</v>
      </c>
      <c r="T503" s="100" t="e">
        <v>#N/A</v>
      </c>
      <c r="U503" s="121">
        <v>0</v>
      </c>
      <c r="V503" s="59" t="str">
        <v>UJ</v>
      </c>
      <c r="W503" s="126" t="str">
        <v>BSあ</v>
      </c>
      <c r="X503" s="126">
        <v>0</v>
      </c>
      <c r="Y503" s="127" t="str">
        <v>うｊ</v>
      </c>
      <c r="Z503" s="90">
        <v>3</v>
      </c>
    </row>
    <row r="504" spans="1:26" x14ac:dyDescent="0.4">
      <c r="A504" s="52">
        <v>503</v>
      </c>
      <c r="B504" s="51">
        <f t="shared" si="44"/>
        <v>17</v>
      </c>
      <c r="C504" s="50">
        <f t="shared" si="45"/>
        <v>23</v>
      </c>
      <c r="D504" s="64" t="e">
        <f t="shared" si="46"/>
        <v>#N/A</v>
      </c>
      <c r="E504" s="121" cm="1">
        <f t="array" ref="E504">INDEX(InputArea,B504,C504)</f>
        <v>0</v>
      </c>
      <c r="F504" s="59" t="str">
        <f t="shared" si="47"/>
        <v>UK</v>
      </c>
      <c r="G504" s="59" t="str">
        <f t="shared" si="48"/>
        <v>BSい</v>
      </c>
      <c r="H504" s="134"/>
      <c r="I504" s="136" t="s">
        <v>446</v>
      </c>
      <c r="J504" s="84">
        <f t="shared" si="49"/>
        <v>3</v>
      </c>
      <c r="K504" s="83"/>
      <c r="L504" s="64" t="e">
        <v>#N/A</v>
      </c>
      <c r="M504" s="121">
        <v>0</v>
      </c>
      <c r="N504" s="59" t="str">
        <v>UK</v>
      </c>
      <c r="O504" s="126" t="str">
        <v>BSい</v>
      </c>
      <c r="P504" s="126">
        <v>0</v>
      </c>
      <c r="Q504" s="127" t="str">
        <v>うｋ</v>
      </c>
      <c r="R504" s="84">
        <v>3</v>
      </c>
      <c r="T504" s="100" t="e">
        <v>#N/A</v>
      </c>
      <c r="U504" s="121">
        <v>0</v>
      </c>
      <c r="V504" s="59" t="str">
        <v>UK</v>
      </c>
      <c r="W504" s="126" t="str">
        <v>BSい</v>
      </c>
      <c r="X504" s="126">
        <v>0</v>
      </c>
      <c r="Y504" s="127" t="str">
        <v>うｋ</v>
      </c>
      <c r="Z504" s="90">
        <v>3</v>
      </c>
    </row>
    <row r="505" spans="1:26" x14ac:dyDescent="0.4">
      <c r="A505" s="52">
        <v>504</v>
      </c>
      <c r="B505" s="51">
        <f t="shared" si="44"/>
        <v>17</v>
      </c>
      <c r="C505" s="50">
        <f t="shared" si="45"/>
        <v>24</v>
      </c>
      <c r="D505" s="64" t="e">
        <f t="shared" si="46"/>
        <v>#N/A</v>
      </c>
      <c r="E505" s="121" cm="1">
        <f t="array" ref="E505">INDEX(InputArea,B505,C505)</f>
        <v>0</v>
      </c>
      <c r="F505" s="59" t="str">
        <f t="shared" si="47"/>
        <v>UL</v>
      </c>
      <c r="G505" s="59" t="str">
        <f t="shared" si="48"/>
        <v>BSう</v>
      </c>
      <c r="H505" s="134"/>
      <c r="I505" s="136" t="s">
        <v>447</v>
      </c>
      <c r="J505" s="84">
        <f t="shared" si="49"/>
        <v>3</v>
      </c>
      <c r="K505" s="83"/>
      <c r="L505" s="64" t="e">
        <v>#N/A</v>
      </c>
      <c r="M505" s="121">
        <v>0</v>
      </c>
      <c r="N505" s="59" t="str">
        <v>UL</v>
      </c>
      <c r="O505" s="126" t="str">
        <v>BSう</v>
      </c>
      <c r="P505" s="126">
        <v>0</v>
      </c>
      <c r="Q505" s="127" t="str">
        <v>うｌ</v>
      </c>
      <c r="R505" s="84">
        <v>3</v>
      </c>
      <c r="T505" s="100" t="e">
        <v>#N/A</v>
      </c>
      <c r="U505" s="121">
        <v>0</v>
      </c>
      <c r="V505" s="59" t="str">
        <v>UL</v>
      </c>
      <c r="W505" s="126" t="str">
        <v>BSう</v>
      </c>
      <c r="X505" s="126">
        <v>0</v>
      </c>
      <c r="Y505" s="127" t="str">
        <v>うｌ</v>
      </c>
      <c r="Z505" s="90">
        <v>3</v>
      </c>
    </row>
    <row r="506" spans="1:26" x14ac:dyDescent="0.4">
      <c r="A506" s="52">
        <v>505</v>
      </c>
      <c r="B506" s="51">
        <f t="shared" si="44"/>
        <v>17</v>
      </c>
      <c r="C506" s="50">
        <f t="shared" si="45"/>
        <v>25</v>
      </c>
      <c r="D506" s="64" t="e">
        <f t="shared" si="46"/>
        <v>#N/A</v>
      </c>
      <c r="E506" s="121" cm="1">
        <f t="array" ref="E506">INDEX(InputArea,B506,C506)</f>
        <v>0</v>
      </c>
      <c r="F506" s="59" t="str">
        <f t="shared" si="47"/>
        <v>U;</v>
      </c>
      <c r="G506" s="59" t="str">
        <f t="shared" si="48"/>
        <v>BSー</v>
      </c>
      <c r="H506" s="134"/>
      <c r="I506" s="135"/>
      <c r="J506" s="84">
        <f t="shared" si="49"/>
        <v>3</v>
      </c>
      <c r="K506" s="83"/>
      <c r="L506" s="64" t="e">
        <v>#N/A</v>
      </c>
      <c r="M506" s="121">
        <v>0</v>
      </c>
      <c r="N506" s="59" t="str">
        <v>U;</v>
      </c>
      <c r="O506" s="126" t="str">
        <v>BSー</v>
      </c>
      <c r="P506" s="126">
        <v>0</v>
      </c>
      <c r="Q506" s="127">
        <v>0</v>
      </c>
      <c r="R506" s="84">
        <v>3</v>
      </c>
      <c r="T506" s="100" t="e">
        <v>#N/A</v>
      </c>
      <c r="U506" s="121">
        <v>0</v>
      </c>
      <c r="V506" s="59" t="str">
        <v>U;</v>
      </c>
      <c r="W506" s="126" t="str">
        <v>BSー</v>
      </c>
      <c r="X506" s="126">
        <v>0</v>
      </c>
      <c r="Y506" s="127">
        <v>0</v>
      </c>
      <c r="Z506" s="90">
        <v>3</v>
      </c>
    </row>
    <row r="507" spans="1:26" x14ac:dyDescent="0.4">
      <c r="A507" s="52">
        <v>506</v>
      </c>
      <c r="B507" s="51">
        <f t="shared" si="44"/>
        <v>17</v>
      </c>
      <c r="C507" s="50">
        <f t="shared" si="45"/>
        <v>26</v>
      </c>
      <c r="D507" s="64" t="e">
        <f t="shared" si="46"/>
        <v>#N/A</v>
      </c>
      <c r="E507" s="121" cm="1">
        <f t="array" ref="E507">INDEX(InputArea,B507,C507)</f>
        <v>0</v>
      </c>
      <c r="F507" s="59" t="str">
        <f t="shared" si="47"/>
        <v>UN</v>
      </c>
      <c r="G507" s="59" t="str">
        <f t="shared" si="48"/>
        <v>BSた</v>
      </c>
      <c r="H507" s="134"/>
      <c r="I507" s="136" t="s">
        <v>448</v>
      </c>
      <c r="J507" s="84">
        <f t="shared" si="49"/>
        <v>3</v>
      </c>
      <c r="K507" s="83"/>
      <c r="L507" s="64" t="e">
        <v>#N/A</v>
      </c>
      <c r="M507" s="121">
        <v>0</v>
      </c>
      <c r="N507" s="59" t="str">
        <v>UN</v>
      </c>
      <c r="O507" s="126" t="str">
        <v>BSた</v>
      </c>
      <c r="P507" s="126">
        <v>0</v>
      </c>
      <c r="Q507" s="127" t="str">
        <v>うｎ</v>
      </c>
      <c r="R507" s="84">
        <v>3</v>
      </c>
      <c r="T507" s="100" t="e">
        <v>#N/A</v>
      </c>
      <c r="U507" s="121">
        <v>0</v>
      </c>
      <c r="V507" s="59" t="str">
        <v>UN</v>
      </c>
      <c r="W507" s="126" t="str">
        <v>BSた</v>
      </c>
      <c r="X507" s="126">
        <v>0</v>
      </c>
      <c r="Y507" s="127" t="str">
        <v>うｎ</v>
      </c>
      <c r="Z507" s="90">
        <v>3</v>
      </c>
    </row>
    <row r="508" spans="1:26" x14ac:dyDescent="0.4">
      <c r="A508" s="52">
        <v>507</v>
      </c>
      <c r="B508" s="51">
        <f t="shared" si="44"/>
        <v>17</v>
      </c>
      <c r="C508" s="50">
        <f t="shared" si="45"/>
        <v>27</v>
      </c>
      <c r="D508" s="64" t="e">
        <f t="shared" si="46"/>
        <v>#N/A</v>
      </c>
      <c r="E508" s="121" cm="1">
        <f t="array" ref="E508">INDEX(InputArea,B508,C508)</f>
        <v>0</v>
      </c>
      <c r="F508" s="59" t="str">
        <f t="shared" si="47"/>
        <v>UM</v>
      </c>
      <c r="G508" s="59" t="str">
        <f t="shared" si="48"/>
        <v>BSな</v>
      </c>
      <c r="H508" s="134"/>
      <c r="I508" s="136" t="s">
        <v>449</v>
      </c>
      <c r="J508" s="84">
        <f t="shared" si="49"/>
        <v>3</v>
      </c>
      <c r="K508" s="83"/>
      <c r="L508" s="64" t="e">
        <v>#N/A</v>
      </c>
      <c r="M508" s="121">
        <v>0</v>
      </c>
      <c r="N508" s="59" t="str">
        <v>UM</v>
      </c>
      <c r="O508" s="126" t="str">
        <v>BSな</v>
      </c>
      <c r="P508" s="126">
        <v>0</v>
      </c>
      <c r="Q508" s="127" t="str">
        <v>うｍ</v>
      </c>
      <c r="R508" s="84">
        <v>3</v>
      </c>
      <c r="T508" s="100" t="e">
        <v>#N/A</v>
      </c>
      <c r="U508" s="121">
        <v>0</v>
      </c>
      <c r="V508" s="59" t="str">
        <v>UM</v>
      </c>
      <c r="W508" s="126" t="str">
        <v>BSな</v>
      </c>
      <c r="X508" s="126">
        <v>0</v>
      </c>
      <c r="Y508" s="127" t="str">
        <v>うｍ</v>
      </c>
      <c r="Z508" s="90">
        <v>3</v>
      </c>
    </row>
    <row r="509" spans="1:26" x14ac:dyDescent="0.4">
      <c r="A509" s="52">
        <v>508</v>
      </c>
      <c r="B509" s="51">
        <f t="shared" si="44"/>
        <v>17</v>
      </c>
      <c r="C509" s="50">
        <f t="shared" si="45"/>
        <v>28</v>
      </c>
      <c r="D509" s="64" t="e">
        <f t="shared" si="46"/>
        <v>#N/A</v>
      </c>
      <c r="E509" s="121" cm="1">
        <f t="array" ref="E509">INDEX(InputArea,B509,C509)</f>
        <v>0</v>
      </c>
      <c r="F509" s="59" t="str">
        <f t="shared" si="47"/>
        <v>U,</v>
      </c>
      <c r="G509" s="59" t="str">
        <f t="shared" si="48"/>
        <v>BSん</v>
      </c>
      <c r="H509" s="134"/>
      <c r="I509" s="136" t="s">
        <v>450</v>
      </c>
      <c r="J509" s="84">
        <f t="shared" si="49"/>
        <v>3</v>
      </c>
      <c r="K509" s="83"/>
      <c r="L509" s="64" t="e">
        <v>#N/A</v>
      </c>
      <c r="M509" s="121">
        <v>0</v>
      </c>
      <c r="N509" s="59" t="str">
        <v>U,</v>
      </c>
      <c r="O509" s="126" t="str">
        <v>BSん</v>
      </c>
      <c r="P509" s="126">
        <v>0</v>
      </c>
      <c r="Q509" s="127" t="str">
        <v>う、</v>
      </c>
      <c r="R509" s="84">
        <v>3</v>
      </c>
      <c r="T509" s="100" t="e">
        <v>#N/A</v>
      </c>
      <c r="U509" s="121">
        <v>0</v>
      </c>
      <c r="V509" s="59" t="str">
        <v>U,</v>
      </c>
      <c r="W509" s="126" t="str">
        <v>BSん</v>
      </c>
      <c r="X509" s="126">
        <v>0</v>
      </c>
      <c r="Y509" s="127" t="str">
        <v>う、</v>
      </c>
      <c r="Z509" s="90">
        <v>3</v>
      </c>
    </row>
    <row r="510" spans="1:26" x14ac:dyDescent="0.4">
      <c r="A510" s="52">
        <v>509</v>
      </c>
      <c r="B510" s="51">
        <f t="shared" si="44"/>
        <v>17</v>
      </c>
      <c r="C510" s="50">
        <f t="shared" si="45"/>
        <v>29</v>
      </c>
      <c r="D510" s="64" t="e">
        <f t="shared" si="46"/>
        <v>#N/A</v>
      </c>
      <c r="E510" s="121" cm="1">
        <f t="array" ref="E510">INDEX(InputArea,B510,C510)</f>
        <v>0</v>
      </c>
      <c r="F510" s="59" t="str">
        <f t="shared" si="47"/>
        <v>U.</v>
      </c>
      <c r="G510" s="59" t="str">
        <f t="shared" si="48"/>
        <v>BSら</v>
      </c>
      <c r="H510" s="134"/>
      <c r="I510" s="136" t="s">
        <v>451</v>
      </c>
      <c r="J510" s="84">
        <f t="shared" si="49"/>
        <v>3</v>
      </c>
      <c r="K510" s="83"/>
      <c r="L510" s="64" t="e">
        <v>#N/A</v>
      </c>
      <c r="M510" s="121">
        <v>0</v>
      </c>
      <c r="N510" s="59" t="str">
        <v>U.</v>
      </c>
      <c r="O510" s="126" t="str">
        <v>BSら</v>
      </c>
      <c r="P510" s="126">
        <v>0</v>
      </c>
      <c r="Q510" s="127" t="str">
        <v>う。</v>
      </c>
      <c r="R510" s="84">
        <v>3</v>
      </c>
      <c r="T510" s="100" t="e">
        <v>#N/A</v>
      </c>
      <c r="U510" s="121">
        <v>0</v>
      </c>
      <c r="V510" s="59" t="str">
        <v>U.</v>
      </c>
      <c r="W510" s="126" t="str">
        <v>BSら</v>
      </c>
      <c r="X510" s="126">
        <v>0</v>
      </c>
      <c r="Y510" s="127" t="str">
        <v>う。</v>
      </c>
      <c r="Z510" s="90">
        <v>3</v>
      </c>
    </row>
    <row r="511" spans="1:26" x14ac:dyDescent="0.4">
      <c r="A511" s="52">
        <v>510</v>
      </c>
      <c r="B511" s="51">
        <f t="shared" si="44"/>
        <v>17</v>
      </c>
      <c r="C511" s="50">
        <f t="shared" si="45"/>
        <v>30</v>
      </c>
      <c r="D511" s="64" t="e">
        <f t="shared" si="46"/>
        <v>#N/A</v>
      </c>
      <c r="E511" s="121" cm="1">
        <f t="array" ref="E511">INDEX(InputArea,B511,C511)</f>
        <v>0</v>
      </c>
      <c r="F511" s="59" t="str">
        <f t="shared" si="47"/>
        <v>U/</v>
      </c>
      <c r="G511" s="59" t="str">
        <f t="shared" si="48"/>
        <v>BSれ</v>
      </c>
      <c r="H511" s="134"/>
      <c r="I511" s="135"/>
      <c r="J511" s="84">
        <f t="shared" si="49"/>
        <v>3</v>
      </c>
      <c r="K511" s="83"/>
      <c r="L511" s="64" t="e">
        <v>#N/A</v>
      </c>
      <c r="M511" s="121">
        <v>0</v>
      </c>
      <c r="N511" s="59" t="str">
        <v>U/</v>
      </c>
      <c r="O511" s="126" t="str">
        <v>BSれ</v>
      </c>
      <c r="P511" s="126">
        <v>0</v>
      </c>
      <c r="Q511" s="127">
        <v>0</v>
      </c>
      <c r="R511" s="84">
        <v>3</v>
      </c>
      <c r="T511" s="100" t="e">
        <v>#N/A</v>
      </c>
      <c r="U511" s="121">
        <v>0</v>
      </c>
      <c r="V511" s="59" t="str">
        <v>U/</v>
      </c>
      <c r="W511" s="126" t="str">
        <v>BSれ</v>
      </c>
      <c r="X511" s="126">
        <v>0</v>
      </c>
      <c r="Y511" s="127">
        <v>0</v>
      </c>
      <c r="Z511" s="90">
        <v>3</v>
      </c>
    </row>
    <row r="512" spans="1:26" x14ac:dyDescent="0.4">
      <c r="A512" s="52">
        <v>511</v>
      </c>
      <c r="B512" s="51">
        <f t="shared" si="44"/>
        <v>18</v>
      </c>
      <c r="C512" s="50">
        <f t="shared" si="45"/>
        <v>1</v>
      </c>
      <c r="D512" s="64" t="e">
        <f t="shared" si="46"/>
        <v>#N/A</v>
      </c>
      <c r="E512" s="121" cm="1">
        <f t="array" ref="E512">INDEX(InputArea,B512,C512)</f>
        <v>0</v>
      </c>
      <c r="F512" s="59" t="str">
        <f t="shared" si="47"/>
        <v>IQ</v>
      </c>
      <c r="G512" s="59" t="str">
        <f t="shared" si="48"/>
        <v>るヴ</v>
      </c>
      <c r="H512" s="137" t="s">
        <v>236</v>
      </c>
      <c r="I512" s="136" t="s">
        <v>452</v>
      </c>
      <c r="J512" s="84">
        <f t="shared" si="49"/>
        <v>2</v>
      </c>
      <c r="K512" s="83"/>
      <c r="L512" s="64" t="e">
        <v>#N/A</v>
      </c>
      <c r="M512" s="121">
        <v>0</v>
      </c>
      <c r="N512" s="59" t="str">
        <v>IQ</v>
      </c>
      <c r="O512" s="126" t="str">
        <v>るヴ</v>
      </c>
      <c r="P512" s="126" t="str">
        <v>ょ</v>
      </c>
      <c r="Q512" s="127" t="str">
        <v>いｑ</v>
      </c>
      <c r="R512" s="84">
        <v>2</v>
      </c>
      <c r="T512" s="100" t="e">
        <v>#N/A</v>
      </c>
      <c r="U512" s="121">
        <v>0</v>
      </c>
      <c r="V512" s="59" t="str">
        <v>IQ</v>
      </c>
      <c r="W512" s="126" t="str">
        <v>るヴ</v>
      </c>
      <c r="X512" s="126" t="str">
        <v>ょ</v>
      </c>
      <c r="Y512" s="127" t="str">
        <v>いｑ</v>
      </c>
      <c r="Z512" s="90">
        <v>2</v>
      </c>
    </row>
    <row r="513" spans="1:26" x14ac:dyDescent="0.4">
      <c r="A513" s="52">
        <v>512</v>
      </c>
      <c r="B513" s="51">
        <f t="shared" si="44"/>
        <v>18</v>
      </c>
      <c r="C513" s="50">
        <f t="shared" si="45"/>
        <v>2</v>
      </c>
      <c r="D513" s="64" t="e">
        <f t="shared" si="46"/>
        <v>#N/A</v>
      </c>
      <c r="E513" s="121" cm="1">
        <f t="array" ref="E513">INDEX(InputArea,B513,C513)</f>
        <v>0</v>
      </c>
      <c r="F513" s="59" t="str">
        <f t="shared" si="47"/>
        <v>IW</v>
      </c>
      <c r="G513" s="59" t="str">
        <f t="shared" si="48"/>
        <v>るき</v>
      </c>
      <c r="H513" s="137" t="s">
        <v>245</v>
      </c>
      <c r="I513" s="136" t="s">
        <v>453</v>
      </c>
      <c r="J513" s="84">
        <f t="shared" si="49"/>
        <v>2</v>
      </c>
      <c r="K513" s="83"/>
      <c r="L513" s="64" t="e">
        <v>#N/A</v>
      </c>
      <c r="M513" s="121">
        <v>0</v>
      </c>
      <c r="N513" s="59" t="str">
        <v>IW</v>
      </c>
      <c r="O513" s="126" t="str">
        <v>るき</v>
      </c>
      <c r="P513" s="126" t="str">
        <v>きょ</v>
      </c>
      <c r="Q513" s="127" t="str">
        <v>いｗ</v>
      </c>
      <c r="R513" s="84">
        <v>2</v>
      </c>
      <c r="T513" s="100" t="e">
        <v>#N/A</v>
      </c>
      <c r="U513" s="121">
        <v>0</v>
      </c>
      <c r="V513" s="59" t="str">
        <v>IW</v>
      </c>
      <c r="W513" s="126" t="str">
        <v>るき</v>
      </c>
      <c r="X513" s="126" t="str">
        <v>きょ</v>
      </c>
      <c r="Y513" s="127" t="str">
        <v>いｗ</v>
      </c>
      <c r="Z513" s="90">
        <v>2</v>
      </c>
    </row>
    <row r="514" spans="1:26" x14ac:dyDescent="0.4">
      <c r="A514" s="52">
        <v>513</v>
      </c>
      <c r="B514" s="51">
        <f t="shared" ref="B514:B577" si="50">_xlfn.CEILING.MATH(A514/COLUMNS(InputArea))</f>
        <v>18</v>
      </c>
      <c r="C514" s="50">
        <f t="shared" ref="C514:C577" si="51">MOD(A514-1,COLUMNS(InputArea))+1</f>
        <v>3</v>
      </c>
      <c r="D514" s="64" t="e">
        <f t="shared" ref="D514:D577" si="52">_xlfn.RANK.EQ(E514,InputArea,1)</f>
        <v>#N/A</v>
      </c>
      <c r="E514" s="121" cm="1">
        <f t="array" ref="E514">INDEX(InputArea,B514,C514)</f>
        <v>0</v>
      </c>
      <c r="F514" s="59" t="str">
        <f t="shared" ref="F514:F577" si="53">_xlfn.CONCAT(INDEX(RowName,B514),INDEX(ColName,,C514))</f>
        <v>IE</v>
      </c>
      <c r="G514" s="59" t="str">
        <f t="shared" ref="G514:G577" si="54">_xlfn.CONCAT(INDEX(RowKana,B514),INDEX(ColKana,,C514))</f>
        <v>るて</v>
      </c>
      <c r="H514" s="137" t="s">
        <v>249</v>
      </c>
      <c r="I514" s="136" t="s">
        <v>454</v>
      </c>
      <c r="J514" s="84">
        <f t="shared" si="49"/>
        <v>2</v>
      </c>
      <c r="K514" s="83"/>
      <c r="L514" s="64" t="e">
        <v>#N/A</v>
      </c>
      <c r="M514" s="121">
        <v>0</v>
      </c>
      <c r="N514" s="59" t="str">
        <v>IE</v>
      </c>
      <c r="O514" s="126" t="str">
        <v>るて</v>
      </c>
      <c r="P514" s="126" t="str">
        <v>りょ</v>
      </c>
      <c r="Q514" s="127" t="str">
        <v>いえ</v>
      </c>
      <c r="R514" s="84">
        <v>2</v>
      </c>
      <c r="T514" s="100" t="e">
        <v>#N/A</v>
      </c>
      <c r="U514" s="121">
        <v>0</v>
      </c>
      <c r="V514" s="59" t="str">
        <v>IE</v>
      </c>
      <c r="W514" s="126" t="str">
        <v>るて</v>
      </c>
      <c r="X514" s="126" t="str">
        <v>りょ</v>
      </c>
      <c r="Y514" s="127" t="str">
        <v>いえ</v>
      </c>
      <c r="Z514" s="90">
        <v>2</v>
      </c>
    </row>
    <row r="515" spans="1:26" x14ac:dyDescent="0.4">
      <c r="A515" s="52">
        <v>514</v>
      </c>
      <c r="B515" s="51">
        <f t="shared" si="50"/>
        <v>18</v>
      </c>
      <c r="C515" s="50">
        <f t="shared" si="51"/>
        <v>4</v>
      </c>
      <c r="D515" s="64" t="e">
        <f t="shared" si="52"/>
        <v>#N/A</v>
      </c>
      <c r="E515" s="121" cm="1">
        <f t="array" ref="E515">INDEX(InputArea,B515,C515)</f>
        <v>0</v>
      </c>
      <c r="F515" s="59" t="str">
        <f t="shared" si="53"/>
        <v>IR</v>
      </c>
      <c r="G515" s="59" t="str">
        <f t="shared" si="54"/>
        <v>るし</v>
      </c>
      <c r="H515" s="137" t="s">
        <v>253</v>
      </c>
      <c r="I515" s="136" t="s">
        <v>455</v>
      </c>
      <c r="J515" s="84">
        <f t="shared" ref="J515:J578" si="55">(_xlfn.CEILING.MATH(B515/15)-1)*2+_xlfn.CEILING.MATH(C515/15)-1</f>
        <v>2</v>
      </c>
      <c r="K515" s="83"/>
      <c r="L515" s="64" t="e">
        <v>#N/A</v>
      </c>
      <c r="M515" s="121">
        <v>0</v>
      </c>
      <c r="N515" s="59" t="str">
        <v>IR</v>
      </c>
      <c r="O515" s="126" t="str">
        <v>るし</v>
      </c>
      <c r="P515" s="126" t="str">
        <v>しょ</v>
      </c>
      <c r="Q515" s="127" t="str">
        <v>いｒ</v>
      </c>
      <c r="R515" s="84">
        <v>2</v>
      </c>
      <c r="T515" s="100" t="e">
        <v>#N/A</v>
      </c>
      <c r="U515" s="121">
        <v>0</v>
      </c>
      <c r="V515" s="59" t="str">
        <v>IR</v>
      </c>
      <c r="W515" s="126" t="str">
        <v>るし</v>
      </c>
      <c r="X515" s="126" t="str">
        <v>しょ</v>
      </c>
      <c r="Y515" s="127" t="str">
        <v>いｒ</v>
      </c>
      <c r="Z515" s="90">
        <v>2</v>
      </c>
    </row>
    <row r="516" spans="1:26" x14ac:dyDescent="0.4">
      <c r="A516" s="52">
        <v>515</v>
      </c>
      <c r="B516" s="51">
        <f t="shared" si="50"/>
        <v>18</v>
      </c>
      <c r="C516" s="50">
        <f t="shared" si="51"/>
        <v>5</v>
      </c>
      <c r="D516" s="64" t="e">
        <f t="shared" si="52"/>
        <v>#N/A</v>
      </c>
      <c r="E516" s="121" cm="1">
        <f t="array" ref="E516">INDEX(InputArea,B516,C516)</f>
        <v>0</v>
      </c>
      <c r="F516" s="59" t="str">
        <f t="shared" si="53"/>
        <v>IT</v>
      </c>
      <c r="G516" s="59" t="str">
        <f t="shared" si="54"/>
        <v>る←</v>
      </c>
      <c r="H516" s="134"/>
      <c r="I516" s="136" t="s">
        <v>456</v>
      </c>
      <c r="J516" s="84">
        <f t="shared" si="55"/>
        <v>2</v>
      </c>
      <c r="K516" s="83"/>
      <c r="L516" s="64" t="e">
        <v>#N/A</v>
      </c>
      <c r="M516" s="121">
        <v>0</v>
      </c>
      <c r="N516" s="59" t="str">
        <v>IT</v>
      </c>
      <c r="O516" s="126" t="str">
        <v>る←</v>
      </c>
      <c r="P516" s="126">
        <v>0</v>
      </c>
      <c r="Q516" s="127" t="str">
        <v>いｔ</v>
      </c>
      <c r="R516" s="84">
        <v>2</v>
      </c>
      <c r="T516" s="100" t="e">
        <v>#N/A</v>
      </c>
      <c r="U516" s="121">
        <v>0</v>
      </c>
      <c r="V516" s="59" t="str">
        <v>IT</v>
      </c>
      <c r="W516" s="126" t="str">
        <v>る←</v>
      </c>
      <c r="X516" s="126">
        <v>0</v>
      </c>
      <c r="Y516" s="127" t="str">
        <v>いｔ</v>
      </c>
      <c r="Z516" s="90">
        <v>2</v>
      </c>
    </row>
    <row r="517" spans="1:26" x14ac:dyDescent="0.4">
      <c r="A517" s="52">
        <v>516</v>
      </c>
      <c r="B517" s="51">
        <f t="shared" si="50"/>
        <v>18</v>
      </c>
      <c r="C517" s="50">
        <f t="shared" si="51"/>
        <v>6</v>
      </c>
      <c r="D517" s="64" t="e">
        <f t="shared" si="52"/>
        <v>#N/A</v>
      </c>
      <c r="E517" s="121" cm="1">
        <f t="array" ref="E517">INDEX(InputArea,B517,C517)</f>
        <v>0</v>
      </c>
      <c r="F517" s="59" t="str">
        <f t="shared" si="53"/>
        <v>IA</v>
      </c>
      <c r="G517" s="59" t="str">
        <f t="shared" si="54"/>
        <v>るろ</v>
      </c>
      <c r="H517" s="134"/>
      <c r="I517" s="136" t="s">
        <v>457</v>
      </c>
      <c r="J517" s="84">
        <f t="shared" si="55"/>
        <v>2</v>
      </c>
      <c r="K517" s="83"/>
      <c r="L517" s="64" t="e">
        <v>#N/A</v>
      </c>
      <c r="M517" s="121">
        <v>0</v>
      </c>
      <c r="N517" s="59" t="str">
        <v>IA</v>
      </c>
      <c r="O517" s="126" t="str">
        <v>るろ</v>
      </c>
      <c r="P517" s="126">
        <v>0</v>
      </c>
      <c r="Q517" s="127" t="str">
        <v>いあ</v>
      </c>
      <c r="R517" s="84">
        <v>2</v>
      </c>
      <c r="T517" s="100" t="e">
        <v>#N/A</v>
      </c>
      <c r="U517" s="121">
        <v>0</v>
      </c>
      <c r="V517" s="59" t="str">
        <v>IA</v>
      </c>
      <c r="W517" s="126" t="str">
        <v>るろ</v>
      </c>
      <c r="X517" s="126">
        <v>0</v>
      </c>
      <c r="Y517" s="127" t="str">
        <v>いあ</v>
      </c>
      <c r="Z517" s="90">
        <v>2</v>
      </c>
    </row>
    <row r="518" spans="1:26" x14ac:dyDescent="0.4">
      <c r="A518" s="52">
        <v>517</v>
      </c>
      <c r="B518" s="51">
        <f t="shared" si="50"/>
        <v>18</v>
      </c>
      <c r="C518" s="50">
        <f t="shared" si="51"/>
        <v>7</v>
      </c>
      <c r="D518" s="64" t="e">
        <f t="shared" si="52"/>
        <v>#N/A</v>
      </c>
      <c r="E518" s="121" cm="1">
        <f t="array" ref="E518">INDEX(InputArea,B518,C518)</f>
        <v>0</v>
      </c>
      <c r="F518" s="59" t="str">
        <f t="shared" si="53"/>
        <v>IS</v>
      </c>
      <c r="G518" s="59" t="str">
        <f t="shared" si="54"/>
        <v>るけ</v>
      </c>
      <c r="H518" s="134"/>
      <c r="I518" s="136" t="s">
        <v>458</v>
      </c>
      <c r="J518" s="84">
        <f t="shared" si="55"/>
        <v>2</v>
      </c>
      <c r="K518" s="83"/>
      <c r="L518" s="64" t="e">
        <v>#N/A</v>
      </c>
      <c r="M518" s="121">
        <v>0</v>
      </c>
      <c r="N518" s="59" t="str">
        <v>IS</v>
      </c>
      <c r="O518" s="126" t="str">
        <v>るけ</v>
      </c>
      <c r="P518" s="126">
        <v>0</v>
      </c>
      <c r="Q518" s="127" t="str">
        <v>いｓ</v>
      </c>
      <c r="R518" s="84">
        <v>2</v>
      </c>
      <c r="T518" s="100" t="e">
        <v>#N/A</v>
      </c>
      <c r="U518" s="121">
        <v>0</v>
      </c>
      <c r="V518" s="59" t="str">
        <v>IS</v>
      </c>
      <c r="W518" s="126" t="str">
        <v>るけ</v>
      </c>
      <c r="X518" s="126">
        <v>0</v>
      </c>
      <c r="Y518" s="127" t="str">
        <v>いｓ</v>
      </c>
      <c r="Z518" s="90">
        <v>2</v>
      </c>
    </row>
    <row r="519" spans="1:26" x14ac:dyDescent="0.4">
      <c r="A519" s="52">
        <v>518</v>
      </c>
      <c r="B519" s="51">
        <f t="shared" si="50"/>
        <v>18</v>
      </c>
      <c r="C519" s="50">
        <f t="shared" si="51"/>
        <v>8</v>
      </c>
      <c r="D519" s="64" t="e">
        <f t="shared" si="52"/>
        <v>#N/A</v>
      </c>
      <c r="E519" s="121" cm="1">
        <f t="array" ref="E519">INDEX(InputArea,B519,C519)</f>
        <v>0</v>
      </c>
      <c r="F519" s="59" t="str">
        <f t="shared" si="53"/>
        <v>ID</v>
      </c>
      <c r="G519" s="59" t="str">
        <f t="shared" si="54"/>
        <v>ると</v>
      </c>
      <c r="H519" s="137" t="s">
        <v>259</v>
      </c>
      <c r="I519" s="136" t="s">
        <v>459</v>
      </c>
      <c r="J519" s="84">
        <f t="shared" si="55"/>
        <v>2</v>
      </c>
      <c r="K519" s="83"/>
      <c r="L519" s="64" t="e">
        <v>#N/A</v>
      </c>
      <c r="M519" s="121">
        <v>0</v>
      </c>
      <c r="N519" s="59" t="str">
        <v>ID</v>
      </c>
      <c r="O519" s="126" t="str">
        <v>ると</v>
      </c>
      <c r="P519" s="126" t="str">
        <v>にょ</v>
      </c>
      <c r="Q519" s="127" t="str">
        <v>いｄ</v>
      </c>
      <c r="R519" s="84">
        <v>2</v>
      </c>
      <c r="T519" s="100" t="e">
        <v>#N/A</v>
      </c>
      <c r="U519" s="121">
        <v>0</v>
      </c>
      <c r="V519" s="59" t="str">
        <v>ID</v>
      </c>
      <c r="W519" s="126" t="str">
        <v>ると</v>
      </c>
      <c r="X519" s="126" t="str">
        <v>にょ</v>
      </c>
      <c r="Y519" s="127" t="str">
        <v>いｄ</v>
      </c>
      <c r="Z519" s="90">
        <v>2</v>
      </c>
    </row>
    <row r="520" spans="1:26" x14ac:dyDescent="0.4">
      <c r="A520" s="52">
        <v>519</v>
      </c>
      <c r="B520" s="51">
        <f t="shared" si="50"/>
        <v>18</v>
      </c>
      <c r="C520" s="50">
        <f t="shared" si="51"/>
        <v>9</v>
      </c>
      <c r="D520" s="64" t="e">
        <f t="shared" si="52"/>
        <v>#N/A</v>
      </c>
      <c r="E520" s="121" cm="1">
        <f t="array" ref="E520">INDEX(InputArea,B520,C520)</f>
        <v>0</v>
      </c>
      <c r="F520" s="59" t="str">
        <f t="shared" si="53"/>
        <v>IF</v>
      </c>
      <c r="G520" s="59" t="str">
        <f t="shared" si="54"/>
        <v>るか</v>
      </c>
      <c r="H520" s="134"/>
      <c r="I520" s="136" t="s">
        <v>460</v>
      </c>
      <c r="J520" s="84">
        <f t="shared" si="55"/>
        <v>2</v>
      </c>
      <c r="K520" s="83"/>
      <c r="L520" s="64" t="e">
        <v>#N/A</v>
      </c>
      <c r="M520" s="121">
        <v>0</v>
      </c>
      <c r="N520" s="59" t="str">
        <v>IF</v>
      </c>
      <c r="O520" s="126" t="str">
        <v>るか</v>
      </c>
      <c r="P520" s="126">
        <v>0</v>
      </c>
      <c r="Q520" s="127" t="str">
        <v>いｆ</v>
      </c>
      <c r="R520" s="84">
        <v>2</v>
      </c>
      <c r="T520" s="100" t="e">
        <v>#N/A</v>
      </c>
      <c r="U520" s="121">
        <v>0</v>
      </c>
      <c r="V520" s="59" t="str">
        <v>IF</v>
      </c>
      <c r="W520" s="126" t="str">
        <v>るか</v>
      </c>
      <c r="X520" s="126">
        <v>0</v>
      </c>
      <c r="Y520" s="127" t="str">
        <v>いｆ</v>
      </c>
      <c r="Z520" s="90">
        <v>2</v>
      </c>
    </row>
    <row r="521" spans="1:26" x14ac:dyDescent="0.4">
      <c r="A521" s="52">
        <v>520</v>
      </c>
      <c r="B521" s="51">
        <f t="shared" si="50"/>
        <v>18</v>
      </c>
      <c r="C521" s="50">
        <f t="shared" si="51"/>
        <v>10</v>
      </c>
      <c r="D521" s="64" t="e">
        <f t="shared" si="52"/>
        <v>#N/A</v>
      </c>
      <c r="E521" s="121" cm="1">
        <f t="array" ref="E521">INDEX(InputArea,B521,C521)</f>
        <v>0</v>
      </c>
      <c r="F521" s="59" t="str">
        <f t="shared" si="53"/>
        <v>IG</v>
      </c>
      <c r="G521" s="59" t="str">
        <f t="shared" si="54"/>
        <v>るっ</v>
      </c>
      <c r="H521" s="137" t="s">
        <v>284</v>
      </c>
      <c r="I521" s="136" t="s">
        <v>461</v>
      </c>
      <c r="J521" s="84">
        <f t="shared" si="55"/>
        <v>2</v>
      </c>
      <c r="K521" s="83"/>
      <c r="L521" s="64" t="e">
        <v>#N/A</v>
      </c>
      <c r="M521" s="121">
        <v>0</v>
      </c>
      <c r="N521" s="59" t="str">
        <v>IG</v>
      </c>
      <c r="O521" s="126" t="str">
        <v>るっ</v>
      </c>
      <c r="P521" s="126" t="str">
        <v>ちょ</v>
      </c>
      <c r="Q521" s="127" t="str">
        <v>いｇ</v>
      </c>
      <c r="R521" s="84">
        <v>2</v>
      </c>
      <c r="T521" s="100" t="e">
        <v>#N/A</v>
      </c>
      <c r="U521" s="121">
        <v>0</v>
      </c>
      <c r="V521" s="59" t="str">
        <v>IG</v>
      </c>
      <c r="W521" s="126" t="str">
        <v>るっ</v>
      </c>
      <c r="X521" s="126" t="str">
        <v>ちょ</v>
      </c>
      <c r="Y521" s="127" t="str">
        <v>いｇ</v>
      </c>
      <c r="Z521" s="90">
        <v>2</v>
      </c>
    </row>
    <row r="522" spans="1:26" x14ac:dyDescent="0.4">
      <c r="A522" s="52">
        <v>521</v>
      </c>
      <c r="B522" s="51">
        <f t="shared" si="50"/>
        <v>18</v>
      </c>
      <c r="C522" s="50">
        <f t="shared" si="51"/>
        <v>11</v>
      </c>
      <c r="D522" s="64" t="e">
        <f t="shared" si="52"/>
        <v>#N/A</v>
      </c>
      <c r="E522" s="121" cm="1">
        <f t="array" ref="E522">INDEX(InputArea,B522,C522)</f>
        <v>0</v>
      </c>
      <c r="F522" s="59" t="str">
        <f t="shared" si="53"/>
        <v>IZ</v>
      </c>
      <c r="G522" s="59" t="str">
        <f t="shared" si="54"/>
        <v>るほ</v>
      </c>
      <c r="H522" s="134"/>
      <c r="I522" s="136" t="s">
        <v>462</v>
      </c>
      <c r="J522" s="84">
        <f t="shared" si="55"/>
        <v>2</v>
      </c>
      <c r="K522" s="83"/>
      <c r="L522" s="64" t="e">
        <v>#N/A</v>
      </c>
      <c r="M522" s="121">
        <v>0</v>
      </c>
      <c r="N522" s="59" t="str">
        <v>IZ</v>
      </c>
      <c r="O522" s="126" t="str">
        <v>るほ</v>
      </c>
      <c r="P522" s="126">
        <v>0</v>
      </c>
      <c r="Q522" s="127" t="str">
        <v>いｚ</v>
      </c>
      <c r="R522" s="84">
        <v>2</v>
      </c>
      <c r="T522" s="100" t="e">
        <v>#N/A</v>
      </c>
      <c r="U522" s="121">
        <v>0</v>
      </c>
      <c r="V522" s="59" t="str">
        <v>IZ</v>
      </c>
      <c r="W522" s="126" t="str">
        <v>るほ</v>
      </c>
      <c r="X522" s="126">
        <v>0</v>
      </c>
      <c r="Y522" s="127" t="str">
        <v>いｚ</v>
      </c>
      <c r="Z522" s="90">
        <v>2</v>
      </c>
    </row>
    <row r="523" spans="1:26" x14ac:dyDescent="0.4">
      <c r="A523" s="52">
        <v>522</v>
      </c>
      <c r="B523" s="51">
        <f t="shared" si="50"/>
        <v>18</v>
      </c>
      <c r="C523" s="50">
        <f t="shared" si="51"/>
        <v>12</v>
      </c>
      <c r="D523" s="64" t="e">
        <f t="shared" si="52"/>
        <v>#N/A</v>
      </c>
      <c r="E523" s="121" cm="1">
        <f t="array" ref="E523">INDEX(InputArea,B523,C523)</f>
        <v>0</v>
      </c>
      <c r="F523" s="59" t="str">
        <f t="shared" si="53"/>
        <v>IX</v>
      </c>
      <c r="G523" s="59" t="str">
        <f t="shared" si="54"/>
        <v>るひ</v>
      </c>
      <c r="H523" s="137" t="s">
        <v>272</v>
      </c>
      <c r="I523" s="136" t="s">
        <v>463</v>
      </c>
      <c r="J523" s="84">
        <f t="shared" si="55"/>
        <v>2</v>
      </c>
      <c r="K523" s="83"/>
      <c r="L523" s="64" t="e">
        <v>#N/A</v>
      </c>
      <c r="M523" s="121">
        <v>0</v>
      </c>
      <c r="N523" s="59" t="str">
        <v>IX</v>
      </c>
      <c r="O523" s="126" t="str">
        <v>るひ</v>
      </c>
      <c r="P523" s="126" t="str">
        <v>ひょ</v>
      </c>
      <c r="Q523" s="127" t="str">
        <v>いｘ</v>
      </c>
      <c r="R523" s="84">
        <v>2</v>
      </c>
      <c r="T523" s="100" t="e">
        <v>#N/A</v>
      </c>
      <c r="U523" s="121">
        <v>0</v>
      </c>
      <c r="V523" s="59" t="str">
        <v>IX</v>
      </c>
      <c r="W523" s="126" t="str">
        <v>るひ</v>
      </c>
      <c r="X523" s="126" t="str">
        <v>ひょ</v>
      </c>
      <c r="Y523" s="127" t="str">
        <v>いｘ</v>
      </c>
      <c r="Z523" s="90">
        <v>2</v>
      </c>
    </row>
    <row r="524" spans="1:26" x14ac:dyDescent="0.4">
      <c r="A524" s="52">
        <v>523</v>
      </c>
      <c r="B524" s="51">
        <f t="shared" si="50"/>
        <v>18</v>
      </c>
      <c r="C524" s="50">
        <f t="shared" si="51"/>
        <v>13</v>
      </c>
      <c r="D524" s="64" t="e">
        <f t="shared" si="52"/>
        <v>#N/A</v>
      </c>
      <c r="E524" s="121" cm="1">
        <f t="array" ref="E524">INDEX(InputArea,B524,C524)</f>
        <v>0</v>
      </c>
      <c r="F524" s="59" t="str">
        <f t="shared" si="53"/>
        <v>IC</v>
      </c>
      <c r="G524" s="59" t="str">
        <f t="shared" si="54"/>
        <v>るは</v>
      </c>
      <c r="H524" s="134"/>
      <c r="I524" s="136" t="s">
        <v>464</v>
      </c>
      <c r="J524" s="84">
        <f t="shared" si="55"/>
        <v>2</v>
      </c>
      <c r="K524" s="83"/>
      <c r="L524" s="64" t="e">
        <v>#N/A</v>
      </c>
      <c r="M524" s="121">
        <v>0</v>
      </c>
      <c r="N524" s="59" t="str">
        <v>IC</v>
      </c>
      <c r="O524" s="126" t="str">
        <v>るは</v>
      </c>
      <c r="P524" s="126">
        <v>0</v>
      </c>
      <c r="Q524" s="127" t="str">
        <v>いｃ</v>
      </c>
      <c r="R524" s="84">
        <v>2</v>
      </c>
      <c r="T524" s="100" t="e">
        <v>#N/A</v>
      </c>
      <c r="U524" s="121">
        <v>0</v>
      </c>
      <c r="V524" s="59" t="str">
        <v>IC</v>
      </c>
      <c r="W524" s="126" t="str">
        <v>るは</v>
      </c>
      <c r="X524" s="126">
        <v>0</v>
      </c>
      <c r="Y524" s="127" t="str">
        <v>いｃ</v>
      </c>
      <c r="Z524" s="90">
        <v>2</v>
      </c>
    </row>
    <row r="525" spans="1:26" x14ac:dyDescent="0.4">
      <c r="A525" s="52">
        <v>524</v>
      </c>
      <c r="B525" s="51">
        <f t="shared" si="50"/>
        <v>18</v>
      </c>
      <c r="C525" s="50">
        <f t="shared" si="51"/>
        <v>14</v>
      </c>
      <c r="D525" s="64" t="e">
        <f t="shared" si="52"/>
        <v>#N/A</v>
      </c>
      <c r="E525" s="121" cm="1">
        <f t="array" ref="E525">INDEX(InputArea,B525,C525)</f>
        <v>0</v>
      </c>
      <c r="F525" s="59" t="str">
        <f t="shared" si="53"/>
        <v>IV</v>
      </c>
      <c r="G525" s="59" t="str">
        <f t="shared" si="54"/>
        <v>るこ</v>
      </c>
      <c r="H525" s="134"/>
      <c r="I525" s="136" t="s">
        <v>465</v>
      </c>
      <c r="J525" s="84">
        <f t="shared" si="55"/>
        <v>2</v>
      </c>
      <c r="K525" s="83"/>
      <c r="L525" s="64" t="e">
        <v>#N/A</v>
      </c>
      <c r="M525" s="121">
        <v>0</v>
      </c>
      <c r="N525" s="59" t="str">
        <v>IV</v>
      </c>
      <c r="O525" s="126" t="str">
        <v>るこ</v>
      </c>
      <c r="P525" s="126">
        <v>0</v>
      </c>
      <c r="Q525" s="127" t="str">
        <v>いｖ</v>
      </c>
      <c r="R525" s="84">
        <v>2</v>
      </c>
      <c r="T525" s="100" t="e">
        <v>#N/A</v>
      </c>
      <c r="U525" s="121">
        <v>0</v>
      </c>
      <c r="V525" s="59" t="str">
        <v>IV</v>
      </c>
      <c r="W525" s="126" t="str">
        <v>るこ</v>
      </c>
      <c r="X525" s="126">
        <v>0</v>
      </c>
      <c r="Y525" s="127" t="str">
        <v>いｖ</v>
      </c>
      <c r="Z525" s="90">
        <v>2</v>
      </c>
    </row>
    <row r="526" spans="1:26" x14ac:dyDescent="0.4">
      <c r="A526" s="52">
        <v>525</v>
      </c>
      <c r="B526" s="51">
        <f t="shared" si="50"/>
        <v>18</v>
      </c>
      <c r="C526" s="50">
        <f t="shared" si="51"/>
        <v>15</v>
      </c>
      <c r="D526" s="64" t="e">
        <f t="shared" si="52"/>
        <v>#N/A</v>
      </c>
      <c r="E526" s="121" cm="1">
        <f t="array" ref="E526">INDEX(InputArea,B526,C526)</f>
        <v>0</v>
      </c>
      <c r="F526" s="59" t="str">
        <f t="shared" si="53"/>
        <v>IB</v>
      </c>
      <c r="G526" s="59" t="str">
        <f t="shared" si="54"/>
        <v>るそ</v>
      </c>
      <c r="H526" s="137" t="s">
        <v>278</v>
      </c>
      <c r="I526" s="136" t="s">
        <v>466</v>
      </c>
      <c r="J526" s="84">
        <f t="shared" si="55"/>
        <v>2</v>
      </c>
      <c r="K526" s="83"/>
      <c r="L526" s="64" t="e">
        <v>#N/A</v>
      </c>
      <c r="M526" s="121">
        <v>0</v>
      </c>
      <c r="N526" s="59" t="str">
        <v>IB</v>
      </c>
      <c r="O526" s="126" t="str">
        <v>るそ</v>
      </c>
      <c r="P526" s="126" t="str">
        <v>みょ</v>
      </c>
      <c r="Q526" s="127" t="str">
        <v>いｂ</v>
      </c>
      <c r="R526" s="84">
        <v>2</v>
      </c>
      <c r="T526" s="100" t="e">
        <v>#N/A</v>
      </c>
      <c r="U526" s="121">
        <v>0</v>
      </c>
      <c r="V526" s="59" t="str">
        <v>IB</v>
      </c>
      <c r="W526" s="126" t="str">
        <v>るそ</v>
      </c>
      <c r="X526" s="126" t="str">
        <v>みょ</v>
      </c>
      <c r="Y526" s="127" t="str">
        <v>いｂ</v>
      </c>
      <c r="Z526" s="90">
        <v>2</v>
      </c>
    </row>
    <row r="527" spans="1:26" x14ac:dyDescent="0.4">
      <c r="A527" s="52">
        <v>526</v>
      </c>
      <c r="B527" s="51">
        <f t="shared" si="50"/>
        <v>18</v>
      </c>
      <c r="C527" s="50">
        <f t="shared" si="51"/>
        <v>16</v>
      </c>
      <c r="D527" s="64" t="e">
        <f t="shared" si="52"/>
        <v>#N/A</v>
      </c>
      <c r="E527" s="121" cm="1">
        <f t="array" ref="E527">INDEX(InputArea,B527,C527)</f>
        <v>0</v>
      </c>
      <c r="F527" s="59" t="str">
        <f t="shared" si="53"/>
        <v>IY</v>
      </c>
      <c r="G527" s="59" t="str">
        <f t="shared" si="54"/>
        <v>る→</v>
      </c>
      <c r="H527" s="134"/>
      <c r="I527" s="136" t="s">
        <v>467</v>
      </c>
      <c r="J527" s="84">
        <f t="shared" si="55"/>
        <v>3</v>
      </c>
      <c r="K527" s="83"/>
      <c r="L527" s="64" t="e">
        <v>#N/A</v>
      </c>
      <c r="M527" s="121">
        <v>0</v>
      </c>
      <c r="N527" s="59" t="str">
        <v>IY</v>
      </c>
      <c r="O527" s="126" t="str">
        <v>る→</v>
      </c>
      <c r="P527" s="126">
        <v>0</v>
      </c>
      <c r="Q527" s="127" t="str">
        <v>いｙ</v>
      </c>
      <c r="R527" s="84">
        <v>3</v>
      </c>
      <c r="T527" s="100" t="e">
        <v>#N/A</v>
      </c>
      <c r="U527" s="121">
        <v>0</v>
      </c>
      <c r="V527" s="59" t="str">
        <v>IY</v>
      </c>
      <c r="W527" s="126" t="str">
        <v>る→</v>
      </c>
      <c r="X527" s="126">
        <v>0</v>
      </c>
      <c r="Y527" s="127" t="str">
        <v>いｙ</v>
      </c>
      <c r="Z527" s="90">
        <v>3</v>
      </c>
    </row>
    <row r="528" spans="1:26" x14ac:dyDescent="0.4">
      <c r="A528" s="52">
        <v>527</v>
      </c>
      <c r="B528" s="51">
        <f t="shared" si="50"/>
        <v>18</v>
      </c>
      <c r="C528" s="50">
        <f t="shared" si="51"/>
        <v>17</v>
      </c>
      <c r="D528" s="64" t="e">
        <f t="shared" si="52"/>
        <v>#N/A</v>
      </c>
      <c r="E528" s="121" cm="1">
        <f t="array" ref="E528">INDEX(InputArea,B528,C528)</f>
        <v>0</v>
      </c>
      <c r="F528" s="59" t="str">
        <f t="shared" si="53"/>
        <v>IU</v>
      </c>
      <c r="G528" s="59" t="str">
        <f t="shared" si="54"/>
        <v>るBS</v>
      </c>
      <c r="H528" s="134"/>
      <c r="I528" s="136" t="s">
        <v>468</v>
      </c>
      <c r="J528" s="84">
        <f t="shared" si="55"/>
        <v>3</v>
      </c>
      <c r="K528" s="83"/>
      <c r="L528" s="64" t="e">
        <v>#N/A</v>
      </c>
      <c r="M528" s="121">
        <v>0</v>
      </c>
      <c r="N528" s="59" t="str">
        <v>IU</v>
      </c>
      <c r="O528" s="126" t="str">
        <v>るBS</v>
      </c>
      <c r="P528" s="126">
        <v>0</v>
      </c>
      <c r="Q528" s="127" t="str">
        <v>いう</v>
      </c>
      <c r="R528" s="84">
        <v>3</v>
      </c>
      <c r="T528" s="100" t="e">
        <v>#N/A</v>
      </c>
      <c r="U528" s="121">
        <v>0</v>
      </c>
      <c r="V528" s="59" t="str">
        <v>IU</v>
      </c>
      <c r="W528" s="126" t="str">
        <v>るBS</v>
      </c>
      <c r="X528" s="126">
        <v>0</v>
      </c>
      <c r="Y528" s="127" t="str">
        <v>いう</v>
      </c>
      <c r="Z528" s="90">
        <v>3</v>
      </c>
    </row>
    <row r="529" spans="1:26" x14ac:dyDescent="0.4">
      <c r="A529" s="52">
        <v>528</v>
      </c>
      <c r="B529" s="51">
        <f t="shared" si="50"/>
        <v>18</v>
      </c>
      <c r="C529" s="50">
        <f t="shared" si="51"/>
        <v>18</v>
      </c>
      <c r="D529" s="64" t="e">
        <f t="shared" si="52"/>
        <v>#N/A</v>
      </c>
      <c r="E529" s="121" cm="1">
        <f t="array" ref="E529">INDEX(InputArea,B529,C529)</f>
        <v>0</v>
      </c>
      <c r="F529" s="59" t="str">
        <f t="shared" si="53"/>
        <v>II</v>
      </c>
      <c r="G529" s="59" t="str">
        <f t="shared" si="54"/>
        <v>るる</v>
      </c>
      <c r="H529" s="134"/>
      <c r="I529" s="136" t="s">
        <v>469</v>
      </c>
      <c r="J529" s="84">
        <f t="shared" si="55"/>
        <v>3</v>
      </c>
      <c r="K529" s="83"/>
      <c r="L529" s="64" t="e">
        <v>#N/A</v>
      </c>
      <c r="M529" s="121">
        <v>0</v>
      </c>
      <c r="N529" s="59" t="str">
        <v>II</v>
      </c>
      <c r="O529" s="126" t="str">
        <v>るる</v>
      </c>
      <c r="P529" s="126">
        <v>0</v>
      </c>
      <c r="Q529" s="127" t="str">
        <v>いい</v>
      </c>
      <c r="R529" s="84">
        <v>3</v>
      </c>
      <c r="T529" s="100" t="e">
        <v>#N/A</v>
      </c>
      <c r="U529" s="121">
        <v>0</v>
      </c>
      <c r="V529" s="59" t="str">
        <v>II</v>
      </c>
      <c r="W529" s="126" t="str">
        <v>るる</v>
      </c>
      <c r="X529" s="126">
        <v>0</v>
      </c>
      <c r="Y529" s="127" t="str">
        <v>いい</v>
      </c>
      <c r="Z529" s="90">
        <v>3</v>
      </c>
    </row>
    <row r="530" spans="1:26" x14ac:dyDescent="0.4">
      <c r="A530" s="52">
        <v>529</v>
      </c>
      <c r="B530" s="51">
        <f t="shared" si="50"/>
        <v>18</v>
      </c>
      <c r="C530" s="50">
        <f t="shared" si="51"/>
        <v>19</v>
      </c>
      <c r="D530" s="64" t="e">
        <f t="shared" si="52"/>
        <v>#N/A</v>
      </c>
      <c r="E530" s="121" cm="1">
        <f t="array" ref="E530">INDEX(InputArea,B530,C530)</f>
        <v>0</v>
      </c>
      <c r="F530" s="59" t="str">
        <f t="shared" si="53"/>
        <v>IO</v>
      </c>
      <c r="G530" s="59" t="str">
        <f t="shared" si="54"/>
        <v>るす</v>
      </c>
      <c r="H530" s="134"/>
      <c r="I530" s="136" t="s">
        <v>471</v>
      </c>
      <c r="J530" s="84">
        <f t="shared" si="55"/>
        <v>3</v>
      </c>
      <c r="K530" s="83"/>
      <c r="L530" s="64" t="e">
        <v>#N/A</v>
      </c>
      <c r="M530" s="121">
        <v>0</v>
      </c>
      <c r="N530" s="59" t="str">
        <v>IO</v>
      </c>
      <c r="O530" s="126" t="str">
        <v>るす</v>
      </c>
      <c r="P530" s="126">
        <v>0</v>
      </c>
      <c r="Q530" s="127" t="str">
        <v>いお</v>
      </c>
      <c r="R530" s="84">
        <v>3</v>
      </c>
      <c r="T530" s="100" t="e">
        <v>#N/A</v>
      </c>
      <c r="U530" s="121">
        <v>0</v>
      </c>
      <c r="V530" s="59" t="str">
        <v>IO</v>
      </c>
      <c r="W530" s="126" t="str">
        <v>るす</v>
      </c>
      <c r="X530" s="126">
        <v>0</v>
      </c>
      <c r="Y530" s="127" t="str">
        <v>いお</v>
      </c>
      <c r="Z530" s="90">
        <v>3</v>
      </c>
    </row>
    <row r="531" spans="1:26" x14ac:dyDescent="0.4">
      <c r="A531" s="52">
        <v>530</v>
      </c>
      <c r="B531" s="51">
        <f t="shared" si="50"/>
        <v>18</v>
      </c>
      <c r="C531" s="50">
        <f t="shared" si="51"/>
        <v>20</v>
      </c>
      <c r="D531" s="64" t="e">
        <f t="shared" si="52"/>
        <v>#N/A</v>
      </c>
      <c r="E531" s="121" cm="1">
        <f t="array" ref="E531">INDEX(InputArea,B531,C531)</f>
        <v>0</v>
      </c>
      <c r="F531" s="59" t="str">
        <f t="shared" si="53"/>
        <v>IP</v>
      </c>
      <c r="G531" s="59" t="str">
        <f t="shared" si="54"/>
        <v>るへ</v>
      </c>
      <c r="H531" s="134"/>
      <c r="I531" s="136" t="s">
        <v>470</v>
      </c>
      <c r="J531" s="84">
        <f t="shared" si="55"/>
        <v>3</v>
      </c>
      <c r="K531" s="83"/>
      <c r="L531" s="64" t="e">
        <v>#N/A</v>
      </c>
      <c r="M531" s="121">
        <v>0</v>
      </c>
      <c r="N531" s="59" t="str">
        <v>IP</v>
      </c>
      <c r="O531" s="126" t="str">
        <v>るへ</v>
      </c>
      <c r="P531" s="126">
        <v>0</v>
      </c>
      <c r="Q531" s="127" t="str">
        <v>いｐ</v>
      </c>
      <c r="R531" s="84">
        <v>3</v>
      </c>
      <c r="T531" s="100" t="e">
        <v>#N/A</v>
      </c>
      <c r="U531" s="121">
        <v>0</v>
      </c>
      <c r="V531" s="59" t="str">
        <v>IP</v>
      </c>
      <c r="W531" s="126" t="str">
        <v>るへ</v>
      </c>
      <c r="X531" s="126">
        <v>0</v>
      </c>
      <c r="Y531" s="127" t="str">
        <v>いｐ</v>
      </c>
      <c r="Z531" s="90">
        <v>3</v>
      </c>
    </row>
    <row r="532" spans="1:26" x14ac:dyDescent="0.4">
      <c r="A532" s="52">
        <v>531</v>
      </c>
      <c r="B532" s="51">
        <f t="shared" si="50"/>
        <v>18</v>
      </c>
      <c r="C532" s="50">
        <f t="shared" si="51"/>
        <v>21</v>
      </c>
      <c r="D532" s="64" t="e">
        <f t="shared" si="52"/>
        <v>#N/A</v>
      </c>
      <c r="E532" s="121" cm="1">
        <f t="array" ref="E532">INDEX(InputArea,B532,C532)</f>
        <v>0</v>
      </c>
      <c r="F532" s="59" t="str">
        <f t="shared" si="53"/>
        <v>IH</v>
      </c>
      <c r="G532" s="59" t="str">
        <f t="shared" si="54"/>
        <v>るく</v>
      </c>
      <c r="H532" s="134"/>
      <c r="I532" s="136" t="s">
        <v>472</v>
      </c>
      <c r="J532" s="84">
        <f t="shared" si="55"/>
        <v>3</v>
      </c>
      <c r="K532" s="83"/>
      <c r="L532" s="64" t="e">
        <v>#N/A</v>
      </c>
      <c r="M532" s="121">
        <v>0</v>
      </c>
      <c r="N532" s="59" t="str">
        <v>IH</v>
      </c>
      <c r="O532" s="126" t="str">
        <v>るく</v>
      </c>
      <c r="P532" s="126">
        <v>0</v>
      </c>
      <c r="Q532" s="127" t="str">
        <v>いｈ</v>
      </c>
      <c r="R532" s="84">
        <v>3</v>
      </c>
      <c r="T532" s="100" t="e">
        <v>#N/A</v>
      </c>
      <c r="U532" s="121">
        <v>0</v>
      </c>
      <c r="V532" s="59" t="str">
        <v>IH</v>
      </c>
      <c r="W532" s="126" t="str">
        <v>るく</v>
      </c>
      <c r="X532" s="126">
        <v>0</v>
      </c>
      <c r="Y532" s="127" t="str">
        <v>いｈ</v>
      </c>
      <c r="Z532" s="90">
        <v>3</v>
      </c>
    </row>
    <row r="533" spans="1:26" x14ac:dyDescent="0.4">
      <c r="A533" s="52">
        <v>532</v>
      </c>
      <c r="B533" s="51">
        <f t="shared" si="50"/>
        <v>18</v>
      </c>
      <c r="C533" s="50">
        <f t="shared" si="51"/>
        <v>22</v>
      </c>
      <c r="D533" s="64" t="e">
        <f t="shared" si="52"/>
        <v>#N/A</v>
      </c>
      <c r="E533" s="121" cm="1">
        <f t="array" ref="E533">INDEX(InputArea,B533,C533)</f>
        <v>0</v>
      </c>
      <c r="F533" s="59" t="str">
        <f t="shared" si="53"/>
        <v>IJ</v>
      </c>
      <c r="G533" s="59" t="str">
        <f t="shared" si="54"/>
        <v>るあ</v>
      </c>
      <c r="H533" s="137" t="s">
        <v>623</v>
      </c>
      <c r="I533" s="136" t="s">
        <v>473</v>
      </c>
      <c r="J533" s="84">
        <f t="shared" si="55"/>
        <v>3</v>
      </c>
      <c r="K533" s="83"/>
      <c r="L533" s="64" t="e">
        <v>#N/A</v>
      </c>
      <c r="M533" s="121">
        <v>0</v>
      </c>
      <c r="N533" s="59" t="str">
        <v>IJ</v>
      </c>
      <c r="O533" s="126" t="str">
        <v>るあ</v>
      </c>
      <c r="P533" s="126" t="str">
        <v>゛ょ</v>
      </c>
      <c r="Q533" s="127" t="str">
        <v>いｊ</v>
      </c>
      <c r="R533" s="84">
        <v>3</v>
      </c>
      <c r="T533" s="100" t="e">
        <v>#N/A</v>
      </c>
      <c r="U533" s="121">
        <v>0</v>
      </c>
      <c r="V533" s="59" t="str">
        <v>IJ</v>
      </c>
      <c r="W533" s="126" t="str">
        <v>るあ</v>
      </c>
      <c r="X533" s="126" t="str">
        <v>゛ょ</v>
      </c>
      <c r="Y533" s="127" t="str">
        <v>いｊ</v>
      </c>
      <c r="Z533" s="90">
        <v>3</v>
      </c>
    </row>
    <row r="534" spans="1:26" x14ac:dyDescent="0.4">
      <c r="A534" s="52">
        <v>533</v>
      </c>
      <c r="B534" s="51">
        <f t="shared" si="50"/>
        <v>18</v>
      </c>
      <c r="C534" s="50">
        <f t="shared" si="51"/>
        <v>23</v>
      </c>
      <c r="D534" s="64" t="e">
        <f t="shared" si="52"/>
        <v>#N/A</v>
      </c>
      <c r="E534" s="121" cm="1">
        <f t="array" ref="E534">INDEX(InputArea,B534,C534)</f>
        <v>0</v>
      </c>
      <c r="F534" s="59" t="str">
        <f t="shared" si="53"/>
        <v>IK</v>
      </c>
      <c r="G534" s="59" t="str">
        <f t="shared" si="54"/>
        <v>るい</v>
      </c>
      <c r="H534" s="134"/>
      <c r="I534" s="136" t="s">
        <v>474</v>
      </c>
      <c r="J534" s="84">
        <f t="shared" si="55"/>
        <v>3</v>
      </c>
      <c r="K534" s="83"/>
      <c r="L534" s="64" t="e">
        <v>#N/A</v>
      </c>
      <c r="M534" s="121">
        <v>0</v>
      </c>
      <c r="N534" s="59" t="str">
        <v>IK</v>
      </c>
      <c r="O534" s="126" t="str">
        <v>るい</v>
      </c>
      <c r="P534" s="126">
        <v>0</v>
      </c>
      <c r="Q534" s="127" t="str">
        <v>いｋ</v>
      </c>
      <c r="R534" s="84">
        <v>3</v>
      </c>
      <c r="T534" s="100" t="e">
        <v>#N/A</v>
      </c>
      <c r="U534" s="121">
        <v>0</v>
      </c>
      <c r="V534" s="59" t="str">
        <v>IK</v>
      </c>
      <c r="W534" s="126" t="str">
        <v>るい</v>
      </c>
      <c r="X534" s="126">
        <v>0</v>
      </c>
      <c r="Y534" s="127" t="str">
        <v>いｋ</v>
      </c>
      <c r="Z534" s="90">
        <v>3</v>
      </c>
    </row>
    <row r="535" spans="1:26" x14ac:dyDescent="0.4">
      <c r="A535" s="52">
        <v>534</v>
      </c>
      <c r="B535" s="51">
        <f t="shared" si="50"/>
        <v>18</v>
      </c>
      <c r="C535" s="50">
        <f t="shared" si="51"/>
        <v>24</v>
      </c>
      <c r="D535" s="64" t="e">
        <f t="shared" si="52"/>
        <v>#N/A</v>
      </c>
      <c r="E535" s="121" cm="1">
        <f t="array" ref="E535">INDEX(InputArea,B535,C535)</f>
        <v>0</v>
      </c>
      <c r="F535" s="59" t="str">
        <f t="shared" si="53"/>
        <v>IL</v>
      </c>
      <c r="G535" s="59" t="str">
        <f t="shared" si="54"/>
        <v>るう</v>
      </c>
      <c r="H535" s="134"/>
      <c r="I535" s="136" t="s">
        <v>475</v>
      </c>
      <c r="J535" s="84">
        <f t="shared" si="55"/>
        <v>3</v>
      </c>
      <c r="K535" s="83"/>
      <c r="L535" s="64" t="e">
        <v>#N/A</v>
      </c>
      <c r="M535" s="121">
        <v>0</v>
      </c>
      <c r="N535" s="59" t="str">
        <v>IL</v>
      </c>
      <c r="O535" s="126" t="str">
        <v>るう</v>
      </c>
      <c r="P535" s="126">
        <v>0</v>
      </c>
      <c r="Q535" s="127" t="str">
        <v>いｌ</v>
      </c>
      <c r="R535" s="84">
        <v>3</v>
      </c>
      <c r="T535" s="100" t="e">
        <v>#N/A</v>
      </c>
      <c r="U535" s="121">
        <v>0</v>
      </c>
      <c r="V535" s="59" t="str">
        <v>IL</v>
      </c>
      <c r="W535" s="126" t="str">
        <v>るう</v>
      </c>
      <c r="X535" s="126">
        <v>0</v>
      </c>
      <c r="Y535" s="127" t="str">
        <v>いｌ</v>
      </c>
      <c r="Z535" s="90">
        <v>3</v>
      </c>
    </row>
    <row r="536" spans="1:26" x14ac:dyDescent="0.4">
      <c r="A536" s="52">
        <v>535</v>
      </c>
      <c r="B536" s="51">
        <f t="shared" si="50"/>
        <v>18</v>
      </c>
      <c r="C536" s="50">
        <f t="shared" si="51"/>
        <v>25</v>
      </c>
      <c r="D536" s="64" t="e">
        <f t="shared" si="52"/>
        <v>#N/A</v>
      </c>
      <c r="E536" s="121" cm="1">
        <f t="array" ref="E536">INDEX(InputArea,B536,C536)</f>
        <v>0</v>
      </c>
      <c r="F536" s="59" t="str">
        <f t="shared" si="53"/>
        <v>I;</v>
      </c>
      <c r="G536" s="59" t="str">
        <f t="shared" si="54"/>
        <v>るー</v>
      </c>
      <c r="H536" s="134"/>
      <c r="I536" s="135"/>
      <c r="J536" s="84">
        <f t="shared" si="55"/>
        <v>3</v>
      </c>
      <c r="K536" s="83"/>
      <c r="L536" s="64" t="e">
        <v>#N/A</v>
      </c>
      <c r="M536" s="121">
        <v>0</v>
      </c>
      <c r="N536" s="59" t="str">
        <v>I;</v>
      </c>
      <c r="O536" s="126" t="str">
        <v>るー</v>
      </c>
      <c r="P536" s="126">
        <v>0</v>
      </c>
      <c r="Q536" s="127">
        <v>0</v>
      </c>
      <c r="R536" s="84">
        <v>3</v>
      </c>
      <c r="T536" s="100" t="e">
        <v>#N/A</v>
      </c>
      <c r="U536" s="121">
        <v>0</v>
      </c>
      <c r="V536" s="59" t="str">
        <v>I;</v>
      </c>
      <c r="W536" s="126" t="str">
        <v>るー</v>
      </c>
      <c r="X536" s="126">
        <v>0</v>
      </c>
      <c r="Y536" s="127">
        <v>0</v>
      </c>
      <c r="Z536" s="90">
        <v>3</v>
      </c>
    </row>
    <row r="537" spans="1:26" x14ac:dyDescent="0.4">
      <c r="A537" s="52">
        <v>536</v>
      </c>
      <c r="B537" s="51">
        <f t="shared" si="50"/>
        <v>18</v>
      </c>
      <c r="C537" s="50">
        <f t="shared" si="51"/>
        <v>26</v>
      </c>
      <c r="D537" s="64" t="e">
        <f t="shared" si="52"/>
        <v>#N/A</v>
      </c>
      <c r="E537" s="121" cm="1">
        <f t="array" ref="E537">INDEX(InputArea,B537,C537)</f>
        <v>0</v>
      </c>
      <c r="F537" s="59" t="str">
        <f t="shared" si="53"/>
        <v>IN</v>
      </c>
      <c r="G537" s="59" t="str">
        <f t="shared" si="54"/>
        <v>るた</v>
      </c>
      <c r="H537" s="134"/>
      <c r="I537" s="136" t="s">
        <v>476</v>
      </c>
      <c r="J537" s="84">
        <f t="shared" si="55"/>
        <v>3</v>
      </c>
      <c r="K537" s="83"/>
      <c r="L537" s="64" t="e">
        <v>#N/A</v>
      </c>
      <c r="M537" s="121">
        <v>0</v>
      </c>
      <c r="N537" s="59" t="str">
        <v>IN</v>
      </c>
      <c r="O537" s="126" t="str">
        <v>るた</v>
      </c>
      <c r="P537" s="126">
        <v>0</v>
      </c>
      <c r="Q537" s="127" t="str">
        <v>いｎ</v>
      </c>
      <c r="R537" s="84">
        <v>3</v>
      </c>
      <c r="T537" s="100" t="e">
        <v>#N/A</v>
      </c>
      <c r="U537" s="121">
        <v>0</v>
      </c>
      <c r="V537" s="59" t="str">
        <v>IN</v>
      </c>
      <c r="W537" s="126" t="str">
        <v>るた</v>
      </c>
      <c r="X537" s="126">
        <v>0</v>
      </c>
      <c r="Y537" s="127" t="str">
        <v>いｎ</v>
      </c>
      <c r="Z537" s="90">
        <v>3</v>
      </c>
    </row>
    <row r="538" spans="1:26" x14ac:dyDescent="0.4">
      <c r="A538" s="52">
        <v>537</v>
      </c>
      <c r="B538" s="51">
        <f t="shared" si="50"/>
        <v>18</v>
      </c>
      <c r="C538" s="50">
        <f t="shared" si="51"/>
        <v>27</v>
      </c>
      <c r="D538" s="64" t="e">
        <f t="shared" si="52"/>
        <v>#N/A</v>
      </c>
      <c r="E538" s="121" cm="1">
        <f t="array" ref="E538">INDEX(InputArea,B538,C538)</f>
        <v>0</v>
      </c>
      <c r="F538" s="59" t="str">
        <f t="shared" si="53"/>
        <v>IM</v>
      </c>
      <c r="G538" s="59" t="str">
        <f t="shared" si="54"/>
        <v>るな</v>
      </c>
      <c r="H538" s="134" t="s">
        <v>617</v>
      </c>
      <c r="I538" s="136" t="s">
        <v>477</v>
      </c>
      <c r="J538" s="84">
        <f t="shared" si="55"/>
        <v>3</v>
      </c>
      <c r="K538" s="83"/>
      <c r="L538" s="64" t="e">
        <v>#N/A</v>
      </c>
      <c r="M538" s="121">
        <v>0</v>
      </c>
      <c r="N538" s="59" t="str">
        <v>IM</v>
      </c>
      <c r="O538" s="126" t="str">
        <v>るな</v>
      </c>
      <c r="P538" s="126" t="str">
        <v>゜ょ</v>
      </c>
      <c r="Q538" s="127" t="str">
        <v>いｍ</v>
      </c>
      <c r="R538" s="84">
        <v>3</v>
      </c>
      <c r="T538" s="100" t="e">
        <v>#N/A</v>
      </c>
      <c r="U538" s="121">
        <v>0</v>
      </c>
      <c r="V538" s="59" t="str">
        <v>IM</v>
      </c>
      <c r="W538" s="126" t="str">
        <v>るな</v>
      </c>
      <c r="X538" s="126" t="str">
        <v>゜ょ</v>
      </c>
      <c r="Y538" s="127" t="str">
        <v>いｍ</v>
      </c>
      <c r="Z538" s="90">
        <v>3</v>
      </c>
    </row>
    <row r="539" spans="1:26" x14ac:dyDescent="0.4">
      <c r="A539" s="52">
        <v>538</v>
      </c>
      <c r="B539" s="51">
        <f t="shared" si="50"/>
        <v>18</v>
      </c>
      <c r="C539" s="50">
        <f t="shared" si="51"/>
        <v>28</v>
      </c>
      <c r="D539" s="64" t="e">
        <f t="shared" si="52"/>
        <v>#N/A</v>
      </c>
      <c r="E539" s="121" cm="1">
        <f t="array" ref="E539">INDEX(InputArea,B539,C539)</f>
        <v>0</v>
      </c>
      <c r="F539" s="59" t="str">
        <f t="shared" si="53"/>
        <v>I,</v>
      </c>
      <c r="G539" s="59" t="str">
        <f t="shared" si="54"/>
        <v>るん</v>
      </c>
      <c r="H539" s="134"/>
      <c r="I539" s="136" t="s">
        <v>478</v>
      </c>
      <c r="J539" s="84">
        <f t="shared" si="55"/>
        <v>3</v>
      </c>
      <c r="K539" s="83"/>
      <c r="L539" s="64" t="e">
        <v>#N/A</v>
      </c>
      <c r="M539" s="121">
        <v>0</v>
      </c>
      <c r="N539" s="59" t="str">
        <v>I,</v>
      </c>
      <c r="O539" s="126" t="str">
        <v>るん</v>
      </c>
      <c r="P539" s="126">
        <v>0</v>
      </c>
      <c r="Q539" s="127" t="str">
        <v>い、</v>
      </c>
      <c r="R539" s="84">
        <v>3</v>
      </c>
      <c r="T539" s="100" t="e">
        <v>#N/A</v>
      </c>
      <c r="U539" s="121">
        <v>0</v>
      </c>
      <c r="V539" s="59" t="str">
        <v>I,</v>
      </c>
      <c r="W539" s="126" t="str">
        <v>るん</v>
      </c>
      <c r="X539" s="126">
        <v>0</v>
      </c>
      <c r="Y539" s="127" t="str">
        <v>い、</v>
      </c>
      <c r="Z539" s="90">
        <v>3</v>
      </c>
    </row>
    <row r="540" spans="1:26" x14ac:dyDescent="0.4">
      <c r="A540" s="52">
        <v>539</v>
      </c>
      <c r="B540" s="51">
        <f t="shared" si="50"/>
        <v>18</v>
      </c>
      <c r="C540" s="50">
        <f t="shared" si="51"/>
        <v>29</v>
      </c>
      <c r="D540" s="64" t="e">
        <f t="shared" si="52"/>
        <v>#N/A</v>
      </c>
      <c r="E540" s="121" cm="1">
        <f t="array" ref="E540">INDEX(InputArea,B540,C540)</f>
        <v>0</v>
      </c>
      <c r="F540" s="59" t="str">
        <f t="shared" si="53"/>
        <v>I.</v>
      </c>
      <c r="G540" s="59" t="str">
        <f t="shared" si="54"/>
        <v>るら</v>
      </c>
      <c r="H540" s="134"/>
      <c r="I540" s="136" t="s">
        <v>479</v>
      </c>
      <c r="J540" s="84">
        <f t="shared" si="55"/>
        <v>3</v>
      </c>
      <c r="K540" s="83"/>
      <c r="L540" s="64" t="e">
        <v>#N/A</v>
      </c>
      <c r="M540" s="121">
        <v>0</v>
      </c>
      <c r="N540" s="59" t="str">
        <v>I.</v>
      </c>
      <c r="O540" s="126" t="str">
        <v>るら</v>
      </c>
      <c r="P540" s="126">
        <v>0</v>
      </c>
      <c r="Q540" s="127" t="str">
        <v>い。</v>
      </c>
      <c r="R540" s="84">
        <v>3</v>
      </c>
      <c r="T540" s="100" t="e">
        <v>#N/A</v>
      </c>
      <c r="U540" s="121">
        <v>0</v>
      </c>
      <c r="V540" s="59" t="str">
        <v>I.</v>
      </c>
      <c r="W540" s="126" t="str">
        <v>るら</v>
      </c>
      <c r="X540" s="126">
        <v>0</v>
      </c>
      <c r="Y540" s="127" t="str">
        <v>い。</v>
      </c>
      <c r="Z540" s="90">
        <v>3</v>
      </c>
    </row>
    <row r="541" spans="1:26" x14ac:dyDescent="0.4">
      <c r="A541" s="52">
        <v>540</v>
      </c>
      <c r="B541" s="51">
        <f t="shared" si="50"/>
        <v>18</v>
      </c>
      <c r="C541" s="50">
        <f t="shared" si="51"/>
        <v>30</v>
      </c>
      <c r="D541" s="64" t="e">
        <f t="shared" si="52"/>
        <v>#N/A</v>
      </c>
      <c r="E541" s="121" cm="1">
        <f t="array" ref="E541">INDEX(InputArea,B541,C541)</f>
        <v>0</v>
      </c>
      <c r="F541" s="59" t="str">
        <f t="shared" si="53"/>
        <v>I/</v>
      </c>
      <c r="G541" s="59" t="str">
        <f t="shared" si="54"/>
        <v>るれ</v>
      </c>
      <c r="H541" s="134"/>
      <c r="I541" s="135"/>
      <c r="J541" s="84">
        <f t="shared" si="55"/>
        <v>3</v>
      </c>
      <c r="K541" s="83"/>
      <c r="L541" s="64" t="e">
        <v>#N/A</v>
      </c>
      <c r="M541" s="121">
        <v>0</v>
      </c>
      <c r="N541" s="59" t="str">
        <v>I/</v>
      </c>
      <c r="O541" s="126" t="str">
        <v>るれ</v>
      </c>
      <c r="P541" s="126">
        <v>0</v>
      </c>
      <c r="Q541" s="127">
        <v>0</v>
      </c>
      <c r="R541" s="84">
        <v>3</v>
      </c>
      <c r="T541" s="100" t="e">
        <v>#N/A</v>
      </c>
      <c r="U541" s="121">
        <v>0</v>
      </c>
      <c r="V541" s="59" t="str">
        <v>I/</v>
      </c>
      <c r="W541" s="126" t="str">
        <v>るれ</v>
      </c>
      <c r="X541" s="126">
        <v>0</v>
      </c>
      <c r="Y541" s="127">
        <v>0</v>
      </c>
      <c r="Z541" s="90">
        <v>3</v>
      </c>
    </row>
    <row r="542" spans="1:26" x14ac:dyDescent="0.4">
      <c r="A542" s="52">
        <v>541</v>
      </c>
      <c r="B542" s="51">
        <f t="shared" si="50"/>
        <v>19</v>
      </c>
      <c r="C542" s="50">
        <f t="shared" si="51"/>
        <v>1</v>
      </c>
      <c r="D542" s="64" t="e">
        <f t="shared" si="52"/>
        <v>#N/A</v>
      </c>
      <c r="E542" s="121" cm="1">
        <f t="array" ref="E542">INDEX(InputArea,B542,C542)</f>
        <v>0</v>
      </c>
      <c r="F542" s="59" t="str">
        <f t="shared" si="53"/>
        <v>OQ</v>
      </c>
      <c r="G542" s="59" t="str">
        <f t="shared" si="54"/>
        <v>すヴ</v>
      </c>
      <c r="H542" s="137" t="s">
        <v>237</v>
      </c>
      <c r="I542" s="136" t="s">
        <v>480</v>
      </c>
      <c r="J542" s="84">
        <f t="shared" si="55"/>
        <v>2</v>
      </c>
      <c r="K542" s="83"/>
      <c r="L542" s="64" t="e">
        <v>#N/A</v>
      </c>
      <c r="M542" s="121">
        <v>0</v>
      </c>
      <c r="N542" s="59" t="str">
        <v>OQ</v>
      </c>
      <c r="O542" s="126" t="str">
        <v>すヴ</v>
      </c>
      <c r="P542" s="126" t="str">
        <v>ぇ</v>
      </c>
      <c r="Q542" s="127" t="str">
        <v>おｑ</v>
      </c>
      <c r="R542" s="84">
        <v>2</v>
      </c>
      <c r="T542" s="100" t="e">
        <v>#N/A</v>
      </c>
      <c r="U542" s="121">
        <v>0</v>
      </c>
      <c r="V542" s="59" t="str">
        <v>OQ</v>
      </c>
      <c r="W542" s="126" t="str">
        <v>すヴ</v>
      </c>
      <c r="X542" s="126" t="str">
        <v>ぇ</v>
      </c>
      <c r="Y542" s="127" t="str">
        <v>おｑ</v>
      </c>
      <c r="Z542" s="90">
        <v>2</v>
      </c>
    </row>
    <row r="543" spans="1:26" x14ac:dyDescent="0.4">
      <c r="A543" s="52">
        <v>542</v>
      </c>
      <c r="B543" s="51">
        <f t="shared" si="50"/>
        <v>19</v>
      </c>
      <c r="C543" s="50">
        <f t="shared" si="51"/>
        <v>2</v>
      </c>
      <c r="D543" s="64" t="e">
        <f t="shared" si="52"/>
        <v>#N/A</v>
      </c>
      <c r="E543" s="121" cm="1">
        <f t="array" ref="E543">INDEX(InputArea,B543,C543)</f>
        <v>0</v>
      </c>
      <c r="F543" s="59" t="str">
        <f t="shared" si="53"/>
        <v>OW</v>
      </c>
      <c r="G543" s="59" t="str">
        <f t="shared" si="54"/>
        <v>すき</v>
      </c>
      <c r="H543" s="134"/>
      <c r="I543" s="136" t="s">
        <v>481</v>
      </c>
      <c r="J543" s="84">
        <f t="shared" si="55"/>
        <v>2</v>
      </c>
      <c r="K543" s="83"/>
      <c r="L543" s="64" t="e">
        <v>#N/A</v>
      </c>
      <c r="M543" s="121">
        <v>0</v>
      </c>
      <c r="N543" s="59" t="str">
        <v>OW</v>
      </c>
      <c r="O543" s="126" t="str">
        <v>すき</v>
      </c>
      <c r="P543" s="126">
        <v>0</v>
      </c>
      <c r="Q543" s="127" t="str">
        <v>おｗ</v>
      </c>
      <c r="R543" s="84">
        <v>2</v>
      </c>
      <c r="T543" s="100" t="e">
        <v>#N/A</v>
      </c>
      <c r="U543" s="121">
        <v>0</v>
      </c>
      <c r="V543" s="59" t="str">
        <v>OW</v>
      </c>
      <c r="W543" s="126" t="str">
        <v>すき</v>
      </c>
      <c r="X543" s="126">
        <v>0</v>
      </c>
      <c r="Y543" s="127" t="str">
        <v>おｗ</v>
      </c>
      <c r="Z543" s="90">
        <v>2</v>
      </c>
    </row>
    <row r="544" spans="1:26" x14ac:dyDescent="0.4">
      <c r="A544" s="52">
        <v>543</v>
      </c>
      <c r="B544" s="51">
        <f t="shared" si="50"/>
        <v>19</v>
      </c>
      <c r="C544" s="50">
        <f t="shared" si="51"/>
        <v>3</v>
      </c>
      <c r="D544" s="64" t="e">
        <f t="shared" si="52"/>
        <v>#N/A</v>
      </c>
      <c r="E544" s="121" cm="1">
        <f t="array" ref="E544">INDEX(InputArea,B544,C544)</f>
        <v>0</v>
      </c>
      <c r="F544" s="59" t="str">
        <f t="shared" si="53"/>
        <v>OE</v>
      </c>
      <c r="G544" s="59" t="str">
        <f t="shared" si="54"/>
        <v>すて</v>
      </c>
      <c r="H544" s="134"/>
      <c r="I544" s="136" t="s">
        <v>482</v>
      </c>
      <c r="J544" s="84">
        <f t="shared" si="55"/>
        <v>2</v>
      </c>
      <c r="K544" s="83"/>
      <c r="L544" s="64" t="e">
        <v>#N/A</v>
      </c>
      <c r="M544" s="121">
        <v>0</v>
      </c>
      <c r="N544" s="59" t="str">
        <v>OE</v>
      </c>
      <c r="O544" s="126" t="str">
        <v>すて</v>
      </c>
      <c r="P544" s="126">
        <v>0</v>
      </c>
      <c r="Q544" s="127" t="str">
        <v>おえ</v>
      </c>
      <c r="R544" s="84">
        <v>2</v>
      </c>
      <c r="T544" s="100" t="e">
        <v>#N/A</v>
      </c>
      <c r="U544" s="121">
        <v>0</v>
      </c>
      <c r="V544" s="59" t="str">
        <v>OE</v>
      </c>
      <c r="W544" s="126" t="str">
        <v>すて</v>
      </c>
      <c r="X544" s="126">
        <v>0</v>
      </c>
      <c r="Y544" s="127" t="str">
        <v>おえ</v>
      </c>
      <c r="Z544" s="90">
        <v>2</v>
      </c>
    </row>
    <row r="545" spans="1:26" x14ac:dyDescent="0.4">
      <c r="A545" s="52">
        <v>544</v>
      </c>
      <c r="B545" s="51">
        <f t="shared" si="50"/>
        <v>19</v>
      </c>
      <c r="C545" s="50">
        <f t="shared" si="51"/>
        <v>4</v>
      </c>
      <c r="D545" s="64" t="e">
        <f t="shared" si="52"/>
        <v>#N/A</v>
      </c>
      <c r="E545" s="121" cm="1">
        <f t="array" ref="E545">INDEX(InputArea,B545,C545)</f>
        <v>0</v>
      </c>
      <c r="F545" s="59" t="str">
        <f t="shared" si="53"/>
        <v>OR</v>
      </c>
      <c r="G545" s="59" t="str">
        <f t="shared" si="54"/>
        <v>すし</v>
      </c>
      <c r="H545" s="134"/>
      <c r="I545" s="136" t="s">
        <v>483</v>
      </c>
      <c r="J545" s="84">
        <f t="shared" si="55"/>
        <v>2</v>
      </c>
      <c r="K545" s="83"/>
      <c r="L545" s="64" t="e">
        <v>#N/A</v>
      </c>
      <c r="M545" s="121">
        <v>0</v>
      </c>
      <c r="N545" s="59" t="str">
        <v>OR</v>
      </c>
      <c r="O545" s="126" t="str">
        <v>すし</v>
      </c>
      <c r="P545" s="126">
        <v>0</v>
      </c>
      <c r="Q545" s="127" t="str">
        <v>おｒ</v>
      </c>
      <c r="R545" s="84">
        <v>2</v>
      </c>
      <c r="T545" s="100" t="e">
        <v>#N/A</v>
      </c>
      <c r="U545" s="121">
        <v>0</v>
      </c>
      <c r="V545" s="59" t="str">
        <v>OR</v>
      </c>
      <c r="W545" s="126" t="str">
        <v>すし</v>
      </c>
      <c r="X545" s="126">
        <v>0</v>
      </c>
      <c r="Y545" s="127" t="str">
        <v>おｒ</v>
      </c>
      <c r="Z545" s="90">
        <v>2</v>
      </c>
    </row>
    <row r="546" spans="1:26" x14ac:dyDescent="0.4">
      <c r="A546" s="52">
        <v>545</v>
      </c>
      <c r="B546" s="51">
        <f t="shared" si="50"/>
        <v>19</v>
      </c>
      <c r="C546" s="50">
        <f t="shared" si="51"/>
        <v>5</v>
      </c>
      <c r="D546" s="64" t="e">
        <f t="shared" si="52"/>
        <v>#N/A</v>
      </c>
      <c r="E546" s="121" cm="1">
        <f t="array" ref="E546">INDEX(InputArea,B546,C546)</f>
        <v>0</v>
      </c>
      <c r="F546" s="59" t="str">
        <f t="shared" si="53"/>
        <v>OT</v>
      </c>
      <c r="G546" s="59" t="str">
        <f t="shared" si="54"/>
        <v>す←</v>
      </c>
      <c r="H546" s="134"/>
      <c r="I546" s="136" t="s">
        <v>484</v>
      </c>
      <c r="J546" s="84">
        <f t="shared" si="55"/>
        <v>2</v>
      </c>
      <c r="K546" s="83"/>
      <c r="L546" s="64" t="e">
        <v>#N/A</v>
      </c>
      <c r="M546" s="121">
        <v>0</v>
      </c>
      <c r="N546" s="59" t="str">
        <v>OT</v>
      </c>
      <c r="O546" s="126" t="str">
        <v>す←</v>
      </c>
      <c r="P546" s="126">
        <v>0</v>
      </c>
      <c r="Q546" s="127" t="str">
        <v>おｔ</v>
      </c>
      <c r="R546" s="84">
        <v>2</v>
      </c>
      <c r="T546" s="100" t="e">
        <v>#N/A</v>
      </c>
      <c r="U546" s="121">
        <v>0</v>
      </c>
      <c r="V546" s="59" t="str">
        <v>OT</v>
      </c>
      <c r="W546" s="126" t="str">
        <v>す←</v>
      </c>
      <c r="X546" s="126">
        <v>0</v>
      </c>
      <c r="Y546" s="127" t="str">
        <v>おｔ</v>
      </c>
      <c r="Z546" s="90">
        <v>2</v>
      </c>
    </row>
    <row r="547" spans="1:26" x14ac:dyDescent="0.4">
      <c r="A547" s="52">
        <v>546</v>
      </c>
      <c r="B547" s="51">
        <f t="shared" si="50"/>
        <v>19</v>
      </c>
      <c r="C547" s="50">
        <f t="shared" si="51"/>
        <v>6</v>
      </c>
      <c r="D547" s="64" t="e">
        <f t="shared" si="52"/>
        <v>#N/A</v>
      </c>
      <c r="E547" s="121" cm="1">
        <f t="array" ref="E547">INDEX(InputArea,B547,C547)</f>
        <v>0</v>
      </c>
      <c r="F547" s="59" t="str">
        <f t="shared" si="53"/>
        <v>OA</v>
      </c>
      <c r="G547" s="59" t="str">
        <f t="shared" si="54"/>
        <v>すろ</v>
      </c>
      <c r="H547" s="134"/>
      <c r="I547" s="136" t="s">
        <v>485</v>
      </c>
      <c r="J547" s="84">
        <f t="shared" si="55"/>
        <v>2</v>
      </c>
      <c r="K547" s="83"/>
      <c r="L547" s="64" t="e">
        <v>#N/A</v>
      </c>
      <c r="M547" s="121">
        <v>0</v>
      </c>
      <c r="N547" s="59" t="str">
        <v>OA</v>
      </c>
      <c r="O547" s="126" t="str">
        <v>すろ</v>
      </c>
      <c r="P547" s="126">
        <v>0</v>
      </c>
      <c r="Q547" s="127" t="str">
        <v>おあ</v>
      </c>
      <c r="R547" s="84">
        <v>2</v>
      </c>
      <c r="T547" s="100" t="e">
        <v>#N/A</v>
      </c>
      <c r="U547" s="121">
        <v>0</v>
      </c>
      <c r="V547" s="59" t="str">
        <v>OA</v>
      </c>
      <c r="W547" s="126" t="str">
        <v>すろ</v>
      </c>
      <c r="X547" s="126">
        <v>0</v>
      </c>
      <c r="Y547" s="127" t="str">
        <v>おあ</v>
      </c>
      <c r="Z547" s="90">
        <v>2</v>
      </c>
    </row>
    <row r="548" spans="1:26" x14ac:dyDescent="0.4">
      <c r="A548" s="52">
        <v>547</v>
      </c>
      <c r="B548" s="51">
        <f t="shared" si="50"/>
        <v>19</v>
      </c>
      <c r="C548" s="50">
        <f t="shared" si="51"/>
        <v>7</v>
      </c>
      <c r="D548" s="64" t="e">
        <f t="shared" si="52"/>
        <v>#N/A</v>
      </c>
      <c r="E548" s="121" cm="1">
        <f t="array" ref="E548">INDEX(InputArea,B548,C548)</f>
        <v>0</v>
      </c>
      <c r="F548" s="59" t="str">
        <f t="shared" si="53"/>
        <v>OS</v>
      </c>
      <c r="G548" s="59" t="str">
        <f t="shared" si="54"/>
        <v>すけ</v>
      </c>
      <c r="H548" s="134"/>
      <c r="I548" s="136" t="s">
        <v>486</v>
      </c>
      <c r="J548" s="84">
        <f t="shared" si="55"/>
        <v>2</v>
      </c>
      <c r="K548" s="83"/>
      <c r="L548" s="64" t="e">
        <v>#N/A</v>
      </c>
      <c r="M548" s="121">
        <v>0</v>
      </c>
      <c r="N548" s="59" t="str">
        <v>OS</v>
      </c>
      <c r="O548" s="126" t="str">
        <v>すけ</v>
      </c>
      <c r="P548" s="126">
        <v>0</v>
      </c>
      <c r="Q548" s="127" t="str">
        <v>おｓ</v>
      </c>
      <c r="R548" s="84">
        <v>2</v>
      </c>
      <c r="T548" s="100" t="e">
        <v>#N/A</v>
      </c>
      <c r="U548" s="121">
        <v>0</v>
      </c>
      <c r="V548" s="59" t="str">
        <v>OS</v>
      </c>
      <c r="W548" s="126" t="str">
        <v>すけ</v>
      </c>
      <c r="X548" s="126">
        <v>0</v>
      </c>
      <c r="Y548" s="127" t="str">
        <v>おｓ</v>
      </c>
      <c r="Z548" s="90">
        <v>2</v>
      </c>
    </row>
    <row r="549" spans="1:26" x14ac:dyDescent="0.4">
      <c r="A549" s="52">
        <v>548</v>
      </c>
      <c r="B549" s="51">
        <f t="shared" si="50"/>
        <v>19</v>
      </c>
      <c r="C549" s="50">
        <f t="shared" si="51"/>
        <v>8</v>
      </c>
      <c r="D549" s="64" t="e">
        <f t="shared" si="52"/>
        <v>#N/A</v>
      </c>
      <c r="E549" s="121" cm="1">
        <f t="array" ref="E549">INDEX(InputArea,B549,C549)</f>
        <v>0</v>
      </c>
      <c r="F549" s="59" t="str">
        <f t="shared" si="53"/>
        <v>OD</v>
      </c>
      <c r="G549" s="59" t="str">
        <f t="shared" si="54"/>
        <v>すと</v>
      </c>
      <c r="H549" s="134"/>
      <c r="I549" s="136" t="s">
        <v>487</v>
      </c>
      <c r="J549" s="84">
        <f t="shared" si="55"/>
        <v>2</v>
      </c>
      <c r="K549" s="83"/>
      <c r="L549" s="64" t="e">
        <v>#N/A</v>
      </c>
      <c r="M549" s="121">
        <v>0</v>
      </c>
      <c r="N549" s="59" t="str">
        <v>OD</v>
      </c>
      <c r="O549" s="126" t="str">
        <v>すと</v>
      </c>
      <c r="P549" s="126">
        <v>0</v>
      </c>
      <c r="Q549" s="127" t="str">
        <v>おｄ</v>
      </c>
      <c r="R549" s="84">
        <v>2</v>
      </c>
      <c r="T549" s="100" t="e">
        <v>#N/A</v>
      </c>
      <c r="U549" s="121">
        <v>0</v>
      </c>
      <c r="V549" s="59" t="str">
        <v>OD</v>
      </c>
      <c r="W549" s="126" t="str">
        <v>すと</v>
      </c>
      <c r="X549" s="126">
        <v>0</v>
      </c>
      <c r="Y549" s="127" t="str">
        <v>おｄ</v>
      </c>
      <c r="Z549" s="90">
        <v>2</v>
      </c>
    </row>
    <row r="550" spans="1:26" x14ac:dyDescent="0.4">
      <c r="A550" s="52">
        <v>549</v>
      </c>
      <c r="B550" s="51">
        <f t="shared" si="50"/>
        <v>19</v>
      </c>
      <c r="C550" s="50">
        <f t="shared" si="51"/>
        <v>9</v>
      </c>
      <c r="D550" s="64" t="e">
        <f t="shared" si="52"/>
        <v>#N/A</v>
      </c>
      <c r="E550" s="121" cm="1">
        <f t="array" ref="E550">INDEX(InputArea,B550,C550)</f>
        <v>0</v>
      </c>
      <c r="F550" s="59" t="str">
        <f t="shared" si="53"/>
        <v>OF</v>
      </c>
      <c r="G550" s="59" t="str">
        <f t="shared" si="54"/>
        <v>すか</v>
      </c>
      <c r="H550" s="137" t="s">
        <v>264</v>
      </c>
      <c r="I550" s="136" t="s">
        <v>488</v>
      </c>
      <c r="J550" s="84">
        <f t="shared" si="55"/>
        <v>2</v>
      </c>
      <c r="K550" s="83"/>
      <c r="L550" s="64" t="e">
        <v>#N/A</v>
      </c>
      <c r="M550" s="121">
        <v>0</v>
      </c>
      <c r="N550" s="59" t="str">
        <v>OF</v>
      </c>
      <c r="O550" s="126" t="str">
        <v>すか</v>
      </c>
      <c r="P550" s="126" t="str">
        <v>ず</v>
      </c>
      <c r="Q550" s="127" t="str">
        <v>おｆ</v>
      </c>
      <c r="R550" s="84">
        <v>2</v>
      </c>
      <c r="T550" s="100" t="e">
        <v>#N/A</v>
      </c>
      <c r="U550" s="121">
        <v>0</v>
      </c>
      <c r="V550" s="59" t="str">
        <v>OF</v>
      </c>
      <c r="W550" s="126" t="str">
        <v>すか</v>
      </c>
      <c r="X550" s="126" t="str">
        <v>ず</v>
      </c>
      <c r="Y550" s="127" t="str">
        <v>おｆ</v>
      </c>
      <c r="Z550" s="90">
        <v>2</v>
      </c>
    </row>
    <row r="551" spans="1:26" x14ac:dyDescent="0.4">
      <c r="A551" s="52">
        <v>550</v>
      </c>
      <c r="B551" s="51">
        <f t="shared" si="50"/>
        <v>19</v>
      </c>
      <c r="C551" s="50">
        <f t="shared" si="51"/>
        <v>10</v>
      </c>
      <c r="D551" s="64" t="e">
        <f t="shared" si="52"/>
        <v>#N/A</v>
      </c>
      <c r="E551" s="121" cm="1">
        <f t="array" ref="E551">INDEX(InputArea,B551,C551)</f>
        <v>0</v>
      </c>
      <c r="F551" s="59" t="str">
        <f t="shared" si="53"/>
        <v>OG</v>
      </c>
      <c r="G551" s="59" t="str">
        <f t="shared" si="54"/>
        <v>すっ</v>
      </c>
      <c r="H551" s="134"/>
      <c r="I551" s="136" t="s">
        <v>489</v>
      </c>
      <c r="J551" s="84">
        <f t="shared" si="55"/>
        <v>2</v>
      </c>
      <c r="K551" s="83"/>
      <c r="L551" s="64" t="e">
        <v>#N/A</v>
      </c>
      <c r="M551" s="121">
        <v>0</v>
      </c>
      <c r="N551" s="59" t="str">
        <v>OG</v>
      </c>
      <c r="O551" s="126" t="str">
        <v>すっ</v>
      </c>
      <c r="P551" s="126">
        <v>0</v>
      </c>
      <c r="Q551" s="127" t="str">
        <v>おｇ</v>
      </c>
      <c r="R551" s="84">
        <v>2</v>
      </c>
      <c r="T551" s="100" t="e">
        <v>#N/A</v>
      </c>
      <c r="U551" s="121">
        <v>0</v>
      </c>
      <c r="V551" s="59" t="str">
        <v>OG</v>
      </c>
      <c r="W551" s="126" t="str">
        <v>すっ</v>
      </c>
      <c r="X551" s="126">
        <v>0</v>
      </c>
      <c r="Y551" s="127" t="str">
        <v>おｇ</v>
      </c>
      <c r="Z551" s="90">
        <v>2</v>
      </c>
    </row>
    <row r="552" spans="1:26" x14ac:dyDescent="0.4">
      <c r="A552" s="52">
        <v>551</v>
      </c>
      <c r="B552" s="51">
        <f t="shared" si="50"/>
        <v>19</v>
      </c>
      <c r="C552" s="50">
        <f t="shared" si="51"/>
        <v>11</v>
      </c>
      <c r="D552" s="64" t="e">
        <f t="shared" si="52"/>
        <v>#N/A</v>
      </c>
      <c r="E552" s="121" cm="1">
        <f t="array" ref="E552">INDEX(InputArea,B552,C552)</f>
        <v>0</v>
      </c>
      <c r="F552" s="59" t="str">
        <f t="shared" si="53"/>
        <v>OZ</v>
      </c>
      <c r="G552" s="59" t="str">
        <f t="shared" si="54"/>
        <v>すほ</v>
      </c>
      <c r="H552" s="134"/>
      <c r="I552" s="136" t="s">
        <v>490</v>
      </c>
      <c r="J552" s="84">
        <f t="shared" si="55"/>
        <v>2</v>
      </c>
      <c r="K552" s="83"/>
      <c r="L552" s="64" t="e">
        <v>#N/A</v>
      </c>
      <c r="M552" s="121">
        <v>0</v>
      </c>
      <c r="N552" s="59" t="str">
        <v>OZ</v>
      </c>
      <c r="O552" s="126" t="str">
        <v>すほ</v>
      </c>
      <c r="P552" s="126">
        <v>0</v>
      </c>
      <c r="Q552" s="127" t="str">
        <v>おｚ</v>
      </c>
      <c r="R552" s="84">
        <v>2</v>
      </c>
      <c r="T552" s="100" t="e">
        <v>#N/A</v>
      </c>
      <c r="U552" s="121">
        <v>0</v>
      </c>
      <c r="V552" s="59" t="str">
        <v>OZ</v>
      </c>
      <c r="W552" s="126" t="str">
        <v>すほ</v>
      </c>
      <c r="X552" s="126">
        <v>0</v>
      </c>
      <c r="Y552" s="127" t="str">
        <v>おｚ</v>
      </c>
      <c r="Z552" s="90">
        <v>2</v>
      </c>
    </row>
    <row r="553" spans="1:26" x14ac:dyDescent="0.4">
      <c r="A553" s="52">
        <v>552</v>
      </c>
      <c r="B553" s="51">
        <f t="shared" si="50"/>
        <v>19</v>
      </c>
      <c r="C553" s="50">
        <f t="shared" si="51"/>
        <v>12</v>
      </c>
      <c r="D553" s="64" t="e">
        <f t="shared" si="52"/>
        <v>#N/A</v>
      </c>
      <c r="E553" s="121" cm="1">
        <f t="array" ref="E553">INDEX(InputArea,B553,C553)</f>
        <v>0</v>
      </c>
      <c r="F553" s="59" t="str">
        <f t="shared" si="53"/>
        <v>OX</v>
      </c>
      <c r="G553" s="59" t="str">
        <f t="shared" si="54"/>
        <v>すひ</v>
      </c>
      <c r="H553" s="134"/>
      <c r="I553" s="136" t="s">
        <v>491</v>
      </c>
      <c r="J553" s="84">
        <f t="shared" si="55"/>
        <v>2</v>
      </c>
      <c r="K553" s="83"/>
      <c r="L553" s="64" t="e">
        <v>#N/A</v>
      </c>
      <c r="M553" s="121">
        <v>0</v>
      </c>
      <c r="N553" s="59" t="str">
        <v>OX</v>
      </c>
      <c r="O553" s="126" t="str">
        <v>すひ</v>
      </c>
      <c r="P553" s="126">
        <v>0</v>
      </c>
      <c r="Q553" s="127" t="str">
        <v>おｘ</v>
      </c>
      <c r="R553" s="84">
        <v>2</v>
      </c>
      <c r="T553" s="100" t="e">
        <v>#N/A</v>
      </c>
      <c r="U553" s="121">
        <v>0</v>
      </c>
      <c r="V553" s="59" t="str">
        <v>OX</v>
      </c>
      <c r="W553" s="126" t="str">
        <v>すひ</v>
      </c>
      <c r="X553" s="126">
        <v>0</v>
      </c>
      <c r="Y553" s="127" t="str">
        <v>おｘ</v>
      </c>
      <c r="Z553" s="90">
        <v>2</v>
      </c>
    </row>
    <row r="554" spans="1:26" x14ac:dyDescent="0.4">
      <c r="A554" s="52">
        <v>553</v>
      </c>
      <c r="B554" s="51">
        <f t="shared" si="50"/>
        <v>19</v>
      </c>
      <c r="C554" s="50">
        <f t="shared" si="51"/>
        <v>13</v>
      </c>
      <c r="D554" s="64" t="e">
        <f t="shared" si="52"/>
        <v>#N/A</v>
      </c>
      <c r="E554" s="121" cm="1">
        <f t="array" ref="E554">INDEX(InputArea,B554,C554)</f>
        <v>0</v>
      </c>
      <c r="F554" s="59" t="str">
        <f t="shared" si="53"/>
        <v>OC</v>
      </c>
      <c r="G554" s="59" t="str">
        <f t="shared" si="54"/>
        <v>すは</v>
      </c>
      <c r="H554" s="134"/>
      <c r="I554" s="136" t="s">
        <v>492</v>
      </c>
      <c r="J554" s="84">
        <f t="shared" si="55"/>
        <v>2</v>
      </c>
      <c r="K554" s="83"/>
      <c r="L554" s="64" t="e">
        <v>#N/A</v>
      </c>
      <c r="M554" s="121">
        <v>0</v>
      </c>
      <c r="N554" s="59" t="str">
        <v>OC</v>
      </c>
      <c r="O554" s="126" t="str">
        <v>すは</v>
      </c>
      <c r="P554" s="126">
        <v>0</v>
      </c>
      <c r="Q554" s="127" t="str">
        <v>おｃ</v>
      </c>
      <c r="R554" s="84">
        <v>2</v>
      </c>
      <c r="T554" s="100" t="e">
        <v>#N/A</v>
      </c>
      <c r="U554" s="121">
        <v>0</v>
      </c>
      <c r="V554" s="59" t="str">
        <v>OC</v>
      </c>
      <c r="W554" s="126" t="str">
        <v>すは</v>
      </c>
      <c r="X554" s="126">
        <v>0</v>
      </c>
      <c r="Y554" s="127" t="str">
        <v>おｃ</v>
      </c>
      <c r="Z554" s="90">
        <v>2</v>
      </c>
    </row>
    <row r="555" spans="1:26" x14ac:dyDescent="0.4">
      <c r="A555" s="52">
        <v>554</v>
      </c>
      <c r="B555" s="51">
        <f t="shared" si="50"/>
        <v>19</v>
      </c>
      <c r="C555" s="50">
        <f t="shared" si="51"/>
        <v>14</v>
      </c>
      <c r="D555" s="64" t="e">
        <f t="shared" si="52"/>
        <v>#N/A</v>
      </c>
      <c r="E555" s="121" cm="1">
        <f t="array" ref="E555">INDEX(InputArea,B555,C555)</f>
        <v>0</v>
      </c>
      <c r="F555" s="59" t="str">
        <f t="shared" si="53"/>
        <v>OV</v>
      </c>
      <c r="G555" s="59" t="str">
        <f t="shared" si="54"/>
        <v>すこ</v>
      </c>
      <c r="H555" s="134"/>
      <c r="I555" s="136" t="s">
        <v>493</v>
      </c>
      <c r="J555" s="84">
        <f t="shared" si="55"/>
        <v>2</v>
      </c>
      <c r="K555" s="83"/>
      <c r="L555" s="64" t="e">
        <v>#N/A</v>
      </c>
      <c r="M555" s="121">
        <v>0</v>
      </c>
      <c r="N555" s="59" t="str">
        <v>OV</v>
      </c>
      <c r="O555" s="126" t="str">
        <v>すこ</v>
      </c>
      <c r="P555" s="126">
        <v>0</v>
      </c>
      <c r="Q555" s="127" t="str">
        <v>おｖ</v>
      </c>
      <c r="R555" s="84">
        <v>2</v>
      </c>
      <c r="T555" s="100" t="e">
        <v>#N/A</v>
      </c>
      <c r="U555" s="121">
        <v>0</v>
      </c>
      <c r="V555" s="59" t="str">
        <v>OV</v>
      </c>
      <c r="W555" s="126" t="str">
        <v>すこ</v>
      </c>
      <c r="X555" s="126">
        <v>0</v>
      </c>
      <c r="Y555" s="127" t="str">
        <v>おｖ</v>
      </c>
      <c r="Z555" s="90">
        <v>2</v>
      </c>
    </row>
    <row r="556" spans="1:26" x14ac:dyDescent="0.4">
      <c r="A556" s="52">
        <v>555</v>
      </c>
      <c r="B556" s="51">
        <f t="shared" si="50"/>
        <v>19</v>
      </c>
      <c r="C556" s="50">
        <f t="shared" si="51"/>
        <v>15</v>
      </c>
      <c r="D556" s="64" t="e">
        <f t="shared" si="52"/>
        <v>#N/A</v>
      </c>
      <c r="E556" s="121" cm="1">
        <f t="array" ref="E556">INDEX(InputArea,B556,C556)</f>
        <v>0</v>
      </c>
      <c r="F556" s="59" t="str">
        <f t="shared" si="53"/>
        <v>OB</v>
      </c>
      <c r="G556" s="59" t="str">
        <f t="shared" si="54"/>
        <v>すそ</v>
      </c>
      <c r="H556" s="134"/>
      <c r="I556" s="136" t="s">
        <v>494</v>
      </c>
      <c r="J556" s="84">
        <f t="shared" si="55"/>
        <v>2</v>
      </c>
      <c r="K556" s="83"/>
      <c r="L556" s="64" t="e">
        <v>#N/A</v>
      </c>
      <c r="M556" s="121">
        <v>0</v>
      </c>
      <c r="N556" s="59" t="str">
        <v>OB</v>
      </c>
      <c r="O556" s="126" t="str">
        <v>すそ</v>
      </c>
      <c r="P556" s="126">
        <v>0</v>
      </c>
      <c r="Q556" s="127" t="str">
        <v>おｂ</v>
      </c>
      <c r="R556" s="84">
        <v>2</v>
      </c>
      <c r="T556" s="100" t="e">
        <v>#N/A</v>
      </c>
      <c r="U556" s="121">
        <v>0</v>
      </c>
      <c r="V556" s="59" t="str">
        <v>OB</v>
      </c>
      <c r="W556" s="126" t="str">
        <v>すそ</v>
      </c>
      <c r="X556" s="126">
        <v>0</v>
      </c>
      <c r="Y556" s="127" t="str">
        <v>おｂ</v>
      </c>
      <c r="Z556" s="90">
        <v>2</v>
      </c>
    </row>
    <row r="557" spans="1:26" x14ac:dyDescent="0.4">
      <c r="A557" s="52">
        <v>556</v>
      </c>
      <c r="B557" s="51">
        <f t="shared" si="50"/>
        <v>19</v>
      </c>
      <c r="C557" s="50">
        <f t="shared" si="51"/>
        <v>16</v>
      </c>
      <c r="D557" s="64" t="e">
        <f t="shared" si="52"/>
        <v>#N/A</v>
      </c>
      <c r="E557" s="121" cm="1">
        <f t="array" ref="E557">INDEX(InputArea,B557,C557)</f>
        <v>0</v>
      </c>
      <c r="F557" s="59" t="str">
        <f t="shared" si="53"/>
        <v>OY</v>
      </c>
      <c r="G557" s="59" t="str">
        <f t="shared" si="54"/>
        <v>す→</v>
      </c>
      <c r="H557" s="134"/>
      <c r="I557" s="136" t="s">
        <v>495</v>
      </c>
      <c r="J557" s="84">
        <f t="shared" si="55"/>
        <v>3</v>
      </c>
      <c r="K557" s="83"/>
      <c r="L557" s="64" t="e">
        <v>#N/A</v>
      </c>
      <c r="M557" s="121">
        <v>0</v>
      </c>
      <c r="N557" s="59" t="str">
        <v>OY</v>
      </c>
      <c r="O557" s="126" t="str">
        <v>す→</v>
      </c>
      <c r="P557" s="126">
        <v>0</v>
      </c>
      <c r="Q557" s="127" t="str">
        <v>おｙ</v>
      </c>
      <c r="R557" s="84">
        <v>3</v>
      </c>
      <c r="T557" s="100" t="e">
        <v>#N/A</v>
      </c>
      <c r="U557" s="121">
        <v>0</v>
      </c>
      <c r="V557" s="59" t="str">
        <v>OY</v>
      </c>
      <c r="W557" s="126" t="str">
        <v>す→</v>
      </c>
      <c r="X557" s="126">
        <v>0</v>
      </c>
      <c r="Y557" s="127" t="str">
        <v>おｙ</v>
      </c>
      <c r="Z557" s="90">
        <v>3</v>
      </c>
    </row>
    <row r="558" spans="1:26" x14ac:dyDescent="0.4">
      <c r="A558" s="52">
        <v>557</v>
      </c>
      <c r="B558" s="51">
        <f t="shared" si="50"/>
        <v>19</v>
      </c>
      <c r="C558" s="50">
        <f t="shared" si="51"/>
        <v>17</v>
      </c>
      <c r="D558" s="64" t="e">
        <f t="shared" si="52"/>
        <v>#N/A</v>
      </c>
      <c r="E558" s="121" cm="1">
        <f t="array" ref="E558">INDEX(InputArea,B558,C558)</f>
        <v>0</v>
      </c>
      <c r="F558" s="59" t="str">
        <f t="shared" si="53"/>
        <v>OU</v>
      </c>
      <c r="G558" s="59" t="str">
        <f t="shared" si="54"/>
        <v>すBS</v>
      </c>
      <c r="H558" s="134"/>
      <c r="I558" s="136" t="s">
        <v>496</v>
      </c>
      <c r="J558" s="84">
        <f t="shared" si="55"/>
        <v>3</v>
      </c>
      <c r="K558" s="83"/>
      <c r="L558" s="64" t="e">
        <v>#N/A</v>
      </c>
      <c r="M558" s="121">
        <v>0</v>
      </c>
      <c r="N558" s="59" t="str">
        <v>OU</v>
      </c>
      <c r="O558" s="126" t="str">
        <v>すBS</v>
      </c>
      <c r="P558" s="126">
        <v>0</v>
      </c>
      <c r="Q558" s="127" t="str">
        <v>おう</v>
      </c>
      <c r="R558" s="84">
        <v>3</v>
      </c>
      <c r="T558" s="100" t="e">
        <v>#N/A</v>
      </c>
      <c r="U558" s="121">
        <v>0</v>
      </c>
      <c r="V558" s="59" t="str">
        <v>OU</v>
      </c>
      <c r="W558" s="126" t="str">
        <v>すBS</v>
      </c>
      <c r="X558" s="126">
        <v>0</v>
      </c>
      <c r="Y558" s="127" t="str">
        <v>おう</v>
      </c>
      <c r="Z558" s="90">
        <v>3</v>
      </c>
    </row>
    <row r="559" spans="1:26" x14ac:dyDescent="0.4">
      <c r="A559" s="52">
        <v>558</v>
      </c>
      <c r="B559" s="51">
        <f t="shared" si="50"/>
        <v>19</v>
      </c>
      <c r="C559" s="50">
        <f t="shared" si="51"/>
        <v>18</v>
      </c>
      <c r="D559" s="64" t="e">
        <f t="shared" si="52"/>
        <v>#N/A</v>
      </c>
      <c r="E559" s="121" cm="1">
        <f t="array" ref="E559">INDEX(InputArea,B559,C559)</f>
        <v>0</v>
      </c>
      <c r="F559" s="59" t="str">
        <f t="shared" si="53"/>
        <v>OI</v>
      </c>
      <c r="G559" s="59" t="str">
        <f t="shared" si="54"/>
        <v>する</v>
      </c>
      <c r="H559" s="134"/>
      <c r="I559" s="136" t="s">
        <v>497</v>
      </c>
      <c r="J559" s="84">
        <f t="shared" si="55"/>
        <v>3</v>
      </c>
      <c r="K559" s="83"/>
      <c r="L559" s="64" t="e">
        <v>#N/A</v>
      </c>
      <c r="M559" s="121">
        <v>0</v>
      </c>
      <c r="N559" s="59" t="str">
        <v>OI</v>
      </c>
      <c r="O559" s="126" t="str">
        <v>する</v>
      </c>
      <c r="P559" s="126">
        <v>0</v>
      </c>
      <c r="Q559" s="127" t="str">
        <v>おい</v>
      </c>
      <c r="R559" s="84">
        <v>3</v>
      </c>
      <c r="T559" s="100" t="e">
        <v>#N/A</v>
      </c>
      <c r="U559" s="121">
        <v>0</v>
      </c>
      <c r="V559" s="59" t="str">
        <v>OI</v>
      </c>
      <c r="W559" s="126" t="str">
        <v>する</v>
      </c>
      <c r="X559" s="126">
        <v>0</v>
      </c>
      <c r="Y559" s="127" t="str">
        <v>おい</v>
      </c>
      <c r="Z559" s="90">
        <v>3</v>
      </c>
    </row>
    <row r="560" spans="1:26" x14ac:dyDescent="0.4">
      <c r="A560" s="52">
        <v>559</v>
      </c>
      <c r="B560" s="51">
        <f t="shared" si="50"/>
        <v>19</v>
      </c>
      <c r="C560" s="50">
        <f t="shared" si="51"/>
        <v>19</v>
      </c>
      <c r="D560" s="64" t="e">
        <f t="shared" si="52"/>
        <v>#N/A</v>
      </c>
      <c r="E560" s="121" cm="1">
        <f t="array" ref="E560">INDEX(InputArea,B560,C560)</f>
        <v>0</v>
      </c>
      <c r="F560" s="59" t="str">
        <f t="shared" si="53"/>
        <v>OO</v>
      </c>
      <c r="G560" s="59" t="str">
        <f t="shared" si="54"/>
        <v>すす</v>
      </c>
      <c r="H560" s="134"/>
      <c r="I560" s="136" t="s">
        <v>498</v>
      </c>
      <c r="J560" s="84">
        <f t="shared" si="55"/>
        <v>3</v>
      </c>
      <c r="K560" s="83"/>
      <c r="L560" s="64" t="e">
        <v>#N/A</v>
      </c>
      <c r="M560" s="121">
        <v>0</v>
      </c>
      <c r="N560" s="59" t="str">
        <v>OO</v>
      </c>
      <c r="O560" s="126" t="str">
        <v>すす</v>
      </c>
      <c r="P560" s="126">
        <v>0</v>
      </c>
      <c r="Q560" s="127" t="str">
        <v>おお</v>
      </c>
      <c r="R560" s="84">
        <v>3</v>
      </c>
      <c r="T560" s="100" t="e">
        <v>#N/A</v>
      </c>
      <c r="U560" s="121">
        <v>0</v>
      </c>
      <c r="V560" s="59" t="str">
        <v>OO</v>
      </c>
      <c r="W560" s="126" t="str">
        <v>すす</v>
      </c>
      <c r="X560" s="126">
        <v>0</v>
      </c>
      <c r="Y560" s="127" t="str">
        <v>おお</v>
      </c>
      <c r="Z560" s="90">
        <v>3</v>
      </c>
    </row>
    <row r="561" spans="1:26" x14ac:dyDescent="0.4">
      <c r="A561" s="52">
        <v>560</v>
      </c>
      <c r="B561" s="51">
        <f t="shared" si="50"/>
        <v>19</v>
      </c>
      <c r="C561" s="50">
        <f t="shared" si="51"/>
        <v>20</v>
      </c>
      <c r="D561" s="64" t="e">
        <f t="shared" si="52"/>
        <v>#N/A</v>
      </c>
      <c r="E561" s="121" cm="1">
        <f t="array" ref="E561">INDEX(InputArea,B561,C561)</f>
        <v>0</v>
      </c>
      <c r="F561" s="59" t="str">
        <f t="shared" si="53"/>
        <v>OP</v>
      </c>
      <c r="G561" s="59" t="str">
        <f t="shared" si="54"/>
        <v>すへ</v>
      </c>
      <c r="H561" s="134"/>
      <c r="I561" s="136" t="s">
        <v>499</v>
      </c>
      <c r="J561" s="84">
        <f t="shared" si="55"/>
        <v>3</v>
      </c>
      <c r="K561" s="83"/>
      <c r="L561" s="64" t="e">
        <v>#N/A</v>
      </c>
      <c r="M561" s="121">
        <v>0</v>
      </c>
      <c r="N561" s="59" t="str">
        <v>OP</v>
      </c>
      <c r="O561" s="126" t="str">
        <v>すへ</v>
      </c>
      <c r="P561" s="126">
        <v>0</v>
      </c>
      <c r="Q561" s="127" t="str">
        <v>おｐ</v>
      </c>
      <c r="R561" s="84">
        <v>3</v>
      </c>
      <c r="T561" s="100" t="e">
        <v>#N/A</v>
      </c>
      <c r="U561" s="121">
        <v>0</v>
      </c>
      <c r="V561" s="59" t="str">
        <v>OP</v>
      </c>
      <c r="W561" s="126" t="str">
        <v>すへ</v>
      </c>
      <c r="X561" s="126">
        <v>0</v>
      </c>
      <c r="Y561" s="127" t="str">
        <v>おｐ</v>
      </c>
      <c r="Z561" s="90">
        <v>3</v>
      </c>
    </row>
    <row r="562" spans="1:26" x14ac:dyDescent="0.4">
      <c r="A562" s="52">
        <v>561</v>
      </c>
      <c r="B562" s="51">
        <f t="shared" si="50"/>
        <v>19</v>
      </c>
      <c r="C562" s="50">
        <f t="shared" si="51"/>
        <v>21</v>
      </c>
      <c r="D562" s="64" t="e">
        <f t="shared" si="52"/>
        <v>#N/A</v>
      </c>
      <c r="E562" s="121" cm="1">
        <f t="array" ref="E562">INDEX(InputArea,B562,C562)</f>
        <v>0</v>
      </c>
      <c r="F562" s="59" t="str">
        <f t="shared" si="53"/>
        <v>OH</v>
      </c>
      <c r="G562" s="59" t="str">
        <f t="shared" si="54"/>
        <v>すく</v>
      </c>
      <c r="H562" s="134"/>
      <c r="I562" s="136" t="s">
        <v>500</v>
      </c>
      <c r="J562" s="84">
        <f t="shared" si="55"/>
        <v>3</v>
      </c>
      <c r="K562" s="83"/>
      <c r="L562" s="64" t="e">
        <v>#N/A</v>
      </c>
      <c r="M562" s="121">
        <v>0</v>
      </c>
      <c r="N562" s="59" t="str">
        <v>OH</v>
      </c>
      <c r="O562" s="126" t="str">
        <v>すく</v>
      </c>
      <c r="P562" s="126">
        <v>0</v>
      </c>
      <c r="Q562" s="127" t="str">
        <v>おｈ</v>
      </c>
      <c r="R562" s="84">
        <v>3</v>
      </c>
      <c r="T562" s="100" t="e">
        <v>#N/A</v>
      </c>
      <c r="U562" s="121">
        <v>0</v>
      </c>
      <c r="V562" s="59" t="str">
        <v>OH</v>
      </c>
      <c r="W562" s="126" t="str">
        <v>すく</v>
      </c>
      <c r="X562" s="126">
        <v>0</v>
      </c>
      <c r="Y562" s="127" t="str">
        <v>おｈ</v>
      </c>
      <c r="Z562" s="90">
        <v>3</v>
      </c>
    </row>
    <row r="563" spans="1:26" x14ac:dyDescent="0.4">
      <c r="A563" s="52">
        <v>562</v>
      </c>
      <c r="B563" s="51">
        <f t="shared" si="50"/>
        <v>19</v>
      </c>
      <c r="C563" s="50">
        <f t="shared" si="51"/>
        <v>22</v>
      </c>
      <c r="D563" s="64" t="e">
        <f t="shared" si="52"/>
        <v>#N/A</v>
      </c>
      <c r="E563" s="121" cm="1">
        <f t="array" ref="E563">INDEX(InputArea,B563,C563)</f>
        <v>0</v>
      </c>
      <c r="F563" s="59" t="str">
        <f t="shared" si="53"/>
        <v>OJ</v>
      </c>
      <c r="G563" s="59" t="str">
        <f t="shared" si="54"/>
        <v>すあ</v>
      </c>
      <c r="H563" s="134"/>
      <c r="I563" s="136" t="s">
        <v>501</v>
      </c>
      <c r="J563" s="84">
        <f t="shared" si="55"/>
        <v>3</v>
      </c>
      <c r="K563" s="83"/>
      <c r="L563" s="64" t="e">
        <v>#N/A</v>
      </c>
      <c r="M563" s="121">
        <v>0</v>
      </c>
      <c r="N563" s="59" t="str">
        <v>OJ</v>
      </c>
      <c r="O563" s="126" t="str">
        <v>すあ</v>
      </c>
      <c r="P563" s="126">
        <v>0</v>
      </c>
      <c r="Q563" s="127" t="str">
        <v>おｊ</v>
      </c>
      <c r="R563" s="84">
        <v>3</v>
      </c>
      <c r="T563" s="100" t="e">
        <v>#N/A</v>
      </c>
      <c r="U563" s="121">
        <v>0</v>
      </c>
      <c r="V563" s="59" t="str">
        <v>OJ</v>
      </c>
      <c r="W563" s="126" t="str">
        <v>すあ</v>
      </c>
      <c r="X563" s="126">
        <v>0</v>
      </c>
      <c r="Y563" s="127" t="str">
        <v>おｊ</v>
      </c>
      <c r="Z563" s="90">
        <v>3</v>
      </c>
    </row>
    <row r="564" spans="1:26" x14ac:dyDescent="0.4">
      <c r="A564" s="52">
        <v>563</v>
      </c>
      <c r="B564" s="51">
        <f t="shared" si="50"/>
        <v>19</v>
      </c>
      <c r="C564" s="50">
        <f t="shared" si="51"/>
        <v>23</v>
      </c>
      <c r="D564" s="64" t="e">
        <f t="shared" si="52"/>
        <v>#N/A</v>
      </c>
      <c r="E564" s="121" cm="1">
        <f t="array" ref="E564">INDEX(InputArea,B564,C564)</f>
        <v>0</v>
      </c>
      <c r="F564" s="59" t="str">
        <f t="shared" si="53"/>
        <v>OK</v>
      </c>
      <c r="G564" s="59" t="str">
        <f t="shared" si="54"/>
        <v>すい</v>
      </c>
      <c r="H564" s="134"/>
      <c r="I564" s="136" t="s">
        <v>502</v>
      </c>
      <c r="J564" s="84">
        <f t="shared" si="55"/>
        <v>3</v>
      </c>
      <c r="K564" s="83"/>
      <c r="L564" s="64" t="e">
        <v>#N/A</v>
      </c>
      <c r="M564" s="121">
        <v>0</v>
      </c>
      <c r="N564" s="59" t="str">
        <v>OK</v>
      </c>
      <c r="O564" s="126" t="str">
        <v>すい</v>
      </c>
      <c r="P564" s="126">
        <v>0</v>
      </c>
      <c r="Q564" s="127" t="str">
        <v>おｋ</v>
      </c>
      <c r="R564" s="84">
        <v>3</v>
      </c>
      <c r="T564" s="100" t="e">
        <v>#N/A</v>
      </c>
      <c r="U564" s="121">
        <v>0</v>
      </c>
      <c r="V564" s="59" t="str">
        <v>OK</v>
      </c>
      <c r="W564" s="126" t="str">
        <v>すい</v>
      </c>
      <c r="X564" s="126">
        <v>0</v>
      </c>
      <c r="Y564" s="127" t="str">
        <v>おｋ</v>
      </c>
      <c r="Z564" s="90">
        <v>3</v>
      </c>
    </row>
    <row r="565" spans="1:26" x14ac:dyDescent="0.4">
      <c r="A565" s="52">
        <v>564</v>
      </c>
      <c r="B565" s="51">
        <f t="shared" si="50"/>
        <v>19</v>
      </c>
      <c r="C565" s="50">
        <f t="shared" si="51"/>
        <v>24</v>
      </c>
      <c r="D565" s="64" t="e">
        <f t="shared" si="52"/>
        <v>#N/A</v>
      </c>
      <c r="E565" s="121" cm="1">
        <f t="array" ref="E565">INDEX(InputArea,B565,C565)</f>
        <v>0</v>
      </c>
      <c r="F565" s="59" t="str">
        <f t="shared" si="53"/>
        <v>OL</v>
      </c>
      <c r="G565" s="59" t="str">
        <f t="shared" si="54"/>
        <v>すう</v>
      </c>
      <c r="H565" s="134"/>
      <c r="I565" s="136" t="s">
        <v>503</v>
      </c>
      <c r="J565" s="84">
        <f t="shared" si="55"/>
        <v>3</v>
      </c>
      <c r="K565" s="83"/>
      <c r="L565" s="64" t="e">
        <v>#N/A</v>
      </c>
      <c r="M565" s="121">
        <v>0</v>
      </c>
      <c r="N565" s="59" t="str">
        <v>OL</v>
      </c>
      <c r="O565" s="126" t="str">
        <v>すう</v>
      </c>
      <c r="P565" s="126">
        <v>0</v>
      </c>
      <c r="Q565" s="127" t="str">
        <v>おｌ</v>
      </c>
      <c r="R565" s="84">
        <v>3</v>
      </c>
      <c r="T565" s="100" t="e">
        <v>#N/A</v>
      </c>
      <c r="U565" s="121">
        <v>0</v>
      </c>
      <c r="V565" s="59" t="str">
        <v>OL</v>
      </c>
      <c r="W565" s="126" t="str">
        <v>すう</v>
      </c>
      <c r="X565" s="126">
        <v>0</v>
      </c>
      <c r="Y565" s="127" t="str">
        <v>おｌ</v>
      </c>
      <c r="Z565" s="90">
        <v>3</v>
      </c>
    </row>
    <row r="566" spans="1:26" x14ac:dyDescent="0.4">
      <c r="A566" s="52">
        <v>565</v>
      </c>
      <c r="B566" s="51">
        <f t="shared" si="50"/>
        <v>19</v>
      </c>
      <c r="C566" s="50">
        <f t="shared" si="51"/>
        <v>25</v>
      </c>
      <c r="D566" s="64" t="e">
        <f t="shared" si="52"/>
        <v>#N/A</v>
      </c>
      <c r="E566" s="121" cm="1">
        <f t="array" ref="E566">INDEX(InputArea,B566,C566)</f>
        <v>0</v>
      </c>
      <c r="F566" s="59" t="str">
        <f t="shared" si="53"/>
        <v>O;</v>
      </c>
      <c r="G566" s="59" t="str">
        <f t="shared" si="54"/>
        <v>すー</v>
      </c>
      <c r="H566" s="134"/>
      <c r="I566" s="135"/>
      <c r="J566" s="84">
        <f t="shared" si="55"/>
        <v>3</v>
      </c>
      <c r="K566" s="83"/>
      <c r="L566" s="64" t="e">
        <v>#N/A</v>
      </c>
      <c r="M566" s="121">
        <v>0</v>
      </c>
      <c r="N566" s="59" t="str">
        <v>O;</v>
      </c>
      <c r="O566" s="126" t="str">
        <v>すー</v>
      </c>
      <c r="P566" s="126">
        <v>0</v>
      </c>
      <c r="Q566" s="127">
        <v>0</v>
      </c>
      <c r="R566" s="84">
        <v>3</v>
      </c>
      <c r="T566" s="100" t="e">
        <v>#N/A</v>
      </c>
      <c r="U566" s="121">
        <v>0</v>
      </c>
      <c r="V566" s="59" t="str">
        <v>O;</v>
      </c>
      <c r="W566" s="126" t="str">
        <v>すー</v>
      </c>
      <c r="X566" s="126">
        <v>0</v>
      </c>
      <c r="Y566" s="127">
        <v>0</v>
      </c>
      <c r="Z566" s="90">
        <v>3</v>
      </c>
    </row>
    <row r="567" spans="1:26" x14ac:dyDescent="0.4">
      <c r="A567" s="52">
        <v>566</v>
      </c>
      <c r="B567" s="51">
        <f t="shared" si="50"/>
        <v>19</v>
      </c>
      <c r="C567" s="50">
        <f t="shared" si="51"/>
        <v>26</v>
      </c>
      <c r="D567" s="64" t="e">
        <f t="shared" si="52"/>
        <v>#N/A</v>
      </c>
      <c r="E567" s="121" cm="1">
        <f t="array" ref="E567">INDEX(InputArea,B567,C567)</f>
        <v>0</v>
      </c>
      <c r="F567" s="59" t="str">
        <f t="shared" si="53"/>
        <v>ON</v>
      </c>
      <c r="G567" s="59" t="str">
        <f t="shared" si="54"/>
        <v>すた</v>
      </c>
      <c r="H567" s="134"/>
      <c r="I567" s="136" t="s">
        <v>504</v>
      </c>
      <c r="J567" s="84">
        <f t="shared" si="55"/>
        <v>3</v>
      </c>
      <c r="K567" s="83"/>
      <c r="L567" s="64" t="e">
        <v>#N/A</v>
      </c>
      <c r="M567" s="121">
        <v>0</v>
      </c>
      <c r="N567" s="59" t="str">
        <v>ON</v>
      </c>
      <c r="O567" s="126" t="str">
        <v>すた</v>
      </c>
      <c r="P567" s="126">
        <v>0</v>
      </c>
      <c r="Q567" s="127" t="str">
        <v>おｎ</v>
      </c>
      <c r="R567" s="84">
        <v>3</v>
      </c>
      <c r="T567" s="100" t="e">
        <v>#N/A</v>
      </c>
      <c r="U567" s="121">
        <v>0</v>
      </c>
      <c r="V567" s="59" t="str">
        <v>ON</v>
      </c>
      <c r="W567" s="126" t="str">
        <v>すた</v>
      </c>
      <c r="X567" s="126">
        <v>0</v>
      </c>
      <c r="Y567" s="127" t="str">
        <v>おｎ</v>
      </c>
      <c r="Z567" s="90">
        <v>3</v>
      </c>
    </row>
    <row r="568" spans="1:26" x14ac:dyDescent="0.4">
      <c r="A568" s="52">
        <v>567</v>
      </c>
      <c r="B568" s="51">
        <f t="shared" si="50"/>
        <v>19</v>
      </c>
      <c r="C568" s="50">
        <f t="shared" si="51"/>
        <v>27</v>
      </c>
      <c r="D568" s="64" t="e">
        <f t="shared" si="52"/>
        <v>#N/A</v>
      </c>
      <c r="E568" s="121" cm="1">
        <f t="array" ref="E568">INDEX(InputArea,B568,C568)</f>
        <v>0</v>
      </c>
      <c r="F568" s="59" t="str">
        <f t="shared" si="53"/>
        <v>OM</v>
      </c>
      <c r="G568" s="59" t="str">
        <f t="shared" si="54"/>
        <v>すな</v>
      </c>
      <c r="H568" s="134"/>
      <c r="I568" s="136" t="s">
        <v>505</v>
      </c>
      <c r="J568" s="84">
        <f t="shared" si="55"/>
        <v>3</v>
      </c>
      <c r="K568" s="83"/>
      <c r="L568" s="64" t="e">
        <v>#N/A</v>
      </c>
      <c r="M568" s="121">
        <v>0</v>
      </c>
      <c r="N568" s="59" t="str">
        <v>OM</v>
      </c>
      <c r="O568" s="126" t="str">
        <v>すな</v>
      </c>
      <c r="P568" s="126">
        <v>0</v>
      </c>
      <c r="Q568" s="127" t="str">
        <v>おｍ</v>
      </c>
      <c r="R568" s="84">
        <v>3</v>
      </c>
      <c r="T568" s="100" t="e">
        <v>#N/A</v>
      </c>
      <c r="U568" s="121">
        <v>0</v>
      </c>
      <c r="V568" s="59" t="str">
        <v>OM</v>
      </c>
      <c r="W568" s="126" t="str">
        <v>すな</v>
      </c>
      <c r="X568" s="126">
        <v>0</v>
      </c>
      <c r="Y568" s="127" t="str">
        <v>おｍ</v>
      </c>
      <c r="Z568" s="90">
        <v>3</v>
      </c>
    </row>
    <row r="569" spans="1:26" x14ac:dyDescent="0.4">
      <c r="A569" s="52">
        <v>568</v>
      </c>
      <c r="B569" s="51">
        <f t="shared" si="50"/>
        <v>19</v>
      </c>
      <c r="C569" s="50">
        <f t="shared" si="51"/>
        <v>28</v>
      </c>
      <c r="D569" s="64" t="e">
        <f t="shared" si="52"/>
        <v>#N/A</v>
      </c>
      <c r="E569" s="121" cm="1">
        <f t="array" ref="E569">INDEX(InputArea,B569,C569)</f>
        <v>0</v>
      </c>
      <c r="F569" s="59" t="str">
        <f t="shared" si="53"/>
        <v>O,</v>
      </c>
      <c r="G569" s="59" t="str">
        <f t="shared" si="54"/>
        <v>すん</v>
      </c>
      <c r="H569" s="134"/>
      <c r="I569" s="136" t="s">
        <v>506</v>
      </c>
      <c r="J569" s="84">
        <f t="shared" si="55"/>
        <v>3</v>
      </c>
      <c r="K569" s="83"/>
      <c r="L569" s="64" t="e">
        <v>#N/A</v>
      </c>
      <c r="M569" s="121">
        <v>0</v>
      </c>
      <c r="N569" s="59" t="str">
        <v>O,</v>
      </c>
      <c r="O569" s="126" t="str">
        <v>すん</v>
      </c>
      <c r="P569" s="126">
        <v>0</v>
      </c>
      <c r="Q569" s="127" t="str">
        <v>お、</v>
      </c>
      <c r="R569" s="84">
        <v>3</v>
      </c>
      <c r="T569" s="100" t="e">
        <v>#N/A</v>
      </c>
      <c r="U569" s="121">
        <v>0</v>
      </c>
      <c r="V569" s="59" t="str">
        <v>O,</v>
      </c>
      <c r="W569" s="126" t="str">
        <v>すん</v>
      </c>
      <c r="X569" s="126">
        <v>0</v>
      </c>
      <c r="Y569" s="127" t="str">
        <v>お、</v>
      </c>
      <c r="Z569" s="90">
        <v>3</v>
      </c>
    </row>
    <row r="570" spans="1:26" x14ac:dyDescent="0.4">
      <c r="A570" s="52">
        <v>569</v>
      </c>
      <c r="B570" s="51">
        <f t="shared" si="50"/>
        <v>19</v>
      </c>
      <c r="C570" s="50">
        <f t="shared" si="51"/>
        <v>29</v>
      </c>
      <c r="D570" s="64" t="e">
        <f t="shared" si="52"/>
        <v>#N/A</v>
      </c>
      <c r="E570" s="121" cm="1">
        <f t="array" ref="E570">INDEX(InputArea,B570,C570)</f>
        <v>0</v>
      </c>
      <c r="F570" s="59" t="str">
        <f t="shared" si="53"/>
        <v>O.</v>
      </c>
      <c r="G570" s="59" t="str">
        <f t="shared" si="54"/>
        <v>すら</v>
      </c>
      <c r="H570" s="134"/>
      <c r="I570" s="136" t="s">
        <v>507</v>
      </c>
      <c r="J570" s="84">
        <f t="shared" si="55"/>
        <v>3</v>
      </c>
      <c r="K570" s="83"/>
      <c r="L570" s="64" t="e">
        <v>#N/A</v>
      </c>
      <c r="M570" s="121">
        <v>0</v>
      </c>
      <c r="N570" s="59" t="str">
        <v>O.</v>
      </c>
      <c r="O570" s="126" t="str">
        <v>すら</v>
      </c>
      <c r="P570" s="126">
        <v>0</v>
      </c>
      <c r="Q570" s="127" t="str">
        <v>お。</v>
      </c>
      <c r="R570" s="84">
        <v>3</v>
      </c>
      <c r="T570" s="100" t="e">
        <v>#N/A</v>
      </c>
      <c r="U570" s="121">
        <v>0</v>
      </c>
      <c r="V570" s="59" t="str">
        <v>O.</v>
      </c>
      <c r="W570" s="126" t="str">
        <v>すら</v>
      </c>
      <c r="X570" s="126">
        <v>0</v>
      </c>
      <c r="Y570" s="127" t="str">
        <v>お。</v>
      </c>
      <c r="Z570" s="90">
        <v>3</v>
      </c>
    </row>
    <row r="571" spans="1:26" x14ac:dyDescent="0.4">
      <c r="A571" s="52">
        <v>570</v>
      </c>
      <c r="B571" s="51">
        <f t="shared" si="50"/>
        <v>19</v>
      </c>
      <c r="C571" s="50">
        <f t="shared" si="51"/>
        <v>30</v>
      </c>
      <c r="D571" s="64" t="e">
        <f t="shared" si="52"/>
        <v>#N/A</v>
      </c>
      <c r="E571" s="121" cm="1">
        <f t="array" ref="E571">INDEX(InputArea,B571,C571)</f>
        <v>0</v>
      </c>
      <c r="F571" s="59" t="str">
        <f t="shared" si="53"/>
        <v>O/</v>
      </c>
      <c r="G571" s="59" t="str">
        <f t="shared" si="54"/>
        <v>すれ</v>
      </c>
      <c r="H571" s="134"/>
      <c r="I571" s="135"/>
      <c r="J571" s="84">
        <f t="shared" si="55"/>
        <v>3</v>
      </c>
      <c r="K571" s="83"/>
      <c r="L571" s="64" t="e">
        <v>#N/A</v>
      </c>
      <c r="M571" s="121">
        <v>0</v>
      </c>
      <c r="N571" s="59" t="str">
        <v>O/</v>
      </c>
      <c r="O571" s="126" t="str">
        <v>すれ</v>
      </c>
      <c r="P571" s="126">
        <v>0</v>
      </c>
      <c r="Q571" s="127">
        <v>0</v>
      </c>
      <c r="R571" s="84">
        <v>3</v>
      </c>
      <c r="T571" s="100" t="e">
        <v>#N/A</v>
      </c>
      <c r="U571" s="121">
        <v>0</v>
      </c>
      <c r="V571" s="59" t="str">
        <v>O/</v>
      </c>
      <c r="W571" s="126" t="str">
        <v>すれ</v>
      </c>
      <c r="X571" s="126">
        <v>0</v>
      </c>
      <c r="Y571" s="127">
        <v>0</v>
      </c>
      <c r="Z571" s="90">
        <v>3</v>
      </c>
    </row>
    <row r="572" spans="1:26" x14ac:dyDescent="0.4">
      <c r="A572" s="52">
        <v>571</v>
      </c>
      <c r="B572" s="51">
        <f t="shared" si="50"/>
        <v>20</v>
      </c>
      <c r="C572" s="50">
        <f t="shared" si="51"/>
        <v>1</v>
      </c>
      <c r="D572" s="64" t="e">
        <f t="shared" si="52"/>
        <v>#N/A</v>
      </c>
      <c r="E572" s="121" cm="1">
        <f t="array" ref="E572">INDEX(InputArea,B572,C572)</f>
        <v>0</v>
      </c>
      <c r="F572" s="59" t="str">
        <f t="shared" si="53"/>
        <v>PQ</v>
      </c>
      <c r="G572" s="59" t="str">
        <f t="shared" si="54"/>
        <v>へヴ</v>
      </c>
      <c r="H572" s="137" t="s">
        <v>238</v>
      </c>
      <c r="I572" s="135"/>
      <c r="J572" s="84">
        <f t="shared" si="55"/>
        <v>2</v>
      </c>
      <c r="K572" s="83"/>
      <c r="L572" s="64" t="e">
        <v>#N/A</v>
      </c>
      <c r="M572" s="121">
        <v>0</v>
      </c>
      <c r="N572" s="59" t="str">
        <v>PQ</v>
      </c>
      <c r="O572" s="126" t="str">
        <v>へヴ</v>
      </c>
      <c r="P572" s="126" t="str">
        <v>ゅ</v>
      </c>
      <c r="Q572" s="127">
        <v>0</v>
      </c>
      <c r="R572" s="84">
        <v>2</v>
      </c>
      <c r="T572" s="100" t="e">
        <v>#N/A</v>
      </c>
      <c r="U572" s="121">
        <v>0</v>
      </c>
      <c r="V572" s="59" t="str">
        <v>PQ</v>
      </c>
      <c r="W572" s="126" t="str">
        <v>へヴ</v>
      </c>
      <c r="X572" s="126" t="str">
        <v>ゅ</v>
      </c>
      <c r="Y572" s="127">
        <v>0</v>
      </c>
      <c r="Z572" s="90">
        <v>2</v>
      </c>
    </row>
    <row r="573" spans="1:26" x14ac:dyDescent="0.4">
      <c r="A573" s="52">
        <v>572</v>
      </c>
      <c r="B573" s="51">
        <f t="shared" si="50"/>
        <v>20</v>
      </c>
      <c r="C573" s="50">
        <f t="shared" si="51"/>
        <v>2</v>
      </c>
      <c r="D573" s="64" t="e">
        <f t="shared" si="52"/>
        <v>#N/A</v>
      </c>
      <c r="E573" s="121" cm="1">
        <f t="array" ref="E573">INDEX(InputArea,B573,C573)</f>
        <v>0</v>
      </c>
      <c r="F573" s="59" t="str">
        <f t="shared" si="53"/>
        <v>PW</v>
      </c>
      <c r="G573" s="59" t="str">
        <f t="shared" si="54"/>
        <v>へき</v>
      </c>
      <c r="H573" s="137" t="s">
        <v>246</v>
      </c>
      <c r="I573" s="135"/>
      <c r="J573" s="84">
        <f t="shared" si="55"/>
        <v>2</v>
      </c>
      <c r="K573" s="83"/>
      <c r="L573" s="64" t="e">
        <v>#N/A</v>
      </c>
      <c r="M573" s="121">
        <v>0</v>
      </c>
      <c r="N573" s="59" t="str">
        <v>PW</v>
      </c>
      <c r="O573" s="126" t="str">
        <v>へき</v>
      </c>
      <c r="P573" s="126" t="str">
        <v>きゅ</v>
      </c>
      <c r="Q573" s="127">
        <v>0</v>
      </c>
      <c r="R573" s="84">
        <v>2</v>
      </c>
      <c r="T573" s="100" t="e">
        <v>#N/A</v>
      </c>
      <c r="U573" s="121">
        <v>0</v>
      </c>
      <c r="V573" s="59" t="str">
        <v>PW</v>
      </c>
      <c r="W573" s="126" t="str">
        <v>へき</v>
      </c>
      <c r="X573" s="126" t="str">
        <v>きゅ</v>
      </c>
      <c r="Y573" s="127">
        <v>0</v>
      </c>
      <c r="Z573" s="90">
        <v>2</v>
      </c>
    </row>
    <row r="574" spans="1:26" x14ac:dyDescent="0.4">
      <c r="A574" s="52">
        <v>573</v>
      </c>
      <c r="B574" s="51">
        <f t="shared" si="50"/>
        <v>20</v>
      </c>
      <c r="C574" s="50">
        <f t="shared" si="51"/>
        <v>3</v>
      </c>
      <c r="D574" s="64" t="e">
        <f t="shared" si="52"/>
        <v>#N/A</v>
      </c>
      <c r="E574" s="121" cm="1">
        <f t="array" ref="E574">INDEX(InputArea,B574,C574)</f>
        <v>0</v>
      </c>
      <c r="F574" s="59" t="str">
        <f t="shared" si="53"/>
        <v>PE</v>
      </c>
      <c r="G574" s="59" t="str">
        <f t="shared" si="54"/>
        <v>へて</v>
      </c>
      <c r="H574" s="137" t="s">
        <v>250</v>
      </c>
      <c r="I574" s="136" t="s">
        <v>286</v>
      </c>
      <c r="J574" s="84">
        <f t="shared" si="55"/>
        <v>2</v>
      </c>
      <c r="K574" s="83"/>
      <c r="L574" s="64" t="e">
        <v>#N/A</v>
      </c>
      <c r="M574" s="121">
        <v>0</v>
      </c>
      <c r="N574" s="59" t="str">
        <v>PE</v>
      </c>
      <c r="O574" s="126" t="str">
        <v>へて</v>
      </c>
      <c r="P574" s="126" t="str">
        <v>りゅ</v>
      </c>
      <c r="Q574" s="127" t="str">
        <v>ぺ</v>
      </c>
      <c r="R574" s="84">
        <v>2</v>
      </c>
      <c r="T574" s="100" t="e">
        <v>#N/A</v>
      </c>
      <c r="U574" s="121">
        <v>0</v>
      </c>
      <c r="V574" s="59" t="str">
        <v>PE</v>
      </c>
      <c r="W574" s="126" t="str">
        <v>へて</v>
      </c>
      <c r="X574" s="126" t="str">
        <v>りゅ</v>
      </c>
      <c r="Y574" s="127" t="str">
        <v>ぺ</v>
      </c>
      <c r="Z574" s="90">
        <v>2</v>
      </c>
    </row>
    <row r="575" spans="1:26" x14ac:dyDescent="0.4">
      <c r="A575" s="52">
        <v>574</v>
      </c>
      <c r="B575" s="51">
        <f t="shared" si="50"/>
        <v>20</v>
      </c>
      <c r="C575" s="50">
        <f t="shared" si="51"/>
        <v>4</v>
      </c>
      <c r="D575" s="64" t="e">
        <f t="shared" si="52"/>
        <v>#N/A</v>
      </c>
      <c r="E575" s="121" cm="1">
        <f t="array" ref="E575">INDEX(InputArea,B575,C575)</f>
        <v>0</v>
      </c>
      <c r="F575" s="59" t="str">
        <f t="shared" si="53"/>
        <v>PR</v>
      </c>
      <c r="G575" s="59" t="str">
        <f t="shared" si="54"/>
        <v>へし</v>
      </c>
      <c r="H575" s="137" t="s">
        <v>254</v>
      </c>
      <c r="I575" s="135"/>
      <c r="J575" s="84">
        <f t="shared" si="55"/>
        <v>2</v>
      </c>
      <c r="K575" s="83"/>
      <c r="L575" s="64" t="e">
        <v>#N/A</v>
      </c>
      <c r="M575" s="121">
        <v>0</v>
      </c>
      <c r="N575" s="59" t="str">
        <v>PR</v>
      </c>
      <c r="O575" s="126" t="str">
        <v>へし</v>
      </c>
      <c r="P575" s="126" t="str">
        <v>しゅ</v>
      </c>
      <c r="Q575" s="127">
        <v>0</v>
      </c>
      <c r="R575" s="84">
        <v>2</v>
      </c>
      <c r="T575" s="100" t="e">
        <v>#N/A</v>
      </c>
      <c r="U575" s="121">
        <v>0</v>
      </c>
      <c r="V575" s="59" t="str">
        <v>PR</v>
      </c>
      <c r="W575" s="126" t="str">
        <v>へし</v>
      </c>
      <c r="X575" s="126" t="str">
        <v>しゅ</v>
      </c>
      <c r="Y575" s="127">
        <v>0</v>
      </c>
      <c r="Z575" s="90">
        <v>2</v>
      </c>
    </row>
    <row r="576" spans="1:26" x14ac:dyDescent="0.4">
      <c r="A576" s="52">
        <v>575</v>
      </c>
      <c r="B576" s="51">
        <f t="shared" si="50"/>
        <v>20</v>
      </c>
      <c r="C576" s="50">
        <f t="shared" si="51"/>
        <v>5</v>
      </c>
      <c r="D576" s="64" t="e">
        <f t="shared" si="52"/>
        <v>#N/A</v>
      </c>
      <c r="E576" s="121" cm="1">
        <f t="array" ref="E576">INDEX(InputArea,B576,C576)</f>
        <v>0</v>
      </c>
      <c r="F576" s="59" t="str">
        <f t="shared" si="53"/>
        <v>PT</v>
      </c>
      <c r="G576" s="59" t="str">
        <f t="shared" si="54"/>
        <v>へ←</v>
      </c>
      <c r="H576" s="134"/>
      <c r="I576" s="135"/>
      <c r="J576" s="84">
        <f t="shared" si="55"/>
        <v>2</v>
      </c>
      <c r="K576" s="83"/>
      <c r="L576" s="64" t="e">
        <v>#N/A</v>
      </c>
      <c r="M576" s="121">
        <v>0</v>
      </c>
      <c r="N576" s="59" t="str">
        <v>PT</v>
      </c>
      <c r="O576" s="126" t="str">
        <v>へ←</v>
      </c>
      <c r="P576" s="126">
        <v>0</v>
      </c>
      <c r="Q576" s="127">
        <v>0</v>
      </c>
      <c r="R576" s="84">
        <v>2</v>
      </c>
      <c r="T576" s="100" t="e">
        <v>#N/A</v>
      </c>
      <c r="U576" s="121">
        <v>0</v>
      </c>
      <c r="V576" s="59" t="str">
        <v>PT</v>
      </c>
      <c r="W576" s="126" t="str">
        <v>へ←</v>
      </c>
      <c r="X576" s="126">
        <v>0</v>
      </c>
      <c r="Y576" s="127">
        <v>0</v>
      </c>
      <c r="Z576" s="90">
        <v>2</v>
      </c>
    </row>
    <row r="577" spans="1:26" x14ac:dyDescent="0.4">
      <c r="A577" s="52">
        <v>576</v>
      </c>
      <c r="B577" s="51">
        <f t="shared" si="50"/>
        <v>20</v>
      </c>
      <c r="C577" s="50">
        <f t="shared" si="51"/>
        <v>6</v>
      </c>
      <c r="D577" s="64" t="e">
        <f t="shared" si="52"/>
        <v>#N/A</v>
      </c>
      <c r="E577" s="121" cm="1">
        <f t="array" ref="E577">INDEX(InputArea,B577,C577)</f>
        <v>0</v>
      </c>
      <c r="F577" s="59" t="str">
        <f t="shared" si="53"/>
        <v>PA</v>
      </c>
      <c r="G577" s="59" t="str">
        <f t="shared" si="54"/>
        <v>へろ</v>
      </c>
      <c r="H577" s="134"/>
      <c r="I577" s="136" t="s">
        <v>293</v>
      </c>
      <c r="J577" s="84">
        <f t="shared" si="55"/>
        <v>2</v>
      </c>
      <c r="K577" s="83"/>
      <c r="L577" s="64" t="e">
        <v>#N/A</v>
      </c>
      <c r="M577" s="121">
        <v>0</v>
      </c>
      <c r="N577" s="59" t="str">
        <v>PA</v>
      </c>
      <c r="O577" s="126" t="str">
        <v>へろ</v>
      </c>
      <c r="P577" s="126">
        <v>0</v>
      </c>
      <c r="Q577" s="127" t="str">
        <v>ぱ</v>
      </c>
      <c r="R577" s="84">
        <v>2</v>
      </c>
      <c r="T577" s="100" t="e">
        <v>#N/A</v>
      </c>
      <c r="U577" s="121">
        <v>0</v>
      </c>
      <c r="V577" s="59" t="str">
        <v>PA</v>
      </c>
      <c r="W577" s="126" t="str">
        <v>へろ</v>
      </c>
      <c r="X577" s="126">
        <v>0</v>
      </c>
      <c r="Y577" s="127" t="str">
        <v>ぱ</v>
      </c>
      <c r="Z577" s="90">
        <v>2</v>
      </c>
    </row>
    <row r="578" spans="1:26" x14ac:dyDescent="0.4">
      <c r="A578" s="52">
        <v>577</v>
      </c>
      <c r="B578" s="51">
        <f t="shared" ref="B578:B641" si="56">_xlfn.CEILING.MATH(A578/COLUMNS(InputArea))</f>
        <v>20</v>
      </c>
      <c r="C578" s="50">
        <f t="shared" ref="C578:C641" si="57">MOD(A578-1,COLUMNS(InputArea))+1</f>
        <v>7</v>
      </c>
      <c r="D578" s="64" t="e">
        <f t="shared" ref="D578:D641" si="58">_xlfn.RANK.EQ(E578,InputArea,1)</f>
        <v>#N/A</v>
      </c>
      <c r="E578" s="121" cm="1">
        <f t="array" ref="E578">INDEX(InputArea,B578,C578)</f>
        <v>0</v>
      </c>
      <c r="F578" s="59" t="str">
        <f t="shared" ref="F578:F641" si="59">_xlfn.CONCAT(INDEX(RowName,B578),INDEX(ColName,,C578))</f>
        <v>PS</v>
      </c>
      <c r="G578" s="59" t="str">
        <f t="shared" ref="G578:G641" si="60">_xlfn.CONCAT(INDEX(RowKana,B578),INDEX(ColKana,,C578))</f>
        <v>へけ</v>
      </c>
      <c r="H578" s="134"/>
      <c r="I578" s="135"/>
      <c r="J578" s="84">
        <f t="shared" si="55"/>
        <v>2</v>
      </c>
      <c r="K578" s="83"/>
      <c r="L578" s="64" t="e">
        <v>#N/A</v>
      </c>
      <c r="M578" s="121">
        <v>0</v>
      </c>
      <c r="N578" s="59" t="str">
        <v>PS</v>
      </c>
      <c r="O578" s="126" t="str">
        <v>へけ</v>
      </c>
      <c r="P578" s="126">
        <v>0</v>
      </c>
      <c r="Q578" s="127">
        <v>0</v>
      </c>
      <c r="R578" s="84">
        <v>2</v>
      </c>
      <c r="T578" s="100" t="e">
        <v>#N/A</v>
      </c>
      <c r="U578" s="121">
        <v>0</v>
      </c>
      <c r="V578" s="59" t="str">
        <v>PS</v>
      </c>
      <c r="W578" s="126" t="str">
        <v>へけ</v>
      </c>
      <c r="X578" s="126">
        <v>0</v>
      </c>
      <c r="Y578" s="127">
        <v>0</v>
      </c>
      <c r="Z578" s="90">
        <v>2</v>
      </c>
    </row>
    <row r="579" spans="1:26" x14ac:dyDescent="0.4">
      <c r="A579" s="52">
        <v>578</v>
      </c>
      <c r="B579" s="51">
        <f t="shared" si="56"/>
        <v>20</v>
      </c>
      <c r="C579" s="50">
        <f t="shared" si="57"/>
        <v>8</v>
      </c>
      <c r="D579" s="64" t="e">
        <f t="shared" si="58"/>
        <v>#N/A</v>
      </c>
      <c r="E579" s="121" cm="1">
        <f t="array" ref="E579">INDEX(InputArea,B579,C579)</f>
        <v>0</v>
      </c>
      <c r="F579" s="59" t="str">
        <f t="shared" si="59"/>
        <v>PD</v>
      </c>
      <c r="G579" s="59" t="str">
        <f t="shared" si="60"/>
        <v>へと</v>
      </c>
      <c r="H579" s="137" t="s">
        <v>260</v>
      </c>
      <c r="I579" s="135"/>
      <c r="J579" s="84">
        <f t="shared" ref="J579:J642" si="61">(_xlfn.CEILING.MATH(B579/15)-1)*2+_xlfn.CEILING.MATH(C579/15)-1</f>
        <v>2</v>
      </c>
      <c r="K579" s="83"/>
      <c r="L579" s="64" t="e">
        <v>#N/A</v>
      </c>
      <c r="M579" s="121">
        <v>0</v>
      </c>
      <c r="N579" s="59" t="str">
        <v>PD</v>
      </c>
      <c r="O579" s="126" t="str">
        <v>へと</v>
      </c>
      <c r="P579" s="126" t="str">
        <v>にゅ</v>
      </c>
      <c r="Q579" s="127">
        <v>0</v>
      </c>
      <c r="R579" s="84">
        <v>2</v>
      </c>
      <c r="T579" s="100" t="e">
        <v>#N/A</v>
      </c>
      <c r="U579" s="121">
        <v>0</v>
      </c>
      <c r="V579" s="59" t="str">
        <v>PD</v>
      </c>
      <c r="W579" s="126" t="str">
        <v>へと</v>
      </c>
      <c r="X579" s="126" t="str">
        <v>にゅ</v>
      </c>
      <c r="Y579" s="127">
        <v>0</v>
      </c>
      <c r="Z579" s="90">
        <v>2</v>
      </c>
    </row>
    <row r="580" spans="1:26" x14ac:dyDescent="0.4">
      <c r="A580" s="52">
        <v>579</v>
      </c>
      <c r="B580" s="51">
        <f t="shared" si="56"/>
        <v>20</v>
      </c>
      <c r="C580" s="50">
        <f t="shared" si="57"/>
        <v>9</v>
      </c>
      <c r="D580" s="64" t="e">
        <f t="shared" si="58"/>
        <v>#N/A</v>
      </c>
      <c r="E580" s="121" cm="1">
        <f t="array" ref="E580">INDEX(InputArea,B580,C580)</f>
        <v>0</v>
      </c>
      <c r="F580" s="59" t="str">
        <f t="shared" si="59"/>
        <v>PF</v>
      </c>
      <c r="G580" s="59" t="str">
        <f t="shared" si="60"/>
        <v>へか</v>
      </c>
      <c r="H580" s="137" t="s">
        <v>265</v>
      </c>
      <c r="I580" s="135"/>
      <c r="J580" s="84">
        <f t="shared" si="61"/>
        <v>2</v>
      </c>
      <c r="K580" s="83"/>
      <c r="L580" s="64" t="e">
        <v>#N/A</v>
      </c>
      <c r="M580" s="121">
        <v>0</v>
      </c>
      <c r="N580" s="59" t="str">
        <v>PF</v>
      </c>
      <c r="O580" s="126" t="str">
        <v>へか</v>
      </c>
      <c r="P580" s="126" t="str">
        <v>べ</v>
      </c>
      <c r="Q580" s="127">
        <v>0</v>
      </c>
      <c r="R580" s="84">
        <v>2</v>
      </c>
      <c r="T580" s="100" t="e">
        <v>#N/A</v>
      </c>
      <c r="U580" s="121">
        <v>0</v>
      </c>
      <c r="V580" s="59" t="str">
        <v>PF</v>
      </c>
      <c r="W580" s="126" t="str">
        <v>へか</v>
      </c>
      <c r="X580" s="126" t="str">
        <v>べ</v>
      </c>
      <c r="Y580" s="127">
        <v>0</v>
      </c>
      <c r="Z580" s="90">
        <v>2</v>
      </c>
    </row>
    <row r="581" spans="1:26" x14ac:dyDescent="0.4">
      <c r="A581" s="52">
        <v>580</v>
      </c>
      <c r="B581" s="51">
        <f t="shared" si="56"/>
        <v>20</v>
      </c>
      <c r="C581" s="50">
        <f t="shared" si="57"/>
        <v>10</v>
      </c>
      <c r="D581" s="64" t="e">
        <f t="shared" si="58"/>
        <v>#N/A</v>
      </c>
      <c r="E581" s="121" cm="1">
        <f t="array" ref="E581">INDEX(InputArea,B581,C581)</f>
        <v>0</v>
      </c>
      <c r="F581" s="59" t="str">
        <f t="shared" si="59"/>
        <v>PG</v>
      </c>
      <c r="G581" s="59" t="str">
        <f t="shared" si="60"/>
        <v>へっ</v>
      </c>
      <c r="H581" s="137" t="s">
        <v>285</v>
      </c>
      <c r="I581" s="135"/>
      <c r="J581" s="84">
        <f t="shared" si="61"/>
        <v>2</v>
      </c>
      <c r="K581" s="83"/>
      <c r="L581" s="64" t="e">
        <v>#N/A</v>
      </c>
      <c r="M581" s="121">
        <v>0</v>
      </c>
      <c r="N581" s="59" t="str">
        <v>PG</v>
      </c>
      <c r="O581" s="126" t="str">
        <v>へっ</v>
      </c>
      <c r="P581" s="126" t="str">
        <v>ちゅ</v>
      </c>
      <c r="Q581" s="127">
        <v>0</v>
      </c>
      <c r="R581" s="84">
        <v>2</v>
      </c>
      <c r="T581" s="100" t="e">
        <v>#N/A</v>
      </c>
      <c r="U581" s="121">
        <v>0</v>
      </c>
      <c r="V581" s="59" t="str">
        <v>PG</v>
      </c>
      <c r="W581" s="126" t="str">
        <v>へっ</v>
      </c>
      <c r="X581" s="126" t="str">
        <v>ちゅ</v>
      </c>
      <c r="Y581" s="127">
        <v>0</v>
      </c>
      <c r="Z581" s="90">
        <v>2</v>
      </c>
    </row>
    <row r="582" spans="1:26" x14ac:dyDescent="0.4">
      <c r="A582" s="52">
        <v>581</v>
      </c>
      <c r="B582" s="51">
        <f t="shared" si="56"/>
        <v>20</v>
      </c>
      <c r="C582" s="50">
        <f t="shared" si="57"/>
        <v>11</v>
      </c>
      <c r="D582" s="64" t="e">
        <f t="shared" si="58"/>
        <v>#N/A</v>
      </c>
      <c r="E582" s="121" cm="1">
        <f t="array" ref="E582">INDEX(InputArea,B582,C582)</f>
        <v>0</v>
      </c>
      <c r="F582" s="59" t="str">
        <f t="shared" si="59"/>
        <v>PZ</v>
      </c>
      <c r="G582" s="59" t="str">
        <f t="shared" si="60"/>
        <v>へほ</v>
      </c>
      <c r="H582" s="134"/>
      <c r="I582" s="135"/>
      <c r="J582" s="84">
        <f t="shared" si="61"/>
        <v>2</v>
      </c>
      <c r="K582" s="83"/>
      <c r="L582" s="64" t="e">
        <v>#N/A</v>
      </c>
      <c r="M582" s="121">
        <v>0</v>
      </c>
      <c r="N582" s="59" t="str">
        <v>PZ</v>
      </c>
      <c r="O582" s="126" t="str">
        <v>へほ</v>
      </c>
      <c r="P582" s="126">
        <v>0</v>
      </c>
      <c r="Q582" s="127">
        <v>0</v>
      </c>
      <c r="R582" s="84">
        <v>2</v>
      </c>
      <c r="T582" s="100" t="e">
        <v>#N/A</v>
      </c>
      <c r="U582" s="121">
        <v>0</v>
      </c>
      <c r="V582" s="59" t="str">
        <v>PZ</v>
      </c>
      <c r="W582" s="126" t="str">
        <v>へほ</v>
      </c>
      <c r="X582" s="126">
        <v>0</v>
      </c>
      <c r="Y582" s="127">
        <v>0</v>
      </c>
      <c r="Z582" s="90">
        <v>2</v>
      </c>
    </row>
    <row r="583" spans="1:26" x14ac:dyDescent="0.4">
      <c r="A583" s="52">
        <v>582</v>
      </c>
      <c r="B583" s="51">
        <f t="shared" si="56"/>
        <v>20</v>
      </c>
      <c r="C583" s="50">
        <f t="shared" si="57"/>
        <v>12</v>
      </c>
      <c r="D583" s="64" t="e">
        <f t="shared" si="58"/>
        <v>#N/A</v>
      </c>
      <c r="E583" s="121" cm="1">
        <f t="array" ref="E583">INDEX(InputArea,B583,C583)</f>
        <v>0</v>
      </c>
      <c r="F583" s="59" t="str">
        <f t="shared" si="59"/>
        <v>PX</v>
      </c>
      <c r="G583" s="59" t="str">
        <f t="shared" si="60"/>
        <v>へひ</v>
      </c>
      <c r="H583" s="137" t="s">
        <v>273</v>
      </c>
      <c r="I583" s="135"/>
      <c r="J583" s="84">
        <f t="shared" si="61"/>
        <v>2</v>
      </c>
      <c r="K583" s="83"/>
      <c r="L583" s="64" t="e">
        <v>#N/A</v>
      </c>
      <c r="M583" s="121">
        <v>0</v>
      </c>
      <c r="N583" s="59" t="str">
        <v>PX</v>
      </c>
      <c r="O583" s="126" t="str">
        <v>へひ</v>
      </c>
      <c r="P583" s="126" t="str">
        <v>ひゅ</v>
      </c>
      <c r="Q583" s="127">
        <v>0</v>
      </c>
      <c r="R583" s="84">
        <v>2</v>
      </c>
      <c r="T583" s="100" t="e">
        <v>#N/A</v>
      </c>
      <c r="U583" s="121">
        <v>0</v>
      </c>
      <c r="V583" s="59" t="str">
        <v>PX</v>
      </c>
      <c r="W583" s="126" t="str">
        <v>へひ</v>
      </c>
      <c r="X583" s="126" t="str">
        <v>ひゅ</v>
      </c>
      <c r="Y583" s="127">
        <v>0</v>
      </c>
      <c r="Z583" s="90">
        <v>2</v>
      </c>
    </row>
    <row r="584" spans="1:26" x14ac:dyDescent="0.4">
      <c r="A584" s="52">
        <v>583</v>
      </c>
      <c r="B584" s="51">
        <f t="shared" si="56"/>
        <v>20</v>
      </c>
      <c r="C584" s="50">
        <f t="shared" si="57"/>
        <v>13</v>
      </c>
      <c r="D584" s="64" t="e">
        <f t="shared" si="58"/>
        <v>#N/A</v>
      </c>
      <c r="E584" s="121" cm="1">
        <f t="array" ref="E584">INDEX(InputArea,B584,C584)</f>
        <v>0</v>
      </c>
      <c r="F584" s="59" t="str">
        <f t="shared" si="59"/>
        <v>PC</v>
      </c>
      <c r="G584" s="59" t="str">
        <f t="shared" si="60"/>
        <v>へは</v>
      </c>
      <c r="H584" s="134"/>
      <c r="I584" s="135"/>
      <c r="J584" s="84">
        <f t="shared" si="61"/>
        <v>2</v>
      </c>
      <c r="K584" s="83"/>
      <c r="L584" s="64" t="e">
        <v>#N/A</v>
      </c>
      <c r="M584" s="121">
        <v>0</v>
      </c>
      <c r="N584" s="59" t="str">
        <v>PC</v>
      </c>
      <c r="O584" s="126" t="str">
        <v>へは</v>
      </c>
      <c r="P584" s="126">
        <v>0</v>
      </c>
      <c r="Q584" s="127">
        <v>0</v>
      </c>
      <c r="R584" s="84">
        <v>2</v>
      </c>
      <c r="T584" s="100" t="e">
        <v>#N/A</v>
      </c>
      <c r="U584" s="121">
        <v>0</v>
      </c>
      <c r="V584" s="59" t="str">
        <v>PC</v>
      </c>
      <c r="W584" s="126" t="str">
        <v>へは</v>
      </c>
      <c r="X584" s="126">
        <v>0</v>
      </c>
      <c r="Y584" s="127">
        <v>0</v>
      </c>
      <c r="Z584" s="90">
        <v>2</v>
      </c>
    </row>
    <row r="585" spans="1:26" x14ac:dyDescent="0.4">
      <c r="A585" s="52">
        <v>584</v>
      </c>
      <c r="B585" s="51">
        <f t="shared" si="56"/>
        <v>20</v>
      </c>
      <c r="C585" s="50">
        <f t="shared" si="57"/>
        <v>14</v>
      </c>
      <c r="D585" s="64" t="e">
        <f t="shared" si="58"/>
        <v>#N/A</v>
      </c>
      <c r="E585" s="121" cm="1">
        <f t="array" ref="E585">INDEX(InputArea,B585,C585)</f>
        <v>0</v>
      </c>
      <c r="F585" s="59" t="str">
        <f t="shared" si="59"/>
        <v>PV</v>
      </c>
      <c r="G585" s="59" t="str">
        <f t="shared" si="60"/>
        <v>へこ</v>
      </c>
      <c r="H585" s="137" t="s">
        <v>286</v>
      </c>
      <c r="I585" s="135"/>
      <c r="J585" s="84">
        <f t="shared" si="61"/>
        <v>2</v>
      </c>
      <c r="K585" s="83"/>
      <c r="L585" s="64" t="e">
        <v>#N/A</v>
      </c>
      <c r="M585" s="121">
        <v>0</v>
      </c>
      <c r="N585" s="59" t="str">
        <v>PV</v>
      </c>
      <c r="O585" s="126" t="str">
        <v>へこ</v>
      </c>
      <c r="P585" s="126" t="str">
        <v>ぺ</v>
      </c>
      <c r="Q585" s="127">
        <v>0</v>
      </c>
      <c r="R585" s="84">
        <v>2</v>
      </c>
      <c r="T585" s="100" t="e">
        <v>#N/A</v>
      </c>
      <c r="U585" s="121">
        <v>0</v>
      </c>
      <c r="V585" s="59" t="str">
        <v>PV</v>
      </c>
      <c r="W585" s="126" t="str">
        <v>へこ</v>
      </c>
      <c r="X585" s="126" t="str">
        <v>ぺ</v>
      </c>
      <c r="Y585" s="127">
        <v>0</v>
      </c>
      <c r="Z585" s="90">
        <v>2</v>
      </c>
    </row>
    <row r="586" spans="1:26" x14ac:dyDescent="0.4">
      <c r="A586" s="52">
        <v>585</v>
      </c>
      <c r="B586" s="51">
        <f t="shared" si="56"/>
        <v>20</v>
      </c>
      <c r="C586" s="50">
        <f t="shared" si="57"/>
        <v>15</v>
      </c>
      <c r="D586" s="64" t="e">
        <f t="shared" si="58"/>
        <v>#N/A</v>
      </c>
      <c r="E586" s="121" cm="1">
        <f t="array" ref="E586">INDEX(InputArea,B586,C586)</f>
        <v>0</v>
      </c>
      <c r="F586" s="59" t="str">
        <f t="shared" si="59"/>
        <v>PB</v>
      </c>
      <c r="G586" s="59" t="str">
        <f t="shared" si="60"/>
        <v>へそ</v>
      </c>
      <c r="H586" s="137" t="s">
        <v>279</v>
      </c>
      <c r="I586" s="135"/>
      <c r="J586" s="84">
        <f t="shared" si="61"/>
        <v>2</v>
      </c>
      <c r="K586" s="83"/>
      <c r="L586" s="64" t="e">
        <v>#N/A</v>
      </c>
      <c r="M586" s="121">
        <v>0</v>
      </c>
      <c r="N586" s="59" t="str">
        <v>PB</v>
      </c>
      <c r="O586" s="126" t="str">
        <v>へそ</v>
      </c>
      <c r="P586" s="126" t="str">
        <v>みゅ</v>
      </c>
      <c r="Q586" s="127">
        <v>0</v>
      </c>
      <c r="R586" s="84">
        <v>2</v>
      </c>
      <c r="T586" s="100" t="e">
        <v>#N/A</v>
      </c>
      <c r="U586" s="121">
        <v>0</v>
      </c>
      <c r="V586" s="59" t="str">
        <v>PB</v>
      </c>
      <c r="W586" s="126" t="str">
        <v>へそ</v>
      </c>
      <c r="X586" s="126" t="str">
        <v>みゅ</v>
      </c>
      <c r="Y586" s="127">
        <v>0</v>
      </c>
      <c r="Z586" s="90">
        <v>2</v>
      </c>
    </row>
    <row r="587" spans="1:26" x14ac:dyDescent="0.4">
      <c r="A587" s="52">
        <v>586</v>
      </c>
      <c r="B587" s="51">
        <f t="shared" si="56"/>
        <v>20</v>
      </c>
      <c r="C587" s="50">
        <f t="shared" si="57"/>
        <v>16</v>
      </c>
      <c r="D587" s="64" t="e">
        <f t="shared" si="58"/>
        <v>#N/A</v>
      </c>
      <c r="E587" s="121" cm="1">
        <f t="array" ref="E587">INDEX(InputArea,B587,C587)</f>
        <v>0</v>
      </c>
      <c r="F587" s="59" t="str">
        <f t="shared" si="59"/>
        <v>PY</v>
      </c>
      <c r="G587" s="59" t="str">
        <f t="shared" si="60"/>
        <v>へ→</v>
      </c>
      <c r="H587" s="134"/>
      <c r="I587" s="136" t="s">
        <v>508</v>
      </c>
      <c r="J587" s="84">
        <f t="shared" si="61"/>
        <v>3</v>
      </c>
      <c r="K587" s="83"/>
      <c r="L587" s="64" t="e">
        <v>#N/A</v>
      </c>
      <c r="M587" s="121">
        <v>0</v>
      </c>
      <c r="N587" s="59" t="str">
        <v>PY</v>
      </c>
      <c r="O587" s="126" t="str">
        <v>へ→</v>
      </c>
      <c r="P587" s="126">
        <v>0</v>
      </c>
      <c r="Q587" s="127" t="str">
        <v>ｐｙ</v>
      </c>
      <c r="R587" s="84">
        <v>3</v>
      </c>
      <c r="T587" s="100" t="e">
        <v>#N/A</v>
      </c>
      <c r="U587" s="121">
        <v>0</v>
      </c>
      <c r="V587" s="59" t="str">
        <v>PY</v>
      </c>
      <c r="W587" s="126" t="str">
        <v>へ→</v>
      </c>
      <c r="X587" s="126">
        <v>0</v>
      </c>
      <c r="Y587" s="127" t="str">
        <v>ｐｙ</v>
      </c>
      <c r="Z587" s="90">
        <v>3</v>
      </c>
    </row>
    <row r="588" spans="1:26" x14ac:dyDescent="0.4">
      <c r="A588" s="52">
        <v>587</v>
      </c>
      <c r="B588" s="51">
        <f t="shared" si="56"/>
        <v>20</v>
      </c>
      <c r="C588" s="50">
        <f t="shared" si="57"/>
        <v>17</v>
      </c>
      <c r="D588" s="64" t="e">
        <f t="shared" si="58"/>
        <v>#N/A</v>
      </c>
      <c r="E588" s="121" cm="1">
        <f t="array" ref="E588">INDEX(InputArea,B588,C588)</f>
        <v>0</v>
      </c>
      <c r="F588" s="59" t="str">
        <f t="shared" si="59"/>
        <v>PU</v>
      </c>
      <c r="G588" s="59" t="str">
        <f t="shared" si="60"/>
        <v>へBS</v>
      </c>
      <c r="H588" s="134"/>
      <c r="I588" s="136" t="s">
        <v>294</v>
      </c>
      <c r="J588" s="84">
        <f t="shared" si="61"/>
        <v>3</v>
      </c>
      <c r="K588" s="83"/>
      <c r="L588" s="64" t="e">
        <v>#N/A</v>
      </c>
      <c r="M588" s="121">
        <v>0</v>
      </c>
      <c r="N588" s="59" t="str">
        <v>PU</v>
      </c>
      <c r="O588" s="126" t="str">
        <v>へBS</v>
      </c>
      <c r="P588" s="126">
        <v>0</v>
      </c>
      <c r="Q588" s="127" t="str">
        <v>ぷ</v>
      </c>
      <c r="R588" s="84">
        <v>3</v>
      </c>
      <c r="T588" s="100" t="e">
        <v>#N/A</v>
      </c>
      <c r="U588" s="121">
        <v>0</v>
      </c>
      <c r="V588" s="59" t="str">
        <v>PU</v>
      </c>
      <c r="W588" s="126" t="str">
        <v>へBS</v>
      </c>
      <c r="X588" s="126">
        <v>0</v>
      </c>
      <c r="Y588" s="127" t="str">
        <v>ぷ</v>
      </c>
      <c r="Z588" s="90">
        <v>3</v>
      </c>
    </row>
    <row r="589" spans="1:26" x14ac:dyDescent="0.4">
      <c r="A589" s="52">
        <v>588</v>
      </c>
      <c r="B589" s="51">
        <f t="shared" si="56"/>
        <v>20</v>
      </c>
      <c r="C589" s="50">
        <f t="shared" si="57"/>
        <v>18</v>
      </c>
      <c r="D589" s="64" t="e">
        <f t="shared" si="58"/>
        <v>#N/A</v>
      </c>
      <c r="E589" s="121" cm="1">
        <f t="array" ref="E589">INDEX(InputArea,B589,C589)</f>
        <v>0</v>
      </c>
      <c r="F589" s="59" t="str">
        <f t="shared" si="59"/>
        <v>PI</v>
      </c>
      <c r="G589" s="59" t="str">
        <f t="shared" si="60"/>
        <v>へる</v>
      </c>
      <c r="H589" s="134"/>
      <c r="I589" s="136" t="s">
        <v>292</v>
      </c>
      <c r="J589" s="84">
        <f t="shared" si="61"/>
        <v>3</v>
      </c>
      <c r="K589" s="83"/>
      <c r="L589" s="64" t="e">
        <v>#N/A</v>
      </c>
      <c r="M589" s="121">
        <v>0</v>
      </c>
      <c r="N589" s="59" t="str">
        <v>PI</v>
      </c>
      <c r="O589" s="126" t="str">
        <v>へる</v>
      </c>
      <c r="P589" s="126">
        <v>0</v>
      </c>
      <c r="Q589" s="127" t="str">
        <v>ぴ</v>
      </c>
      <c r="R589" s="84">
        <v>3</v>
      </c>
      <c r="T589" s="100" t="e">
        <v>#N/A</v>
      </c>
      <c r="U589" s="121">
        <v>0</v>
      </c>
      <c r="V589" s="59" t="str">
        <v>PI</v>
      </c>
      <c r="W589" s="126" t="str">
        <v>へる</v>
      </c>
      <c r="X589" s="126">
        <v>0</v>
      </c>
      <c r="Y589" s="127" t="str">
        <v>ぴ</v>
      </c>
      <c r="Z589" s="90">
        <v>3</v>
      </c>
    </row>
    <row r="590" spans="1:26" x14ac:dyDescent="0.4">
      <c r="A590" s="52">
        <v>589</v>
      </c>
      <c r="B590" s="51">
        <f t="shared" si="56"/>
        <v>20</v>
      </c>
      <c r="C590" s="50">
        <f t="shared" si="57"/>
        <v>19</v>
      </c>
      <c r="D590" s="64" t="e">
        <f t="shared" si="58"/>
        <v>#N/A</v>
      </c>
      <c r="E590" s="121" cm="1">
        <f t="array" ref="E590">INDEX(InputArea,B590,C590)</f>
        <v>0</v>
      </c>
      <c r="F590" s="59" t="str">
        <f t="shared" si="59"/>
        <v>PO</v>
      </c>
      <c r="G590" s="59" t="str">
        <f t="shared" si="60"/>
        <v>へす</v>
      </c>
      <c r="H590" s="134"/>
      <c r="I590" s="136" t="s">
        <v>291</v>
      </c>
      <c r="J590" s="84">
        <f t="shared" si="61"/>
        <v>3</v>
      </c>
      <c r="K590" s="83"/>
      <c r="L590" s="64" t="e">
        <v>#N/A</v>
      </c>
      <c r="M590" s="121">
        <v>0</v>
      </c>
      <c r="N590" s="59" t="str">
        <v>PO</v>
      </c>
      <c r="O590" s="126" t="str">
        <v>へす</v>
      </c>
      <c r="P590" s="126">
        <v>0</v>
      </c>
      <c r="Q590" s="127" t="str">
        <v>ぽ</v>
      </c>
      <c r="R590" s="84">
        <v>3</v>
      </c>
      <c r="T590" s="100" t="e">
        <v>#N/A</v>
      </c>
      <c r="U590" s="121">
        <v>0</v>
      </c>
      <c r="V590" s="59" t="str">
        <v>PO</v>
      </c>
      <c r="W590" s="126" t="str">
        <v>へす</v>
      </c>
      <c r="X590" s="126">
        <v>0</v>
      </c>
      <c r="Y590" s="127" t="str">
        <v>ぽ</v>
      </c>
      <c r="Z590" s="90">
        <v>3</v>
      </c>
    </row>
    <row r="591" spans="1:26" x14ac:dyDescent="0.4">
      <c r="A591" s="52">
        <v>590</v>
      </c>
      <c r="B591" s="51">
        <f t="shared" si="56"/>
        <v>20</v>
      </c>
      <c r="C591" s="50">
        <f t="shared" si="57"/>
        <v>20</v>
      </c>
      <c r="D591" s="64" t="e">
        <f t="shared" si="58"/>
        <v>#N/A</v>
      </c>
      <c r="E591" s="121" cm="1">
        <f t="array" ref="E591">INDEX(InputArea,B591,C591)</f>
        <v>0</v>
      </c>
      <c r="F591" s="59" t="str">
        <f t="shared" si="59"/>
        <v>PP</v>
      </c>
      <c r="G591" s="59" t="str">
        <f t="shared" si="60"/>
        <v>へへ</v>
      </c>
      <c r="H591" s="134"/>
      <c r="I591" s="136" t="s">
        <v>509</v>
      </c>
      <c r="J591" s="84">
        <f t="shared" si="61"/>
        <v>3</v>
      </c>
      <c r="K591" s="83"/>
      <c r="L591" s="64" t="e">
        <v>#N/A</v>
      </c>
      <c r="M591" s="121">
        <v>0</v>
      </c>
      <c r="N591" s="59" t="str">
        <v>PP</v>
      </c>
      <c r="O591" s="126" t="str">
        <v>へへ</v>
      </c>
      <c r="P591" s="126">
        <v>0</v>
      </c>
      <c r="Q591" s="127" t="str">
        <v>っｐ</v>
      </c>
      <c r="R591" s="84">
        <v>3</v>
      </c>
      <c r="T591" s="100" t="e">
        <v>#N/A</v>
      </c>
      <c r="U591" s="121">
        <v>0</v>
      </c>
      <c r="V591" s="59" t="str">
        <v>PP</v>
      </c>
      <c r="W591" s="126" t="str">
        <v>へへ</v>
      </c>
      <c r="X591" s="126">
        <v>0</v>
      </c>
      <c r="Y591" s="127" t="str">
        <v>っｐ</v>
      </c>
      <c r="Z591" s="90">
        <v>3</v>
      </c>
    </row>
    <row r="592" spans="1:26" x14ac:dyDescent="0.4">
      <c r="A592" s="52">
        <v>591</v>
      </c>
      <c r="B592" s="51">
        <f t="shared" si="56"/>
        <v>20</v>
      </c>
      <c r="C592" s="50">
        <f t="shared" si="57"/>
        <v>21</v>
      </c>
      <c r="D592" s="64" t="e">
        <f t="shared" si="58"/>
        <v>#N/A</v>
      </c>
      <c r="E592" s="121" cm="1">
        <f t="array" ref="E592">INDEX(InputArea,B592,C592)</f>
        <v>0</v>
      </c>
      <c r="F592" s="59" t="str">
        <f t="shared" si="59"/>
        <v>PH</v>
      </c>
      <c r="G592" s="59" t="str">
        <f t="shared" si="60"/>
        <v>へく</v>
      </c>
      <c r="H592" s="134"/>
      <c r="I592" s="135"/>
      <c r="J592" s="84">
        <f t="shared" si="61"/>
        <v>3</v>
      </c>
      <c r="K592" s="83"/>
      <c r="L592" s="64" t="e">
        <v>#N/A</v>
      </c>
      <c r="M592" s="121">
        <v>0</v>
      </c>
      <c r="N592" s="59" t="str">
        <v>PH</v>
      </c>
      <c r="O592" s="126" t="str">
        <v>へく</v>
      </c>
      <c r="P592" s="126">
        <v>0</v>
      </c>
      <c r="Q592" s="127">
        <v>0</v>
      </c>
      <c r="R592" s="84">
        <v>3</v>
      </c>
      <c r="T592" s="100" t="e">
        <v>#N/A</v>
      </c>
      <c r="U592" s="121">
        <v>0</v>
      </c>
      <c r="V592" s="59" t="str">
        <v>PH</v>
      </c>
      <c r="W592" s="126" t="str">
        <v>へく</v>
      </c>
      <c r="X592" s="126">
        <v>0</v>
      </c>
      <c r="Y592" s="127">
        <v>0</v>
      </c>
      <c r="Z592" s="90">
        <v>3</v>
      </c>
    </row>
    <row r="593" spans="1:26" x14ac:dyDescent="0.4">
      <c r="A593" s="52">
        <v>592</v>
      </c>
      <c r="B593" s="51">
        <f t="shared" si="56"/>
        <v>20</v>
      </c>
      <c r="C593" s="50">
        <f t="shared" si="57"/>
        <v>22</v>
      </c>
      <c r="D593" s="64" t="e">
        <f t="shared" si="58"/>
        <v>#N/A</v>
      </c>
      <c r="E593" s="121" cm="1">
        <f t="array" ref="E593">INDEX(InputArea,B593,C593)</f>
        <v>0</v>
      </c>
      <c r="F593" s="59" t="str">
        <f t="shared" si="59"/>
        <v>PJ</v>
      </c>
      <c r="G593" s="59" t="str">
        <f t="shared" si="60"/>
        <v>へあ</v>
      </c>
      <c r="H593" s="137" t="s">
        <v>624</v>
      </c>
      <c r="I593" s="135"/>
      <c r="J593" s="84">
        <f t="shared" si="61"/>
        <v>3</v>
      </c>
      <c r="K593" s="83"/>
      <c r="L593" s="64" t="e">
        <v>#N/A</v>
      </c>
      <c r="M593" s="121">
        <v>0</v>
      </c>
      <c r="N593" s="59" t="str">
        <v>PJ</v>
      </c>
      <c r="O593" s="126" t="str">
        <v>へあ</v>
      </c>
      <c r="P593" s="126" t="str">
        <v>゛ゅ</v>
      </c>
      <c r="Q593" s="127">
        <v>0</v>
      </c>
      <c r="R593" s="84">
        <v>3</v>
      </c>
      <c r="T593" s="100" t="e">
        <v>#N/A</v>
      </c>
      <c r="U593" s="121">
        <v>0</v>
      </c>
      <c r="V593" s="59" t="str">
        <v>PJ</v>
      </c>
      <c r="W593" s="126" t="str">
        <v>へあ</v>
      </c>
      <c r="X593" s="126" t="str">
        <v>゛ゅ</v>
      </c>
      <c r="Y593" s="127">
        <v>0</v>
      </c>
      <c r="Z593" s="90">
        <v>3</v>
      </c>
    </row>
    <row r="594" spans="1:26" x14ac:dyDescent="0.4">
      <c r="A594" s="52">
        <v>593</v>
      </c>
      <c r="B594" s="51">
        <f t="shared" si="56"/>
        <v>20</v>
      </c>
      <c r="C594" s="50">
        <f t="shared" si="57"/>
        <v>23</v>
      </c>
      <c r="D594" s="64" t="e">
        <f t="shared" si="58"/>
        <v>#N/A</v>
      </c>
      <c r="E594" s="121" cm="1">
        <f t="array" ref="E594">INDEX(InputArea,B594,C594)</f>
        <v>0</v>
      </c>
      <c r="F594" s="59" t="str">
        <f t="shared" si="59"/>
        <v>PK</v>
      </c>
      <c r="G594" s="59" t="str">
        <f t="shared" si="60"/>
        <v>へい</v>
      </c>
      <c r="H594" s="134"/>
      <c r="I594" s="135"/>
      <c r="J594" s="84">
        <f t="shared" si="61"/>
        <v>3</v>
      </c>
      <c r="K594" s="83"/>
      <c r="L594" s="64" t="e">
        <v>#N/A</v>
      </c>
      <c r="M594" s="121">
        <v>0</v>
      </c>
      <c r="N594" s="59" t="str">
        <v>PK</v>
      </c>
      <c r="O594" s="126" t="str">
        <v>へい</v>
      </c>
      <c r="P594" s="126">
        <v>0</v>
      </c>
      <c r="Q594" s="127">
        <v>0</v>
      </c>
      <c r="R594" s="84">
        <v>3</v>
      </c>
      <c r="T594" s="100" t="e">
        <v>#N/A</v>
      </c>
      <c r="U594" s="121">
        <v>0</v>
      </c>
      <c r="V594" s="59" t="str">
        <v>PK</v>
      </c>
      <c r="W594" s="126" t="str">
        <v>へい</v>
      </c>
      <c r="X594" s="126">
        <v>0</v>
      </c>
      <c r="Y594" s="127">
        <v>0</v>
      </c>
      <c r="Z594" s="90">
        <v>3</v>
      </c>
    </row>
    <row r="595" spans="1:26" x14ac:dyDescent="0.4">
      <c r="A595" s="52">
        <v>594</v>
      </c>
      <c r="B595" s="51">
        <f t="shared" si="56"/>
        <v>20</v>
      </c>
      <c r="C595" s="50">
        <f t="shared" si="57"/>
        <v>24</v>
      </c>
      <c r="D595" s="64" t="e">
        <f t="shared" si="58"/>
        <v>#N/A</v>
      </c>
      <c r="E595" s="121" cm="1">
        <f t="array" ref="E595">INDEX(InputArea,B595,C595)</f>
        <v>0</v>
      </c>
      <c r="F595" s="59" t="str">
        <f t="shared" si="59"/>
        <v>PL</v>
      </c>
      <c r="G595" s="59" t="str">
        <f t="shared" si="60"/>
        <v>へう</v>
      </c>
      <c r="H595" s="134"/>
      <c r="I595" s="135"/>
      <c r="J595" s="84">
        <f t="shared" si="61"/>
        <v>3</v>
      </c>
      <c r="K595" s="83"/>
      <c r="L595" s="64" t="e">
        <v>#N/A</v>
      </c>
      <c r="M595" s="121">
        <v>0</v>
      </c>
      <c r="N595" s="59" t="str">
        <v>PL</v>
      </c>
      <c r="O595" s="126" t="str">
        <v>へう</v>
      </c>
      <c r="P595" s="126">
        <v>0</v>
      </c>
      <c r="Q595" s="127">
        <v>0</v>
      </c>
      <c r="R595" s="84">
        <v>3</v>
      </c>
      <c r="T595" s="100" t="e">
        <v>#N/A</v>
      </c>
      <c r="U595" s="121">
        <v>0</v>
      </c>
      <c r="V595" s="59" t="str">
        <v>PL</v>
      </c>
      <c r="W595" s="126" t="str">
        <v>へう</v>
      </c>
      <c r="X595" s="126">
        <v>0</v>
      </c>
      <c r="Y595" s="127">
        <v>0</v>
      </c>
      <c r="Z595" s="90">
        <v>3</v>
      </c>
    </row>
    <row r="596" spans="1:26" x14ac:dyDescent="0.4">
      <c r="A596" s="52">
        <v>595</v>
      </c>
      <c r="B596" s="51">
        <f t="shared" si="56"/>
        <v>20</v>
      </c>
      <c r="C596" s="50">
        <f t="shared" si="57"/>
        <v>25</v>
      </c>
      <c r="D596" s="64" t="e">
        <f t="shared" si="58"/>
        <v>#N/A</v>
      </c>
      <c r="E596" s="121" cm="1">
        <f t="array" ref="E596">INDEX(InputArea,B596,C596)</f>
        <v>0</v>
      </c>
      <c r="F596" s="59" t="str">
        <f t="shared" si="59"/>
        <v>P;</v>
      </c>
      <c r="G596" s="59" t="str">
        <f t="shared" si="60"/>
        <v>へー</v>
      </c>
      <c r="H596" s="134"/>
      <c r="I596" s="135"/>
      <c r="J596" s="84">
        <f t="shared" si="61"/>
        <v>3</v>
      </c>
      <c r="K596" s="83"/>
      <c r="L596" s="64" t="e">
        <v>#N/A</v>
      </c>
      <c r="M596" s="121">
        <v>0</v>
      </c>
      <c r="N596" s="59" t="str">
        <v>P;</v>
      </c>
      <c r="O596" s="126" t="str">
        <v>へー</v>
      </c>
      <c r="P596" s="126">
        <v>0</v>
      </c>
      <c r="Q596" s="127">
        <v>0</v>
      </c>
      <c r="R596" s="84">
        <v>3</v>
      </c>
      <c r="T596" s="100" t="e">
        <v>#N/A</v>
      </c>
      <c r="U596" s="121">
        <v>0</v>
      </c>
      <c r="V596" s="59" t="str">
        <v>P;</v>
      </c>
      <c r="W596" s="126" t="str">
        <v>へー</v>
      </c>
      <c r="X596" s="126">
        <v>0</v>
      </c>
      <c r="Y596" s="127">
        <v>0</v>
      </c>
      <c r="Z596" s="90">
        <v>3</v>
      </c>
    </row>
    <row r="597" spans="1:26" x14ac:dyDescent="0.4">
      <c r="A597" s="52">
        <v>596</v>
      </c>
      <c r="B597" s="51">
        <f t="shared" si="56"/>
        <v>20</v>
      </c>
      <c r="C597" s="50">
        <f t="shared" si="57"/>
        <v>26</v>
      </c>
      <c r="D597" s="64" t="e">
        <f t="shared" si="58"/>
        <v>#N/A</v>
      </c>
      <c r="E597" s="121" cm="1">
        <f t="array" ref="E597">INDEX(InputArea,B597,C597)</f>
        <v>0</v>
      </c>
      <c r="F597" s="59" t="str">
        <f t="shared" si="59"/>
        <v>PN</v>
      </c>
      <c r="G597" s="59" t="str">
        <f t="shared" si="60"/>
        <v>へた</v>
      </c>
      <c r="H597" s="134"/>
      <c r="I597" s="135"/>
      <c r="J597" s="84">
        <f t="shared" si="61"/>
        <v>3</v>
      </c>
      <c r="K597" s="83"/>
      <c r="L597" s="64" t="e">
        <v>#N/A</v>
      </c>
      <c r="M597" s="121">
        <v>0</v>
      </c>
      <c r="N597" s="59" t="str">
        <v>PN</v>
      </c>
      <c r="O597" s="126" t="str">
        <v>へた</v>
      </c>
      <c r="P597" s="126">
        <v>0</v>
      </c>
      <c r="Q597" s="127">
        <v>0</v>
      </c>
      <c r="R597" s="84">
        <v>3</v>
      </c>
      <c r="T597" s="100" t="e">
        <v>#N/A</v>
      </c>
      <c r="U597" s="121">
        <v>0</v>
      </c>
      <c r="V597" s="59" t="str">
        <v>PN</v>
      </c>
      <c r="W597" s="126" t="str">
        <v>へた</v>
      </c>
      <c r="X597" s="126">
        <v>0</v>
      </c>
      <c r="Y597" s="127">
        <v>0</v>
      </c>
      <c r="Z597" s="90">
        <v>3</v>
      </c>
    </row>
    <row r="598" spans="1:26" x14ac:dyDescent="0.4">
      <c r="A598" s="52">
        <v>597</v>
      </c>
      <c r="B598" s="51">
        <f t="shared" si="56"/>
        <v>20</v>
      </c>
      <c r="C598" s="50">
        <f t="shared" si="57"/>
        <v>27</v>
      </c>
      <c r="D598" s="64" t="e">
        <f t="shared" si="58"/>
        <v>#N/A</v>
      </c>
      <c r="E598" s="121" cm="1">
        <f t="array" ref="E598">INDEX(InputArea,B598,C598)</f>
        <v>0</v>
      </c>
      <c r="F598" s="59" t="str">
        <f t="shared" si="59"/>
        <v>PM</v>
      </c>
      <c r="G598" s="59" t="str">
        <f t="shared" si="60"/>
        <v>へな</v>
      </c>
      <c r="H598" s="134" t="s">
        <v>619</v>
      </c>
      <c r="I598" s="135"/>
      <c r="J598" s="84">
        <f t="shared" si="61"/>
        <v>3</v>
      </c>
      <c r="K598" s="83"/>
      <c r="L598" s="64" t="e">
        <v>#N/A</v>
      </c>
      <c r="M598" s="121">
        <v>0</v>
      </c>
      <c r="N598" s="59" t="str">
        <v>PM</v>
      </c>
      <c r="O598" s="126" t="str">
        <v>へな</v>
      </c>
      <c r="P598" s="126" t="str">
        <v>゜ゅ</v>
      </c>
      <c r="Q598" s="127">
        <v>0</v>
      </c>
      <c r="R598" s="84">
        <v>3</v>
      </c>
      <c r="T598" s="100" t="e">
        <v>#N/A</v>
      </c>
      <c r="U598" s="121">
        <v>0</v>
      </c>
      <c r="V598" s="59" t="str">
        <v>PM</v>
      </c>
      <c r="W598" s="126" t="str">
        <v>へな</v>
      </c>
      <c r="X598" s="126" t="str">
        <v>゜ゅ</v>
      </c>
      <c r="Y598" s="127">
        <v>0</v>
      </c>
      <c r="Z598" s="90">
        <v>3</v>
      </c>
    </row>
    <row r="599" spans="1:26" x14ac:dyDescent="0.4">
      <c r="A599" s="52">
        <v>598</v>
      </c>
      <c r="B599" s="51">
        <f t="shared" si="56"/>
        <v>20</v>
      </c>
      <c r="C599" s="50">
        <f t="shared" si="57"/>
        <v>28</v>
      </c>
      <c r="D599" s="64" t="e">
        <f t="shared" si="58"/>
        <v>#N/A</v>
      </c>
      <c r="E599" s="121" cm="1">
        <f t="array" ref="E599">INDEX(InputArea,B599,C599)</f>
        <v>0</v>
      </c>
      <c r="F599" s="59" t="str">
        <f t="shared" si="59"/>
        <v>P,</v>
      </c>
      <c r="G599" s="59" t="str">
        <f t="shared" si="60"/>
        <v>へん</v>
      </c>
      <c r="H599" s="134"/>
      <c r="I599" s="135"/>
      <c r="J599" s="84">
        <f t="shared" si="61"/>
        <v>3</v>
      </c>
      <c r="K599" s="83"/>
      <c r="L599" s="64" t="e">
        <v>#N/A</v>
      </c>
      <c r="M599" s="121">
        <v>0</v>
      </c>
      <c r="N599" s="59" t="str">
        <v>P,</v>
      </c>
      <c r="O599" s="126" t="str">
        <v>へん</v>
      </c>
      <c r="P599" s="126">
        <v>0</v>
      </c>
      <c r="Q599" s="127">
        <v>0</v>
      </c>
      <c r="R599" s="84">
        <v>3</v>
      </c>
      <c r="T599" s="100" t="e">
        <v>#N/A</v>
      </c>
      <c r="U599" s="121">
        <v>0</v>
      </c>
      <c r="V599" s="59" t="str">
        <v>P,</v>
      </c>
      <c r="W599" s="126" t="str">
        <v>へん</v>
      </c>
      <c r="X599" s="126">
        <v>0</v>
      </c>
      <c r="Y599" s="127">
        <v>0</v>
      </c>
      <c r="Z599" s="90">
        <v>3</v>
      </c>
    </row>
    <row r="600" spans="1:26" x14ac:dyDescent="0.4">
      <c r="A600" s="52">
        <v>599</v>
      </c>
      <c r="B600" s="51">
        <f t="shared" si="56"/>
        <v>20</v>
      </c>
      <c r="C600" s="50">
        <f t="shared" si="57"/>
        <v>29</v>
      </c>
      <c r="D600" s="64" t="e">
        <f t="shared" si="58"/>
        <v>#N/A</v>
      </c>
      <c r="E600" s="121" cm="1">
        <f t="array" ref="E600">INDEX(InputArea,B600,C600)</f>
        <v>0</v>
      </c>
      <c r="F600" s="59" t="str">
        <f t="shared" si="59"/>
        <v>P.</v>
      </c>
      <c r="G600" s="59" t="str">
        <f t="shared" si="60"/>
        <v>へら</v>
      </c>
      <c r="H600" s="134"/>
      <c r="I600" s="135"/>
      <c r="J600" s="84">
        <f t="shared" si="61"/>
        <v>3</v>
      </c>
      <c r="K600" s="83"/>
      <c r="L600" s="64" t="e">
        <v>#N/A</v>
      </c>
      <c r="M600" s="121">
        <v>0</v>
      </c>
      <c r="N600" s="59" t="str">
        <v>P.</v>
      </c>
      <c r="O600" s="126" t="str">
        <v>へら</v>
      </c>
      <c r="P600" s="126">
        <v>0</v>
      </c>
      <c r="Q600" s="127">
        <v>0</v>
      </c>
      <c r="R600" s="84">
        <v>3</v>
      </c>
      <c r="T600" s="100" t="e">
        <v>#N/A</v>
      </c>
      <c r="U600" s="121">
        <v>0</v>
      </c>
      <c r="V600" s="59" t="str">
        <v>P.</v>
      </c>
      <c r="W600" s="126" t="str">
        <v>へら</v>
      </c>
      <c r="X600" s="126">
        <v>0</v>
      </c>
      <c r="Y600" s="127">
        <v>0</v>
      </c>
      <c r="Z600" s="90">
        <v>3</v>
      </c>
    </row>
    <row r="601" spans="1:26" x14ac:dyDescent="0.4">
      <c r="A601" s="52">
        <v>600</v>
      </c>
      <c r="B601" s="51">
        <f t="shared" si="56"/>
        <v>20</v>
      </c>
      <c r="C601" s="50">
        <f t="shared" si="57"/>
        <v>30</v>
      </c>
      <c r="D601" s="64" t="e">
        <f t="shared" si="58"/>
        <v>#N/A</v>
      </c>
      <c r="E601" s="121" cm="1">
        <f t="array" ref="E601">INDEX(InputArea,B601,C601)</f>
        <v>0</v>
      </c>
      <c r="F601" s="59" t="str">
        <f t="shared" si="59"/>
        <v>P/</v>
      </c>
      <c r="G601" s="59" t="str">
        <f t="shared" si="60"/>
        <v>へれ</v>
      </c>
      <c r="H601" s="134"/>
      <c r="I601" s="135"/>
      <c r="J601" s="84">
        <f t="shared" si="61"/>
        <v>3</v>
      </c>
      <c r="K601" s="83"/>
      <c r="L601" s="64" t="e">
        <v>#N/A</v>
      </c>
      <c r="M601" s="121">
        <v>0</v>
      </c>
      <c r="N601" s="59" t="str">
        <v>P/</v>
      </c>
      <c r="O601" s="126" t="str">
        <v>へれ</v>
      </c>
      <c r="P601" s="126">
        <v>0</v>
      </c>
      <c r="Q601" s="127">
        <v>0</v>
      </c>
      <c r="R601" s="84">
        <v>3</v>
      </c>
      <c r="T601" s="100" t="e">
        <v>#N/A</v>
      </c>
      <c r="U601" s="121">
        <v>0</v>
      </c>
      <c r="V601" s="59" t="str">
        <v>P/</v>
      </c>
      <c r="W601" s="126" t="str">
        <v>へれ</v>
      </c>
      <c r="X601" s="126">
        <v>0</v>
      </c>
      <c r="Y601" s="127">
        <v>0</v>
      </c>
      <c r="Z601" s="90">
        <v>3</v>
      </c>
    </row>
    <row r="602" spans="1:26" x14ac:dyDescent="0.4">
      <c r="A602" s="52">
        <v>601</v>
      </c>
      <c r="B602" s="51">
        <f t="shared" si="56"/>
        <v>21</v>
      </c>
      <c r="C602" s="50">
        <f t="shared" si="57"/>
        <v>1</v>
      </c>
      <c r="D602" s="64" t="e">
        <f t="shared" si="58"/>
        <v>#N/A</v>
      </c>
      <c r="E602" s="121" cm="1">
        <f t="array" ref="E602">INDEX(InputArea,B602,C602)</f>
        <v>0</v>
      </c>
      <c r="F602" s="59" t="str">
        <f t="shared" si="59"/>
        <v>HQ</v>
      </c>
      <c r="G602" s="59" t="str">
        <f t="shared" si="60"/>
        <v>くヴ</v>
      </c>
      <c r="H602" s="137" t="s">
        <v>239</v>
      </c>
      <c r="I602" s="135"/>
      <c r="J602" s="84">
        <f t="shared" si="61"/>
        <v>2</v>
      </c>
      <c r="K602" s="83"/>
      <c r="L602" s="64" t="e">
        <v>#N/A</v>
      </c>
      <c r="M602" s="121">
        <v>0</v>
      </c>
      <c r="N602" s="59" t="str">
        <v>HQ</v>
      </c>
      <c r="O602" s="126" t="str">
        <v>くヴ</v>
      </c>
      <c r="P602" s="126" t="str">
        <v>ゃ</v>
      </c>
      <c r="Q602" s="127">
        <v>0</v>
      </c>
      <c r="R602" s="84">
        <v>2</v>
      </c>
      <c r="T602" s="100" t="e">
        <v>#N/A</v>
      </c>
      <c r="U602" s="121">
        <v>0</v>
      </c>
      <c r="V602" s="59" t="str">
        <v>HQ</v>
      </c>
      <c r="W602" s="126" t="str">
        <v>くヴ</v>
      </c>
      <c r="X602" s="126" t="str">
        <v>ゃ</v>
      </c>
      <c r="Y602" s="127">
        <v>0</v>
      </c>
      <c r="Z602" s="90">
        <v>2</v>
      </c>
    </row>
    <row r="603" spans="1:26" x14ac:dyDescent="0.4">
      <c r="A603" s="52">
        <v>602</v>
      </c>
      <c r="B603" s="51">
        <f t="shared" si="56"/>
        <v>21</v>
      </c>
      <c r="C603" s="50">
        <f t="shared" si="57"/>
        <v>2</v>
      </c>
      <c r="D603" s="64" t="e">
        <f t="shared" si="58"/>
        <v>#N/A</v>
      </c>
      <c r="E603" s="121" cm="1">
        <f t="array" ref="E603">INDEX(InputArea,B603,C603)</f>
        <v>0</v>
      </c>
      <c r="F603" s="59" t="str">
        <f t="shared" si="59"/>
        <v>HW</v>
      </c>
      <c r="G603" s="59" t="str">
        <f t="shared" si="60"/>
        <v>くき</v>
      </c>
      <c r="H603" s="137" t="s">
        <v>247</v>
      </c>
      <c r="I603" s="135"/>
      <c r="J603" s="84">
        <f t="shared" si="61"/>
        <v>2</v>
      </c>
      <c r="K603" s="83"/>
      <c r="L603" s="64" t="e">
        <v>#N/A</v>
      </c>
      <c r="M603" s="121">
        <v>0</v>
      </c>
      <c r="N603" s="59" t="str">
        <v>HW</v>
      </c>
      <c r="O603" s="126" t="str">
        <v>くき</v>
      </c>
      <c r="P603" s="126" t="str">
        <v>きゃ</v>
      </c>
      <c r="Q603" s="127">
        <v>0</v>
      </c>
      <c r="R603" s="84">
        <v>2</v>
      </c>
      <c r="T603" s="100" t="e">
        <v>#N/A</v>
      </c>
      <c r="U603" s="121">
        <v>0</v>
      </c>
      <c r="V603" s="59" t="str">
        <v>HW</v>
      </c>
      <c r="W603" s="126" t="str">
        <v>くき</v>
      </c>
      <c r="X603" s="126" t="str">
        <v>きゃ</v>
      </c>
      <c r="Y603" s="127">
        <v>0</v>
      </c>
      <c r="Z603" s="90">
        <v>2</v>
      </c>
    </row>
    <row r="604" spans="1:26" x14ac:dyDescent="0.4">
      <c r="A604" s="52">
        <v>603</v>
      </c>
      <c r="B604" s="51">
        <f t="shared" si="56"/>
        <v>21</v>
      </c>
      <c r="C604" s="50">
        <f t="shared" si="57"/>
        <v>3</v>
      </c>
      <c r="D604" s="64" t="e">
        <f t="shared" si="58"/>
        <v>#N/A</v>
      </c>
      <c r="E604" s="121" cm="1">
        <f t="array" ref="E604">INDEX(InputArea,B604,C604)</f>
        <v>0</v>
      </c>
      <c r="F604" s="59" t="str">
        <f t="shared" si="59"/>
        <v>HE</v>
      </c>
      <c r="G604" s="59" t="str">
        <f t="shared" si="60"/>
        <v>くて</v>
      </c>
      <c r="H604" s="137" t="s">
        <v>251</v>
      </c>
      <c r="I604" s="136" t="s">
        <v>510</v>
      </c>
      <c r="J604" s="84">
        <f t="shared" si="61"/>
        <v>2</v>
      </c>
      <c r="K604" s="83"/>
      <c r="L604" s="64" t="e">
        <v>#N/A</v>
      </c>
      <c r="M604" s="121">
        <v>0</v>
      </c>
      <c r="N604" s="59" t="str">
        <v>HE</v>
      </c>
      <c r="O604" s="126" t="str">
        <v>くて</v>
      </c>
      <c r="P604" s="126" t="str">
        <v>りゃ</v>
      </c>
      <c r="Q604" s="127" t="str">
        <v>へ</v>
      </c>
      <c r="R604" s="84">
        <v>2</v>
      </c>
      <c r="T604" s="100" t="e">
        <v>#N/A</v>
      </c>
      <c r="U604" s="121">
        <v>0</v>
      </c>
      <c r="V604" s="59" t="str">
        <v>HE</v>
      </c>
      <c r="W604" s="126" t="str">
        <v>くて</v>
      </c>
      <c r="X604" s="126" t="str">
        <v>りゃ</v>
      </c>
      <c r="Y604" s="127" t="str">
        <v>へ</v>
      </c>
      <c r="Z604" s="90">
        <v>2</v>
      </c>
    </row>
    <row r="605" spans="1:26" x14ac:dyDescent="0.4">
      <c r="A605" s="52">
        <v>604</v>
      </c>
      <c r="B605" s="51">
        <f t="shared" si="56"/>
        <v>21</v>
      </c>
      <c r="C605" s="50">
        <f t="shared" si="57"/>
        <v>4</v>
      </c>
      <c r="D605" s="64" t="e">
        <f t="shared" si="58"/>
        <v>#N/A</v>
      </c>
      <c r="E605" s="121" cm="1">
        <f t="array" ref="E605">INDEX(InputArea,B605,C605)</f>
        <v>0</v>
      </c>
      <c r="F605" s="59" t="str">
        <f t="shared" si="59"/>
        <v>HR</v>
      </c>
      <c r="G605" s="59" t="str">
        <f t="shared" si="60"/>
        <v>くし</v>
      </c>
      <c r="H605" s="137" t="s">
        <v>255</v>
      </c>
      <c r="I605" s="135"/>
      <c r="J605" s="84">
        <f t="shared" si="61"/>
        <v>2</v>
      </c>
      <c r="K605" s="83"/>
      <c r="L605" s="64" t="e">
        <v>#N/A</v>
      </c>
      <c r="M605" s="121">
        <v>0</v>
      </c>
      <c r="N605" s="59" t="str">
        <v>HR</v>
      </c>
      <c r="O605" s="126" t="str">
        <v>くし</v>
      </c>
      <c r="P605" s="126" t="str">
        <v>しゃ</v>
      </c>
      <c r="Q605" s="127">
        <v>0</v>
      </c>
      <c r="R605" s="84">
        <v>2</v>
      </c>
      <c r="T605" s="100" t="e">
        <v>#N/A</v>
      </c>
      <c r="U605" s="121">
        <v>0</v>
      </c>
      <c r="V605" s="59" t="str">
        <v>HR</v>
      </c>
      <c r="W605" s="126" t="str">
        <v>くし</v>
      </c>
      <c r="X605" s="126" t="str">
        <v>しゃ</v>
      </c>
      <c r="Y605" s="127">
        <v>0</v>
      </c>
      <c r="Z605" s="90">
        <v>2</v>
      </c>
    </row>
    <row r="606" spans="1:26" x14ac:dyDescent="0.4">
      <c r="A606" s="52">
        <v>605</v>
      </c>
      <c r="B606" s="51">
        <f t="shared" si="56"/>
        <v>21</v>
      </c>
      <c r="C606" s="50">
        <f t="shared" si="57"/>
        <v>5</v>
      </c>
      <c r="D606" s="64" t="e">
        <f t="shared" si="58"/>
        <v>#N/A</v>
      </c>
      <c r="E606" s="121" cm="1">
        <f t="array" ref="E606">INDEX(InputArea,B606,C606)</f>
        <v>0</v>
      </c>
      <c r="F606" s="59" t="str">
        <f t="shared" si="59"/>
        <v>HT</v>
      </c>
      <c r="G606" s="59" t="str">
        <f t="shared" si="60"/>
        <v>く←</v>
      </c>
      <c r="H606" s="134"/>
      <c r="I606" s="135"/>
      <c r="J606" s="84">
        <f t="shared" si="61"/>
        <v>2</v>
      </c>
      <c r="K606" s="83"/>
      <c r="L606" s="64" t="e">
        <v>#N/A</v>
      </c>
      <c r="M606" s="121">
        <v>0</v>
      </c>
      <c r="N606" s="59" t="str">
        <v>HT</v>
      </c>
      <c r="O606" s="126" t="str">
        <v>く←</v>
      </c>
      <c r="P606" s="126">
        <v>0</v>
      </c>
      <c r="Q606" s="127">
        <v>0</v>
      </c>
      <c r="R606" s="84">
        <v>2</v>
      </c>
      <c r="T606" s="100" t="e">
        <v>#N/A</v>
      </c>
      <c r="U606" s="121">
        <v>0</v>
      </c>
      <c r="V606" s="59" t="str">
        <v>HT</v>
      </c>
      <c r="W606" s="126" t="str">
        <v>く←</v>
      </c>
      <c r="X606" s="126">
        <v>0</v>
      </c>
      <c r="Y606" s="127">
        <v>0</v>
      </c>
      <c r="Z606" s="90">
        <v>2</v>
      </c>
    </row>
    <row r="607" spans="1:26" x14ac:dyDescent="0.4">
      <c r="A607" s="52">
        <v>606</v>
      </c>
      <c r="B607" s="51">
        <f t="shared" si="56"/>
        <v>21</v>
      </c>
      <c r="C607" s="50">
        <f t="shared" si="57"/>
        <v>6</v>
      </c>
      <c r="D607" s="64" t="e">
        <f t="shared" si="58"/>
        <v>#N/A</v>
      </c>
      <c r="E607" s="121" cm="1">
        <f t="array" ref="E607">INDEX(InputArea,B607,C607)</f>
        <v>0</v>
      </c>
      <c r="F607" s="59" t="str">
        <f t="shared" si="59"/>
        <v>HA</v>
      </c>
      <c r="G607" s="59" t="str">
        <f t="shared" si="60"/>
        <v>くろ</v>
      </c>
      <c r="H607" s="134"/>
      <c r="I607" s="136" t="s">
        <v>511</v>
      </c>
      <c r="J607" s="84">
        <f t="shared" si="61"/>
        <v>2</v>
      </c>
      <c r="K607" s="83"/>
      <c r="L607" s="64" t="e">
        <v>#N/A</v>
      </c>
      <c r="M607" s="121">
        <v>0</v>
      </c>
      <c r="N607" s="59" t="str">
        <v>HA</v>
      </c>
      <c r="O607" s="126" t="str">
        <v>くろ</v>
      </c>
      <c r="P607" s="126">
        <v>0</v>
      </c>
      <c r="Q607" s="127" t="str">
        <v>は</v>
      </c>
      <c r="R607" s="84">
        <v>2</v>
      </c>
      <c r="T607" s="100" t="e">
        <v>#N/A</v>
      </c>
      <c r="U607" s="121">
        <v>0</v>
      </c>
      <c r="V607" s="59" t="str">
        <v>HA</v>
      </c>
      <c r="W607" s="126" t="str">
        <v>くろ</v>
      </c>
      <c r="X607" s="126">
        <v>0</v>
      </c>
      <c r="Y607" s="127" t="str">
        <v>は</v>
      </c>
      <c r="Z607" s="90">
        <v>2</v>
      </c>
    </row>
    <row r="608" spans="1:26" x14ac:dyDescent="0.4">
      <c r="A608" s="52">
        <v>607</v>
      </c>
      <c r="B608" s="51">
        <f t="shared" si="56"/>
        <v>21</v>
      </c>
      <c r="C608" s="50">
        <f t="shared" si="57"/>
        <v>7</v>
      </c>
      <c r="D608" s="64" t="e">
        <f t="shared" si="58"/>
        <v>#N/A</v>
      </c>
      <c r="E608" s="121" cm="1">
        <f t="array" ref="E608">INDEX(InputArea,B608,C608)</f>
        <v>0</v>
      </c>
      <c r="F608" s="59" t="str">
        <f t="shared" si="59"/>
        <v>HS</v>
      </c>
      <c r="G608" s="59" t="str">
        <f t="shared" si="60"/>
        <v>くけ</v>
      </c>
      <c r="H608" s="134"/>
      <c r="I608" s="135"/>
      <c r="J608" s="84">
        <f t="shared" si="61"/>
        <v>2</v>
      </c>
      <c r="K608" s="83"/>
      <c r="L608" s="64" t="e">
        <v>#N/A</v>
      </c>
      <c r="M608" s="121">
        <v>0</v>
      </c>
      <c r="N608" s="59" t="str">
        <v>HS</v>
      </c>
      <c r="O608" s="126" t="str">
        <v>くけ</v>
      </c>
      <c r="P608" s="126">
        <v>0</v>
      </c>
      <c r="Q608" s="127">
        <v>0</v>
      </c>
      <c r="R608" s="84">
        <v>2</v>
      </c>
      <c r="T608" s="100" t="e">
        <v>#N/A</v>
      </c>
      <c r="U608" s="121">
        <v>0</v>
      </c>
      <c r="V608" s="59" t="str">
        <v>HS</v>
      </c>
      <c r="W608" s="126" t="str">
        <v>くけ</v>
      </c>
      <c r="X608" s="126">
        <v>0</v>
      </c>
      <c r="Y608" s="127">
        <v>0</v>
      </c>
      <c r="Z608" s="90">
        <v>2</v>
      </c>
    </row>
    <row r="609" spans="1:26" x14ac:dyDescent="0.4">
      <c r="A609" s="52">
        <v>608</v>
      </c>
      <c r="B609" s="51">
        <f t="shared" si="56"/>
        <v>21</v>
      </c>
      <c r="C609" s="50">
        <f t="shared" si="57"/>
        <v>8</v>
      </c>
      <c r="D609" s="64" t="e">
        <f t="shared" si="58"/>
        <v>#N/A</v>
      </c>
      <c r="E609" s="121" cm="1">
        <f t="array" ref="E609">INDEX(InputArea,B609,C609)</f>
        <v>0</v>
      </c>
      <c r="F609" s="59" t="str">
        <f t="shared" si="59"/>
        <v>HD</v>
      </c>
      <c r="G609" s="59" t="str">
        <f t="shared" si="60"/>
        <v>くと</v>
      </c>
      <c r="H609" s="137" t="s">
        <v>261</v>
      </c>
      <c r="I609" s="135"/>
      <c r="J609" s="84">
        <f t="shared" si="61"/>
        <v>2</v>
      </c>
      <c r="K609" s="83"/>
      <c r="L609" s="64" t="e">
        <v>#N/A</v>
      </c>
      <c r="M609" s="121">
        <v>0</v>
      </c>
      <c r="N609" s="59" t="str">
        <v>HD</v>
      </c>
      <c r="O609" s="126" t="str">
        <v>くと</v>
      </c>
      <c r="P609" s="126" t="str">
        <v>にゃ</v>
      </c>
      <c r="Q609" s="127">
        <v>0</v>
      </c>
      <c r="R609" s="84">
        <v>2</v>
      </c>
      <c r="T609" s="100" t="e">
        <v>#N/A</v>
      </c>
      <c r="U609" s="121">
        <v>0</v>
      </c>
      <c r="V609" s="59" t="str">
        <v>HD</v>
      </c>
      <c r="W609" s="126" t="str">
        <v>くと</v>
      </c>
      <c r="X609" s="126" t="str">
        <v>にゃ</v>
      </c>
      <c r="Y609" s="127">
        <v>0</v>
      </c>
      <c r="Z609" s="90">
        <v>2</v>
      </c>
    </row>
    <row r="610" spans="1:26" x14ac:dyDescent="0.4">
      <c r="A610" s="52">
        <v>609</v>
      </c>
      <c r="B610" s="51">
        <f t="shared" si="56"/>
        <v>21</v>
      </c>
      <c r="C610" s="50">
        <f t="shared" si="57"/>
        <v>9</v>
      </c>
      <c r="D610" s="64" t="e">
        <f t="shared" si="58"/>
        <v>#N/A</v>
      </c>
      <c r="E610" s="121" cm="1">
        <f t="array" ref="E610">INDEX(InputArea,B610,C610)</f>
        <v>0</v>
      </c>
      <c r="F610" s="59" t="str">
        <f t="shared" si="59"/>
        <v>HF</v>
      </c>
      <c r="G610" s="59" t="str">
        <f t="shared" si="60"/>
        <v>くか</v>
      </c>
      <c r="H610" s="137" t="s">
        <v>263</v>
      </c>
      <c r="I610" s="135"/>
      <c r="J610" s="84">
        <f t="shared" si="61"/>
        <v>2</v>
      </c>
      <c r="K610" s="83"/>
      <c r="L610" s="64" t="e">
        <v>#N/A</v>
      </c>
      <c r="M610" s="121">
        <v>0</v>
      </c>
      <c r="N610" s="59" t="str">
        <v>HF</v>
      </c>
      <c r="O610" s="126" t="str">
        <v>くか</v>
      </c>
      <c r="P610" s="126" t="str">
        <v>ぐ</v>
      </c>
      <c r="Q610" s="127">
        <v>0</v>
      </c>
      <c r="R610" s="84">
        <v>2</v>
      </c>
      <c r="T610" s="100" t="e">
        <v>#N/A</v>
      </c>
      <c r="U610" s="121">
        <v>0</v>
      </c>
      <c r="V610" s="59" t="str">
        <v>HF</v>
      </c>
      <c r="W610" s="126" t="str">
        <v>くか</v>
      </c>
      <c r="X610" s="126" t="str">
        <v>ぐ</v>
      </c>
      <c r="Y610" s="127">
        <v>0</v>
      </c>
      <c r="Z610" s="90">
        <v>2</v>
      </c>
    </row>
    <row r="611" spans="1:26" x14ac:dyDescent="0.4">
      <c r="A611" s="52">
        <v>610</v>
      </c>
      <c r="B611" s="51">
        <f t="shared" si="56"/>
        <v>21</v>
      </c>
      <c r="C611" s="50">
        <f t="shared" si="57"/>
        <v>10</v>
      </c>
      <c r="D611" s="64" t="e">
        <f t="shared" si="58"/>
        <v>#N/A</v>
      </c>
      <c r="E611" s="121" cm="1">
        <f t="array" ref="E611">INDEX(InputArea,B611,C611)</f>
        <v>0</v>
      </c>
      <c r="F611" s="59" t="str">
        <f t="shared" si="59"/>
        <v>HG</v>
      </c>
      <c r="G611" s="59" t="str">
        <f t="shared" si="60"/>
        <v>くっ</v>
      </c>
      <c r="H611" s="137" t="s">
        <v>287</v>
      </c>
      <c r="I611" s="135"/>
      <c r="J611" s="84">
        <f t="shared" si="61"/>
        <v>2</v>
      </c>
      <c r="K611" s="83"/>
      <c r="L611" s="64" t="e">
        <v>#N/A</v>
      </c>
      <c r="M611" s="121">
        <v>0</v>
      </c>
      <c r="N611" s="59" t="str">
        <v>HG</v>
      </c>
      <c r="O611" s="126" t="str">
        <v>くっ</v>
      </c>
      <c r="P611" s="126" t="str">
        <v>ちゃ</v>
      </c>
      <c r="Q611" s="127">
        <v>0</v>
      </c>
      <c r="R611" s="84">
        <v>2</v>
      </c>
      <c r="T611" s="100" t="e">
        <v>#N/A</v>
      </c>
      <c r="U611" s="121">
        <v>0</v>
      </c>
      <c r="V611" s="59" t="str">
        <v>HG</v>
      </c>
      <c r="W611" s="126" t="str">
        <v>くっ</v>
      </c>
      <c r="X611" s="126" t="str">
        <v>ちゃ</v>
      </c>
      <c r="Y611" s="127">
        <v>0</v>
      </c>
      <c r="Z611" s="90">
        <v>2</v>
      </c>
    </row>
    <row r="612" spans="1:26" x14ac:dyDescent="0.4">
      <c r="A612" s="52">
        <v>611</v>
      </c>
      <c r="B612" s="51">
        <f t="shared" si="56"/>
        <v>21</v>
      </c>
      <c r="C612" s="50">
        <f t="shared" si="57"/>
        <v>11</v>
      </c>
      <c r="D612" s="64" t="e">
        <f t="shared" si="58"/>
        <v>#N/A</v>
      </c>
      <c r="E612" s="121" cm="1">
        <f t="array" ref="E612">INDEX(InputArea,B612,C612)</f>
        <v>0</v>
      </c>
      <c r="F612" s="59" t="str">
        <f t="shared" si="59"/>
        <v>HZ</v>
      </c>
      <c r="G612" s="59" t="str">
        <f t="shared" si="60"/>
        <v>くほ</v>
      </c>
      <c r="H612" s="134"/>
      <c r="I612" s="135"/>
      <c r="J612" s="84">
        <f t="shared" si="61"/>
        <v>2</v>
      </c>
      <c r="K612" s="83"/>
      <c r="L612" s="64" t="e">
        <v>#N/A</v>
      </c>
      <c r="M612" s="121">
        <v>0</v>
      </c>
      <c r="N612" s="59" t="str">
        <v>HZ</v>
      </c>
      <c r="O612" s="126" t="str">
        <v>くほ</v>
      </c>
      <c r="P612" s="126">
        <v>0</v>
      </c>
      <c r="Q612" s="127">
        <v>0</v>
      </c>
      <c r="R612" s="84">
        <v>2</v>
      </c>
      <c r="T612" s="100" t="e">
        <v>#N/A</v>
      </c>
      <c r="U612" s="121">
        <v>0</v>
      </c>
      <c r="V612" s="59" t="str">
        <v>HZ</v>
      </c>
      <c r="W612" s="126" t="str">
        <v>くほ</v>
      </c>
      <c r="X612" s="126">
        <v>0</v>
      </c>
      <c r="Y612" s="127">
        <v>0</v>
      </c>
      <c r="Z612" s="90">
        <v>2</v>
      </c>
    </row>
    <row r="613" spans="1:26" x14ac:dyDescent="0.4">
      <c r="A613" s="52">
        <v>612</v>
      </c>
      <c r="B613" s="51">
        <f t="shared" si="56"/>
        <v>21</v>
      </c>
      <c r="C613" s="50">
        <f t="shared" si="57"/>
        <v>12</v>
      </c>
      <c r="D613" s="64" t="e">
        <f t="shared" si="58"/>
        <v>#N/A</v>
      </c>
      <c r="E613" s="121" cm="1">
        <f t="array" ref="E613">INDEX(InputArea,B613,C613)</f>
        <v>0</v>
      </c>
      <c r="F613" s="59" t="str">
        <f t="shared" si="59"/>
        <v>HX</v>
      </c>
      <c r="G613" s="59" t="str">
        <f t="shared" si="60"/>
        <v>くひ</v>
      </c>
      <c r="H613" s="137" t="s">
        <v>274</v>
      </c>
      <c r="I613" s="135"/>
      <c r="J613" s="84">
        <f t="shared" si="61"/>
        <v>2</v>
      </c>
      <c r="K613" s="83"/>
      <c r="L613" s="64" t="e">
        <v>#N/A</v>
      </c>
      <c r="M613" s="121">
        <v>0</v>
      </c>
      <c r="N613" s="59" t="str">
        <v>HX</v>
      </c>
      <c r="O613" s="126" t="str">
        <v>くひ</v>
      </c>
      <c r="P613" s="126" t="str">
        <v>ひゃ</v>
      </c>
      <c r="Q613" s="127">
        <v>0</v>
      </c>
      <c r="R613" s="84">
        <v>2</v>
      </c>
      <c r="T613" s="100" t="e">
        <v>#N/A</v>
      </c>
      <c r="U613" s="121">
        <v>0</v>
      </c>
      <c r="V613" s="59" t="str">
        <v>HX</v>
      </c>
      <c r="W613" s="126" t="str">
        <v>くひ</v>
      </c>
      <c r="X613" s="126" t="str">
        <v>ひゃ</v>
      </c>
      <c r="Y613" s="127">
        <v>0</v>
      </c>
      <c r="Z613" s="90">
        <v>2</v>
      </c>
    </row>
    <row r="614" spans="1:26" x14ac:dyDescent="0.4">
      <c r="A614" s="52">
        <v>613</v>
      </c>
      <c r="B614" s="51">
        <f t="shared" si="56"/>
        <v>21</v>
      </c>
      <c r="C614" s="50">
        <f t="shared" si="57"/>
        <v>13</v>
      </c>
      <c r="D614" s="64" t="e">
        <f t="shared" si="58"/>
        <v>#N/A</v>
      </c>
      <c r="E614" s="121" cm="1">
        <f t="array" ref="E614">INDEX(InputArea,B614,C614)</f>
        <v>0</v>
      </c>
      <c r="F614" s="59" t="str">
        <f t="shared" si="59"/>
        <v>HC</v>
      </c>
      <c r="G614" s="59" t="str">
        <f t="shared" si="60"/>
        <v>くは</v>
      </c>
      <c r="H614" s="134"/>
      <c r="I614" s="135"/>
      <c r="J614" s="84">
        <f t="shared" si="61"/>
        <v>2</v>
      </c>
      <c r="K614" s="83"/>
      <c r="L614" s="64" t="e">
        <v>#N/A</v>
      </c>
      <c r="M614" s="121">
        <v>0</v>
      </c>
      <c r="N614" s="59" t="str">
        <v>HC</v>
      </c>
      <c r="O614" s="126" t="str">
        <v>くは</v>
      </c>
      <c r="P614" s="126">
        <v>0</v>
      </c>
      <c r="Q614" s="127">
        <v>0</v>
      </c>
      <c r="R614" s="84">
        <v>2</v>
      </c>
      <c r="T614" s="100" t="e">
        <v>#N/A</v>
      </c>
      <c r="U614" s="121">
        <v>0</v>
      </c>
      <c r="V614" s="59" t="str">
        <v>HC</v>
      </c>
      <c r="W614" s="126" t="str">
        <v>くは</v>
      </c>
      <c r="X614" s="126">
        <v>0</v>
      </c>
      <c r="Y614" s="127">
        <v>0</v>
      </c>
      <c r="Z614" s="90">
        <v>2</v>
      </c>
    </row>
    <row r="615" spans="1:26" x14ac:dyDescent="0.4">
      <c r="A615" s="52">
        <v>614</v>
      </c>
      <c r="B615" s="51">
        <f t="shared" si="56"/>
        <v>21</v>
      </c>
      <c r="C615" s="50">
        <f t="shared" si="57"/>
        <v>14</v>
      </c>
      <c r="D615" s="64" t="e">
        <f t="shared" si="58"/>
        <v>#N/A</v>
      </c>
      <c r="E615" s="121" cm="1">
        <f t="array" ref="E615">INDEX(InputArea,B615,C615)</f>
        <v>0</v>
      </c>
      <c r="F615" s="59" t="str">
        <f t="shared" si="59"/>
        <v>HV</v>
      </c>
      <c r="G615" s="59" t="str">
        <f t="shared" si="60"/>
        <v>くこ</v>
      </c>
      <c r="H615" s="134"/>
      <c r="I615" s="135"/>
      <c r="J615" s="84">
        <f t="shared" si="61"/>
        <v>2</v>
      </c>
      <c r="K615" s="83"/>
      <c r="L615" s="64" t="e">
        <v>#N/A</v>
      </c>
      <c r="M615" s="121">
        <v>0</v>
      </c>
      <c r="N615" s="59" t="str">
        <v>HV</v>
      </c>
      <c r="O615" s="126" t="str">
        <v>くこ</v>
      </c>
      <c r="P615" s="126">
        <v>0</v>
      </c>
      <c r="Q615" s="127">
        <v>0</v>
      </c>
      <c r="R615" s="84">
        <v>2</v>
      </c>
      <c r="T615" s="100" t="e">
        <v>#N/A</v>
      </c>
      <c r="U615" s="121">
        <v>0</v>
      </c>
      <c r="V615" s="59" t="str">
        <v>HV</v>
      </c>
      <c r="W615" s="126" t="str">
        <v>くこ</v>
      </c>
      <c r="X615" s="126">
        <v>0</v>
      </c>
      <c r="Y615" s="127">
        <v>0</v>
      </c>
      <c r="Z615" s="90">
        <v>2</v>
      </c>
    </row>
    <row r="616" spans="1:26" x14ac:dyDescent="0.4">
      <c r="A616" s="52">
        <v>615</v>
      </c>
      <c r="B616" s="51">
        <f t="shared" si="56"/>
        <v>21</v>
      </c>
      <c r="C616" s="50">
        <f t="shared" si="57"/>
        <v>15</v>
      </c>
      <c r="D616" s="64" t="e">
        <f t="shared" si="58"/>
        <v>#N/A</v>
      </c>
      <c r="E616" s="121" cm="1">
        <f t="array" ref="E616">INDEX(InputArea,B616,C616)</f>
        <v>0</v>
      </c>
      <c r="F616" s="59" t="str">
        <f t="shared" si="59"/>
        <v>HB</v>
      </c>
      <c r="G616" s="59" t="str">
        <f t="shared" si="60"/>
        <v>くそ</v>
      </c>
      <c r="H616" s="137" t="s">
        <v>280</v>
      </c>
      <c r="I616" s="135"/>
      <c r="J616" s="84">
        <f t="shared" si="61"/>
        <v>2</v>
      </c>
      <c r="K616" s="83"/>
      <c r="L616" s="64" t="e">
        <v>#N/A</v>
      </c>
      <c r="M616" s="121">
        <v>0</v>
      </c>
      <c r="N616" s="59" t="str">
        <v>HB</v>
      </c>
      <c r="O616" s="126" t="str">
        <v>くそ</v>
      </c>
      <c r="P616" s="126" t="str">
        <v>みゃ</v>
      </c>
      <c r="Q616" s="127">
        <v>0</v>
      </c>
      <c r="R616" s="84">
        <v>2</v>
      </c>
      <c r="T616" s="100" t="e">
        <v>#N/A</v>
      </c>
      <c r="U616" s="121">
        <v>0</v>
      </c>
      <c r="V616" s="59" t="str">
        <v>HB</v>
      </c>
      <c r="W616" s="126" t="str">
        <v>くそ</v>
      </c>
      <c r="X616" s="126" t="str">
        <v>みゃ</v>
      </c>
      <c r="Y616" s="127">
        <v>0</v>
      </c>
      <c r="Z616" s="90">
        <v>2</v>
      </c>
    </row>
    <row r="617" spans="1:26" x14ac:dyDescent="0.4">
      <c r="A617" s="52">
        <v>616</v>
      </c>
      <c r="B617" s="51">
        <f t="shared" si="56"/>
        <v>21</v>
      </c>
      <c r="C617" s="50">
        <f t="shared" si="57"/>
        <v>16</v>
      </c>
      <c r="D617" s="64" t="e">
        <f t="shared" si="58"/>
        <v>#N/A</v>
      </c>
      <c r="E617" s="121" cm="1">
        <f t="array" ref="E617">INDEX(InputArea,B617,C617)</f>
        <v>0</v>
      </c>
      <c r="F617" s="59" t="str">
        <f t="shared" si="59"/>
        <v>HY</v>
      </c>
      <c r="G617" s="59" t="str">
        <f t="shared" si="60"/>
        <v>く→</v>
      </c>
      <c r="H617" s="134"/>
      <c r="I617" s="136" t="s">
        <v>512</v>
      </c>
      <c r="J617" s="84">
        <f t="shared" si="61"/>
        <v>3</v>
      </c>
      <c r="K617" s="83"/>
      <c r="L617" s="64" t="e">
        <v>#N/A</v>
      </c>
      <c r="M617" s="121">
        <v>0</v>
      </c>
      <c r="N617" s="59" t="str">
        <v>HY</v>
      </c>
      <c r="O617" s="126" t="str">
        <v>く→</v>
      </c>
      <c r="P617" s="126">
        <v>0</v>
      </c>
      <c r="Q617" s="127" t="str">
        <v>ｈｙ</v>
      </c>
      <c r="R617" s="84">
        <v>3</v>
      </c>
      <c r="T617" s="100" t="e">
        <v>#N/A</v>
      </c>
      <c r="U617" s="121">
        <v>0</v>
      </c>
      <c r="V617" s="59" t="str">
        <v>HY</v>
      </c>
      <c r="W617" s="126" t="str">
        <v>く→</v>
      </c>
      <c r="X617" s="126">
        <v>0</v>
      </c>
      <c r="Y617" s="127" t="str">
        <v>ｈｙ</v>
      </c>
      <c r="Z617" s="90">
        <v>3</v>
      </c>
    </row>
    <row r="618" spans="1:26" x14ac:dyDescent="0.4">
      <c r="A618" s="52">
        <v>617</v>
      </c>
      <c r="B618" s="51">
        <f t="shared" si="56"/>
        <v>21</v>
      </c>
      <c r="C618" s="50">
        <f t="shared" si="57"/>
        <v>17</v>
      </c>
      <c r="D618" s="64" t="e">
        <f t="shared" si="58"/>
        <v>#N/A</v>
      </c>
      <c r="E618" s="121" cm="1">
        <f t="array" ref="E618">INDEX(InputArea,B618,C618)</f>
        <v>0</v>
      </c>
      <c r="F618" s="59" t="str">
        <f t="shared" si="59"/>
        <v>HU</v>
      </c>
      <c r="G618" s="59" t="str">
        <f t="shared" si="60"/>
        <v>くBS</v>
      </c>
      <c r="H618" s="134"/>
      <c r="I618" s="136" t="s">
        <v>393</v>
      </c>
      <c r="J618" s="84">
        <f t="shared" si="61"/>
        <v>3</v>
      </c>
      <c r="K618" s="83"/>
      <c r="L618" s="64" t="e">
        <v>#N/A</v>
      </c>
      <c r="M618" s="121">
        <v>0</v>
      </c>
      <c r="N618" s="59" t="str">
        <v>HU</v>
      </c>
      <c r="O618" s="126" t="str">
        <v>くBS</v>
      </c>
      <c r="P618" s="126">
        <v>0</v>
      </c>
      <c r="Q618" s="127" t="str">
        <v>ふ</v>
      </c>
      <c r="R618" s="84">
        <v>3</v>
      </c>
      <c r="T618" s="100" t="e">
        <v>#N/A</v>
      </c>
      <c r="U618" s="121">
        <v>0</v>
      </c>
      <c r="V618" s="59" t="str">
        <v>HU</v>
      </c>
      <c r="W618" s="126" t="str">
        <v>くBS</v>
      </c>
      <c r="X618" s="126">
        <v>0</v>
      </c>
      <c r="Y618" s="127" t="str">
        <v>ふ</v>
      </c>
      <c r="Z618" s="90">
        <v>3</v>
      </c>
    </row>
    <row r="619" spans="1:26" x14ac:dyDescent="0.4">
      <c r="A619" s="52">
        <v>618</v>
      </c>
      <c r="B619" s="51">
        <f t="shared" si="56"/>
        <v>21</v>
      </c>
      <c r="C619" s="50">
        <f t="shared" si="57"/>
        <v>18</v>
      </c>
      <c r="D619" s="64" t="e">
        <f t="shared" si="58"/>
        <v>#N/A</v>
      </c>
      <c r="E619" s="121" cm="1">
        <f t="array" ref="E619">INDEX(InputArea,B619,C619)</f>
        <v>0</v>
      </c>
      <c r="F619" s="59" t="str">
        <f t="shared" si="59"/>
        <v>HI</v>
      </c>
      <c r="G619" s="59" t="str">
        <f t="shared" si="60"/>
        <v>くる</v>
      </c>
      <c r="H619" s="134"/>
      <c r="I619" s="136" t="s">
        <v>513</v>
      </c>
      <c r="J619" s="84">
        <f t="shared" si="61"/>
        <v>3</v>
      </c>
      <c r="K619" s="83"/>
      <c r="L619" s="64" t="e">
        <v>#N/A</v>
      </c>
      <c r="M619" s="121">
        <v>0</v>
      </c>
      <c r="N619" s="59" t="str">
        <v>HI</v>
      </c>
      <c r="O619" s="126" t="str">
        <v>くる</v>
      </c>
      <c r="P619" s="126">
        <v>0</v>
      </c>
      <c r="Q619" s="127" t="str">
        <v>ひ</v>
      </c>
      <c r="R619" s="84">
        <v>3</v>
      </c>
      <c r="T619" s="100" t="e">
        <v>#N/A</v>
      </c>
      <c r="U619" s="121">
        <v>0</v>
      </c>
      <c r="V619" s="59" t="str">
        <v>HI</v>
      </c>
      <c r="W619" s="126" t="str">
        <v>くる</v>
      </c>
      <c r="X619" s="126">
        <v>0</v>
      </c>
      <c r="Y619" s="127" t="str">
        <v>ひ</v>
      </c>
      <c r="Z619" s="90">
        <v>3</v>
      </c>
    </row>
    <row r="620" spans="1:26" x14ac:dyDescent="0.4">
      <c r="A620" s="52">
        <v>619</v>
      </c>
      <c r="B620" s="51">
        <f t="shared" si="56"/>
        <v>21</v>
      </c>
      <c r="C620" s="50">
        <f t="shared" si="57"/>
        <v>19</v>
      </c>
      <c r="D620" s="64" t="e">
        <f t="shared" si="58"/>
        <v>#N/A</v>
      </c>
      <c r="E620" s="121" cm="1">
        <f t="array" ref="E620">INDEX(InputArea,B620,C620)</f>
        <v>0</v>
      </c>
      <c r="F620" s="59" t="str">
        <f t="shared" si="59"/>
        <v>HO</v>
      </c>
      <c r="G620" s="59" t="str">
        <f t="shared" si="60"/>
        <v>くす</v>
      </c>
      <c r="H620" s="134"/>
      <c r="I620" s="136" t="s">
        <v>514</v>
      </c>
      <c r="J620" s="84">
        <f t="shared" si="61"/>
        <v>3</v>
      </c>
      <c r="K620" s="83"/>
      <c r="L620" s="64" t="e">
        <v>#N/A</v>
      </c>
      <c r="M620" s="121">
        <v>0</v>
      </c>
      <c r="N620" s="59" t="str">
        <v>HO</v>
      </c>
      <c r="O620" s="126" t="str">
        <v>くす</v>
      </c>
      <c r="P620" s="126">
        <v>0</v>
      </c>
      <c r="Q620" s="127" t="str">
        <v>ほ</v>
      </c>
      <c r="R620" s="84">
        <v>3</v>
      </c>
      <c r="T620" s="100" t="e">
        <v>#N/A</v>
      </c>
      <c r="U620" s="121">
        <v>0</v>
      </c>
      <c r="V620" s="59" t="str">
        <v>HO</v>
      </c>
      <c r="W620" s="126" t="str">
        <v>くす</v>
      </c>
      <c r="X620" s="126">
        <v>0</v>
      </c>
      <c r="Y620" s="127" t="str">
        <v>ほ</v>
      </c>
      <c r="Z620" s="90">
        <v>3</v>
      </c>
    </row>
    <row r="621" spans="1:26" x14ac:dyDescent="0.4">
      <c r="A621" s="52">
        <v>620</v>
      </c>
      <c r="B621" s="51">
        <f t="shared" si="56"/>
        <v>21</v>
      </c>
      <c r="C621" s="50">
        <f t="shared" si="57"/>
        <v>20</v>
      </c>
      <c r="D621" s="64" t="e">
        <f t="shared" si="58"/>
        <v>#N/A</v>
      </c>
      <c r="E621" s="121" cm="1">
        <f t="array" ref="E621">INDEX(InputArea,B621,C621)</f>
        <v>0</v>
      </c>
      <c r="F621" s="59" t="str">
        <f t="shared" si="59"/>
        <v>HP</v>
      </c>
      <c r="G621" s="59" t="str">
        <f t="shared" si="60"/>
        <v>くへ</v>
      </c>
      <c r="H621" s="134"/>
      <c r="I621" s="135"/>
      <c r="J621" s="84">
        <f t="shared" si="61"/>
        <v>3</v>
      </c>
      <c r="K621" s="83"/>
      <c r="L621" s="64" t="e">
        <v>#N/A</v>
      </c>
      <c r="M621" s="121">
        <v>0</v>
      </c>
      <c r="N621" s="59" t="str">
        <v>HP</v>
      </c>
      <c r="O621" s="126" t="str">
        <v>くへ</v>
      </c>
      <c r="P621" s="126">
        <v>0</v>
      </c>
      <c r="Q621" s="127">
        <v>0</v>
      </c>
      <c r="R621" s="84">
        <v>3</v>
      </c>
      <c r="T621" s="100" t="e">
        <v>#N/A</v>
      </c>
      <c r="U621" s="121">
        <v>0</v>
      </c>
      <c r="V621" s="59" t="str">
        <v>HP</v>
      </c>
      <c r="W621" s="126" t="str">
        <v>くへ</v>
      </c>
      <c r="X621" s="126">
        <v>0</v>
      </c>
      <c r="Y621" s="127">
        <v>0</v>
      </c>
      <c r="Z621" s="90">
        <v>3</v>
      </c>
    </row>
    <row r="622" spans="1:26" x14ac:dyDescent="0.4">
      <c r="A622" s="52">
        <v>621</v>
      </c>
      <c r="B622" s="51">
        <f t="shared" si="56"/>
        <v>21</v>
      </c>
      <c r="C622" s="50">
        <f t="shared" si="57"/>
        <v>21</v>
      </c>
      <c r="D622" s="64" t="e">
        <f t="shared" si="58"/>
        <v>#N/A</v>
      </c>
      <c r="E622" s="121" cm="1">
        <f t="array" ref="E622">INDEX(InputArea,B622,C622)</f>
        <v>0</v>
      </c>
      <c r="F622" s="59" t="str">
        <f t="shared" si="59"/>
        <v>HH</v>
      </c>
      <c r="G622" s="59" t="str">
        <f t="shared" si="60"/>
        <v>くく</v>
      </c>
      <c r="H622" s="134"/>
      <c r="I622" s="136" t="s">
        <v>515</v>
      </c>
      <c r="J622" s="84">
        <f t="shared" si="61"/>
        <v>3</v>
      </c>
      <c r="K622" s="83"/>
      <c r="L622" s="64" t="e">
        <v>#N/A</v>
      </c>
      <c r="M622" s="121">
        <v>0</v>
      </c>
      <c r="N622" s="59" t="str">
        <v>HH</v>
      </c>
      <c r="O622" s="126" t="str">
        <v>くく</v>
      </c>
      <c r="P622" s="126">
        <v>0</v>
      </c>
      <c r="Q622" s="127" t="str">
        <v>っｈ</v>
      </c>
      <c r="R622" s="84">
        <v>3</v>
      </c>
      <c r="T622" s="100" t="e">
        <v>#N/A</v>
      </c>
      <c r="U622" s="121">
        <v>0</v>
      </c>
      <c r="V622" s="59" t="str">
        <v>HH</v>
      </c>
      <c r="W622" s="126" t="str">
        <v>くく</v>
      </c>
      <c r="X622" s="126">
        <v>0</v>
      </c>
      <c r="Y622" s="127" t="str">
        <v>っｈ</v>
      </c>
      <c r="Z622" s="90">
        <v>3</v>
      </c>
    </row>
    <row r="623" spans="1:26" x14ac:dyDescent="0.4">
      <c r="A623" s="52">
        <v>622</v>
      </c>
      <c r="B623" s="51">
        <f t="shared" si="56"/>
        <v>21</v>
      </c>
      <c r="C623" s="50">
        <f t="shared" si="57"/>
        <v>22</v>
      </c>
      <c r="D623" s="64" t="e">
        <f t="shared" si="58"/>
        <v>#N/A</v>
      </c>
      <c r="E623" s="121" cm="1">
        <f t="array" ref="E623">INDEX(InputArea,B623,C623)</f>
        <v>0</v>
      </c>
      <c r="F623" s="59" t="str">
        <f t="shared" si="59"/>
        <v>HJ</v>
      </c>
      <c r="G623" s="59" t="str">
        <f t="shared" si="60"/>
        <v>くあ</v>
      </c>
      <c r="H623" s="137" t="s">
        <v>289</v>
      </c>
      <c r="I623" s="135"/>
      <c r="J623" s="84">
        <f t="shared" si="61"/>
        <v>3</v>
      </c>
      <c r="K623" s="83"/>
      <c r="L623" s="64" t="e">
        <v>#N/A</v>
      </c>
      <c r="M623" s="121">
        <v>0</v>
      </c>
      <c r="N623" s="59" t="str">
        <v>HJ</v>
      </c>
      <c r="O623" s="126" t="str">
        <v>くあ</v>
      </c>
      <c r="P623" s="126" t="str">
        <v>IME ON</v>
      </c>
      <c r="Q623" s="127">
        <v>0</v>
      </c>
      <c r="R623" s="84">
        <v>3</v>
      </c>
      <c r="T623" s="100" t="e">
        <v>#N/A</v>
      </c>
      <c r="U623" s="121">
        <v>0</v>
      </c>
      <c r="V623" s="59" t="str">
        <v>HJ</v>
      </c>
      <c r="W623" s="126" t="str">
        <v>くあ</v>
      </c>
      <c r="X623" s="126" t="str">
        <v>IME ON</v>
      </c>
      <c r="Y623" s="127">
        <v>0</v>
      </c>
      <c r="Z623" s="90">
        <v>3</v>
      </c>
    </row>
    <row r="624" spans="1:26" x14ac:dyDescent="0.4">
      <c r="A624" s="52">
        <v>623</v>
      </c>
      <c r="B624" s="51">
        <f t="shared" si="56"/>
        <v>21</v>
      </c>
      <c r="C624" s="50">
        <f t="shared" si="57"/>
        <v>23</v>
      </c>
      <c r="D624" s="64" t="e">
        <f t="shared" si="58"/>
        <v>#N/A</v>
      </c>
      <c r="E624" s="121" cm="1">
        <f t="array" ref="E624">INDEX(InputArea,B624,C624)</f>
        <v>0</v>
      </c>
      <c r="F624" s="59" t="str">
        <f t="shared" si="59"/>
        <v>HK</v>
      </c>
      <c r="G624" s="59" t="str">
        <f t="shared" si="60"/>
        <v>くい</v>
      </c>
      <c r="H624" s="134"/>
      <c r="I624" s="135"/>
      <c r="J624" s="84">
        <f t="shared" si="61"/>
        <v>3</v>
      </c>
      <c r="K624" s="83"/>
      <c r="L624" s="64" t="e">
        <v>#N/A</v>
      </c>
      <c r="M624" s="121">
        <v>0</v>
      </c>
      <c r="N624" s="59" t="str">
        <v>HK</v>
      </c>
      <c r="O624" s="126" t="str">
        <v>くい</v>
      </c>
      <c r="P624" s="126">
        <v>0</v>
      </c>
      <c r="Q624" s="127">
        <v>0</v>
      </c>
      <c r="R624" s="84">
        <v>3</v>
      </c>
      <c r="T624" s="100" t="e">
        <v>#N/A</v>
      </c>
      <c r="U624" s="121">
        <v>0</v>
      </c>
      <c r="V624" s="59" t="str">
        <v>HK</v>
      </c>
      <c r="W624" s="126" t="str">
        <v>くい</v>
      </c>
      <c r="X624" s="126">
        <v>0</v>
      </c>
      <c r="Y624" s="127">
        <v>0</v>
      </c>
      <c r="Z624" s="90">
        <v>3</v>
      </c>
    </row>
    <row r="625" spans="1:26" x14ac:dyDescent="0.4">
      <c r="A625" s="52">
        <v>624</v>
      </c>
      <c r="B625" s="51">
        <f t="shared" si="56"/>
        <v>21</v>
      </c>
      <c r="C625" s="50">
        <f t="shared" si="57"/>
        <v>24</v>
      </c>
      <c r="D625" s="64" t="e">
        <f t="shared" si="58"/>
        <v>#N/A</v>
      </c>
      <c r="E625" s="121" cm="1">
        <f t="array" ref="E625">INDEX(InputArea,B625,C625)</f>
        <v>0</v>
      </c>
      <c r="F625" s="59" t="str">
        <f t="shared" si="59"/>
        <v>HL</v>
      </c>
      <c r="G625" s="59" t="str">
        <f t="shared" si="60"/>
        <v>くう</v>
      </c>
      <c r="H625" s="134"/>
      <c r="I625" s="135"/>
      <c r="J625" s="84">
        <f t="shared" si="61"/>
        <v>3</v>
      </c>
      <c r="K625" s="83"/>
      <c r="L625" s="64" t="e">
        <v>#N/A</v>
      </c>
      <c r="M625" s="121">
        <v>0</v>
      </c>
      <c r="N625" s="59" t="str">
        <v>HL</v>
      </c>
      <c r="O625" s="126" t="str">
        <v>くう</v>
      </c>
      <c r="P625" s="126">
        <v>0</v>
      </c>
      <c r="Q625" s="127">
        <v>0</v>
      </c>
      <c r="R625" s="84">
        <v>3</v>
      </c>
      <c r="T625" s="100" t="e">
        <v>#N/A</v>
      </c>
      <c r="U625" s="121">
        <v>0</v>
      </c>
      <c r="V625" s="59" t="str">
        <v>HL</v>
      </c>
      <c r="W625" s="126" t="str">
        <v>くう</v>
      </c>
      <c r="X625" s="126">
        <v>0</v>
      </c>
      <c r="Y625" s="127">
        <v>0</v>
      </c>
      <c r="Z625" s="90">
        <v>3</v>
      </c>
    </row>
    <row r="626" spans="1:26" x14ac:dyDescent="0.4">
      <c r="A626" s="52">
        <v>625</v>
      </c>
      <c r="B626" s="51">
        <f t="shared" si="56"/>
        <v>21</v>
      </c>
      <c r="C626" s="50">
        <f t="shared" si="57"/>
        <v>25</v>
      </c>
      <c r="D626" s="64" t="e">
        <f t="shared" si="58"/>
        <v>#N/A</v>
      </c>
      <c r="E626" s="121" cm="1">
        <f t="array" ref="E626">INDEX(InputArea,B626,C626)</f>
        <v>0</v>
      </c>
      <c r="F626" s="59" t="str">
        <f t="shared" si="59"/>
        <v>H;</v>
      </c>
      <c r="G626" s="59" t="str">
        <f t="shared" si="60"/>
        <v>くー</v>
      </c>
      <c r="H626" s="134"/>
      <c r="I626" s="135"/>
      <c r="J626" s="84">
        <f t="shared" si="61"/>
        <v>3</v>
      </c>
      <c r="K626" s="83"/>
      <c r="L626" s="64" t="e">
        <v>#N/A</v>
      </c>
      <c r="M626" s="121">
        <v>0</v>
      </c>
      <c r="N626" s="59" t="str">
        <v>H;</v>
      </c>
      <c r="O626" s="126" t="str">
        <v>くー</v>
      </c>
      <c r="P626" s="126">
        <v>0</v>
      </c>
      <c r="Q626" s="127">
        <v>0</v>
      </c>
      <c r="R626" s="84">
        <v>3</v>
      </c>
      <c r="T626" s="100" t="e">
        <v>#N/A</v>
      </c>
      <c r="U626" s="121">
        <v>0</v>
      </c>
      <c r="V626" s="59" t="str">
        <v>H;</v>
      </c>
      <c r="W626" s="126" t="str">
        <v>くー</v>
      </c>
      <c r="X626" s="126">
        <v>0</v>
      </c>
      <c r="Y626" s="127">
        <v>0</v>
      </c>
      <c r="Z626" s="90">
        <v>3</v>
      </c>
    </row>
    <row r="627" spans="1:26" x14ac:dyDescent="0.4">
      <c r="A627" s="52">
        <v>626</v>
      </c>
      <c r="B627" s="51">
        <f t="shared" si="56"/>
        <v>21</v>
      </c>
      <c r="C627" s="50">
        <f t="shared" si="57"/>
        <v>26</v>
      </c>
      <c r="D627" s="64" t="e">
        <f t="shared" si="58"/>
        <v>#N/A</v>
      </c>
      <c r="E627" s="121" cm="1">
        <f t="array" ref="E627">INDEX(InputArea,B627,C627)</f>
        <v>0</v>
      </c>
      <c r="F627" s="59" t="str">
        <f t="shared" si="59"/>
        <v>HN</v>
      </c>
      <c r="G627" s="59" t="str">
        <f t="shared" si="60"/>
        <v>くた</v>
      </c>
      <c r="H627" s="134"/>
      <c r="I627" s="135"/>
      <c r="J627" s="84">
        <f t="shared" si="61"/>
        <v>3</v>
      </c>
      <c r="K627" s="83"/>
      <c r="L627" s="64" t="e">
        <v>#N/A</v>
      </c>
      <c r="M627" s="121">
        <v>0</v>
      </c>
      <c r="N627" s="59" t="str">
        <v>HN</v>
      </c>
      <c r="O627" s="126" t="str">
        <v>くた</v>
      </c>
      <c r="P627" s="126">
        <v>0</v>
      </c>
      <c r="Q627" s="127">
        <v>0</v>
      </c>
      <c r="R627" s="84">
        <v>3</v>
      </c>
      <c r="T627" s="100" t="e">
        <v>#N/A</v>
      </c>
      <c r="U627" s="121">
        <v>0</v>
      </c>
      <c r="V627" s="59" t="str">
        <v>HN</v>
      </c>
      <c r="W627" s="126" t="str">
        <v>くた</v>
      </c>
      <c r="X627" s="126">
        <v>0</v>
      </c>
      <c r="Y627" s="127">
        <v>0</v>
      </c>
      <c r="Z627" s="90">
        <v>3</v>
      </c>
    </row>
    <row r="628" spans="1:26" x14ac:dyDescent="0.4">
      <c r="A628" s="52">
        <v>627</v>
      </c>
      <c r="B628" s="51">
        <f t="shared" si="56"/>
        <v>21</v>
      </c>
      <c r="C628" s="50">
        <f t="shared" si="57"/>
        <v>27</v>
      </c>
      <c r="D628" s="64" t="e">
        <f t="shared" si="58"/>
        <v>#N/A</v>
      </c>
      <c r="E628" s="121" cm="1">
        <f t="array" ref="E628">INDEX(InputArea,B628,C628)</f>
        <v>0</v>
      </c>
      <c r="F628" s="59" t="str">
        <f t="shared" si="59"/>
        <v>HM</v>
      </c>
      <c r="G628" s="59" t="str">
        <f t="shared" si="60"/>
        <v>くな</v>
      </c>
      <c r="H628" s="137" t="s">
        <v>621</v>
      </c>
      <c r="I628" s="135"/>
      <c r="J628" s="84">
        <f t="shared" si="61"/>
        <v>3</v>
      </c>
      <c r="K628" s="83"/>
      <c r="L628" s="64" t="e">
        <v>#N/A</v>
      </c>
      <c r="M628" s="121">
        <v>0</v>
      </c>
      <c r="N628" s="59" t="str">
        <v>HM</v>
      </c>
      <c r="O628" s="126" t="str">
        <v>くな</v>
      </c>
      <c r="P628" s="126" t="str">
        <v>゜ゃ</v>
      </c>
      <c r="Q628" s="127">
        <v>0</v>
      </c>
      <c r="R628" s="84">
        <v>3</v>
      </c>
      <c r="T628" s="100" t="e">
        <v>#N/A</v>
      </c>
      <c r="U628" s="121">
        <v>0</v>
      </c>
      <c r="V628" s="59" t="str">
        <v>HM</v>
      </c>
      <c r="W628" s="126" t="str">
        <v>くな</v>
      </c>
      <c r="X628" s="126" t="str">
        <v>゜ゃ</v>
      </c>
      <c r="Y628" s="127">
        <v>0</v>
      </c>
      <c r="Z628" s="90">
        <v>3</v>
      </c>
    </row>
    <row r="629" spans="1:26" x14ac:dyDescent="0.4">
      <c r="A629" s="52">
        <v>628</v>
      </c>
      <c r="B629" s="51">
        <f t="shared" si="56"/>
        <v>21</v>
      </c>
      <c r="C629" s="50">
        <f t="shared" si="57"/>
        <v>28</v>
      </c>
      <c r="D629" s="64" t="e">
        <f t="shared" si="58"/>
        <v>#N/A</v>
      </c>
      <c r="E629" s="121" cm="1">
        <f t="array" ref="E629">INDEX(InputArea,B629,C629)</f>
        <v>0</v>
      </c>
      <c r="F629" s="59" t="str">
        <f t="shared" si="59"/>
        <v>H,</v>
      </c>
      <c r="G629" s="59" t="str">
        <f t="shared" si="60"/>
        <v>くん</v>
      </c>
      <c r="H629" s="134"/>
      <c r="I629" s="135"/>
      <c r="J629" s="84">
        <f t="shared" si="61"/>
        <v>3</v>
      </c>
      <c r="K629" s="83"/>
      <c r="L629" s="64" t="e">
        <v>#N/A</v>
      </c>
      <c r="M629" s="121">
        <v>0</v>
      </c>
      <c r="N629" s="59" t="str">
        <v>H,</v>
      </c>
      <c r="O629" s="126" t="str">
        <v>くん</v>
      </c>
      <c r="P629" s="126">
        <v>0</v>
      </c>
      <c r="Q629" s="127">
        <v>0</v>
      </c>
      <c r="R629" s="84">
        <v>3</v>
      </c>
      <c r="T629" s="100" t="e">
        <v>#N/A</v>
      </c>
      <c r="U629" s="121">
        <v>0</v>
      </c>
      <c r="V629" s="59" t="str">
        <v>H,</v>
      </c>
      <c r="W629" s="126" t="str">
        <v>くん</v>
      </c>
      <c r="X629" s="126">
        <v>0</v>
      </c>
      <c r="Y629" s="127">
        <v>0</v>
      </c>
      <c r="Z629" s="90">
        <v>3</v>
      </c>
    </row>
    <row r="630" spans="1:26" x14ac:dyDescent="0.4">
      <c r="A630" s="52">
        <v>629</v>
      </c>
      <c r="B630" s="51">
        <f t="shared" si="56"/>
        <v>21</v>
      </c>
      <c r="C630" s="50">
        <f t="shared" si="57"/>
        <v>29</v>
      </c>
      <c r="D630" s="64" t="e">
        <f t="shared" si="58"/>
        <v>#N/A</v>
      </c>
      <c r="E630" s="121" cm="1">
        <f t="array" ref="E630">INDEX(InputArea,B630,C630)</f>
        <v>0</v>
      </c>
      <c r="F630" s="59" t="str">
        <f t="shared" si="59"/>
        <v>H.</v>
      </c>
      <c r="G630" s="59" t="str">
        <f t="shared" si="60"/>
        <v>くら</v>
      </c>
      <c r="H630" s="134"/>
      <c r="I630" s="135"/>
      <c r="J630" s="84">
        <f t="shared" si="61"/>
        <v>3</v>
      </c>
      <c r="K630" s="83"/>
      <c r="L630" s="64" t="e">
        <v>#N/A</v>
      </c>
      <c r="M630" s="121">
        <v>0</v>
      </c>
      <c r="N630" s="59" t="str">
        <v>H.</v>
      </c>
      <c r="O630" s="126" t="str">
        <v>くら</v>
      </c>
      <c r="P630" s="126">
        <v>0</v>
      </c>
      <c r="Q630" s="127">
        <v>0</v>
      </c>
      <c r="R630" s="84">
        <v>3</v>
      </c>
      <c r="T630" s="100" t="e">
        <v>#N/A</v>
      </c>
      <c r="U630" s="121">
        <v>0</v>
      </c>
      <c r="V630" s="59" t="str">
        <v>H.</v>
      </c>
      <c r="W630" s="126" t="str">
        <v>くら</v>
      </c>
      <c r="X630" s="126">
        <v>0</v>
      </c>
      <c r="Y630" s="127">
        <v>0</v>
      </c>
      <c r="Z630" s="90">
        <v>3</v>
      </c>
    </row>
    <row r="631" spans="1:26" x14ac:dyDescent="0.4">
      <c r="A631" s="52">
        <v>630</v>
      </c>
      <c r="B631" s="51">
        <f t="shared" si="56"/>
        <v>21</v>
      </c>
      <c r="C631" s="50">
        <f t="shared" si="57"/>
        <v>30</v>
      </c>
      <c r="D631" s="64" t="e">
        <f t="shared" si="58"/>
        <v>#N/A</v>
      </c>
      <c r="E631" s="121" cm="1">
        <f t="array" ref="E631">INDEX(InputArea,B631,C631)</f>
        <v>0</v>
      </c>
      <c r="F631" s="59" t="str">
        <f t="shared" si="59"/>
        <v>H/</v>
      </c>
      <c r="G631" s="59" t="str">
        <f t="shared" si="60"/>
        <v>くれ</v>
      </c>
      <c r="H631" s="134"/>
      <c r="I631" s="135"/>
      <c r="J631" s="84">
        <f t="shared" si="61"/>
        <v>3</v>
      </c>
      <c r="K631" s="83"/>
      <c r="L631" s="64" t="e">
        <v>#N/A</v>
      </c>
      <c r="M631" s="121">
        <v>0</v>
      </c>
      <c r="N631" s="59" t="str">
        <v>H/</v>
      </c>
      <c r="O631" s="126" t="str">
        <v>くれ</v>
      </c>
      <c r="P631" s="126">
        <v>0</v>
      </c>
      <c r="Q631" s="127">
        <v>0</v>
      </c>
      <c r="R631" s="84">
        <v>3</v>
      </c>
      <c r="T631" s="100" t="e">
        <v>#N/A</v>
      </c>
      <c r="U631" s="121">
        <v>0</v>
      </c>
      <c r="V631" s="59" t="str">
        <v>H/</v>
      </c>
      <c r="W631" s="126" t="str">
        <v>くれ</v>
      </c>
      <c r="X631" s="126">
        <v>0</v>
      </c>
      <c r="Y631" s="127">
        <v>0</v>
      </c>
      <c r="Z631" s="90">
        <v>3</v>
      </c>
    </row>
    <row r="632" spans="1:26" x14ac:dyDescent="0.4">
      <c r="A632" s="52">
        <v>631</v>
      </c>
      <c r="B632" s="51">
        <f t="shared" si="56"/>
        <v>22</v>
      </c>
      <c r="C632" s="50">
        <f t="shared" si="57"/>
        <v>1</v>
      </c>
      <c r="D632" s="64" t="e">
        <f t="shared" si="58"/>
        <v>#N/A</v>
      </c>
      <c r="E632" s="121" cm="1">
        <f t="array" ref="E632">INDEX(InputArea,B632,C632)</f>
        <v>0</v>
      </c>
      <c r="F632" s="59" t="str">
        <f t="shared" si="59"/>
        <v>JQ</v>
      </c>
      <c r="G632" s="59" t="str">
        <f t="shared" si="60"/>
        <v>あヴ</v>
      </c>
      <c r="H632" s="137" t="s">
        <v>240</v>
      </c>
      <c r="I632" s="135"/>
      <c r="J632" s="84">
        <f t="shared" si="61"/>
        <v>2</v>
      </c>
      <c r="K632" s="83"/>
      <c r="L632" s="64" t="e">
        <v>#N/A</v>
      </c>
      <c r="M632" s="121">
        <v>0</v>
      </c>
      <c r="N632" s="59" t="str">
        <v>JQ</v>
      </c>
      <c r="O632" s="126" t="str">
        <v>あヴ</v>
      </c>
      <c r="P632" s="126" t="str">
        <v>ぁ</v>
      </c>
      <c r="Q632" s="127">
        <v>0</v>
      </c>
      <c r="R632" s="84">
        <v>2</v>
      </c>
      <c r="T632" s="100" t="e">
        <v>#N/A</v>
      </c>
      <c r="U632" s="121">
        <v>0</v>
      </c>
      <c r="V632" s="59" t="str">
        <v>JQ</v>
      </c>
      <c r="W632" s="126" t="str">
        <v>あヴ</v>
      </c>
      <c r="X632" s="126" t="str">
        <v>ぁ</v>
      </c>
      <c r="Y632" s="127">
        <v>0</v>
      </c>
      <c r="Z632" s="90">
        <v>2</v>
      </c>
    </row>
    <row r="633" spans="1:26" x14ac:dyDescent="0.4">
      <c r="A633" s="52">
        <v>632</v>
      </c>
      <c r="B633" s="51">
        <f t="shared" si="56"/>
        <v>22</v>
      </c>
      <c r="C633" s="50">
        <f t="shared" si="57"/>
        <v>2</v>
      </c>
      <c r="D633" s="64" t="e">
        <f t="shared" si="58"/>
        <v>#N/A</v>
      </c>
      <c r="E633" s="121" cm="1">
        <f t="array" ref="E633">INDEX(InputArea,B633,C633)</f>
        <v>0</v>
      </c>
      <c r="F633" s="59" t="str">
        <f t="shared" si="59"/>
        <v>JW</v>
      </c>
      <c r="G633" s="59" t="str">
        <f t="shared" si="60"/>
        <v>あき</v>
      </c>
      <c r="H633" s="137" t="s">
        <v>248</v>
      </c>
      <c r="I633" s="135"/>
      <c r="J633" s="84">
        <f t="shared" si="61"/>
        <v>2</v>
      </c>
      <c r="K633" s="83"/>
      <c r="L633" s="64" t="e">
        <v>#N/A</v>
      </c>
      <c r="M633" s="121">
        <v>0</v>
      </c>
      <c r="N633" s="59" t="str">
        <v>JW</v>
      </c>
      <c r="O633" s="126" t="str">
        <v>あき</v>
      </c>
      <c r="P633" s="126" t="str">
        <v>ぎ</v>
      </c>
      <c r="Q633" s="127">
        <v>0</v>
      </c>
      <c r="R633" s="84">
        <v>2</v>
      </c>
      <c r="T633" s="100" t="e">
        <v>#N/A</v>
      </c>
      <c r="U633" s="121">
        <v>0</v>
      </c>
      <c r="V633" s="59" t="str">
        <v>JW</v>
      </c>
      <c r="W633" s="126" t="str">
        <v>あき</v>
      </c>
      <c r="X633" s="126" t="str">
        <v>ぎ</v>
      </c>
      <c r="Y633" s="127">
        <v>0</v>
      </c>
      <c r="Z633" s="90">
        <v>2</v>
      </c>
    </row>
    <row r="634" spans="1:26" x14ac:dyDescent="0.4">
      <c r="A634" s="52">
        <v>633</v>
      </c>
      <c r="B634" s="51">
        <f t="shared" si="56"/>
        <v>22</v>
      </c>
      <c r="C634" s="50">
        <f t="shared" si="57"/>
        <v>3</v>
      </c>
      <c r="D634" s="64" t="e">
        <f t="shared" si="58"/>
        <v>#N/A</v>
      </c>
      <c r="E634" s="121" cm="1">
        <f t="array" ref="E634">INDEX(InputArea,B634,C634)</f>
        <v>0</v>
      </c>
      <c r="F634" s="59" t="str">
        <f t="shared" si="59"/>
        <v>JE</v>
      </c>
      <c r="G634" s="59" t="str">
        <f t="shared" si="60"/>
        <v>あて</v>
      </c>
      <c r="H634" s="137" t="s">
        <v>252</v>
      </c>
      <c r="I634" s="136" t="s">
        <v>516</v>
      </c>
      <c r="J634" s="84">
        <f t="shared" si="61"/>
        <v>2</v>
      </c>
      <c r="K634" s="83"/>
      <c r="L634" s="64" t="e">
        <v>#N/A</v>
      </c>
      <c r="M634" s="121">
        <v>0</v>
      </c>
      <c r="N634" s="59" t="str">
        <v>JE</v>
      </c>
      <c r="O634" s="126" t="str">
        <v>あて</v>
      </c>
      <c r="P634" s="126" t="str">
        <v>で</v>
      </c>
      <c r="Q634" s="127" t="str">
        <v>じぇ</v>
      </c>
      <c r="R634" s="84">
        <v>2</v>
      </c>
      <c r="T634" s="100" t="e">
        <v>#N/A</v>
      </c>
      <c r="U634" s="121">
        <v>0</v>
      </c>
      <c r="V634" s="59" t="str">
        <v>JE</v>
      </c>
      <c r="W634" s="126" t="str">
        <v>あて</v>
      </c>
      <c r="X634" s="126" t="str">
        <v>で</v>
      </c>
      <c r="Y634" s="127" t="str">
        <v>じぇ</v>
      </c>
      <c r="Z634" s="90">
        <v>2</v>
      </c>
    </row>
    <row r="635" spans="1:26" x14ac:dyDescent="0.4">
      <c r="A635" s="52">
        <v>634</v>
      </c>
      <c r="B635" s="51">
        <f t="shared" si="56"/>
        <v>22</v>
      </c>
      <c r="C635" s="50">
        <f t="shared" si="57"/>
        <v>4</v>
      </c>
      <c r="D635" s="64" t="e">
        <f t="shared" si="58"/>
        <v>#N/A</v>
      </c>
      <c r="E635" s="121" cm="1">
        <f t="array" ref="E635">INDEX(InputArea,B635,C635)</f>
        <v>0</v>
      </c>
      <c r="F635" s="59" t="str">
        <f t="shared" si="59"/>
        <v>JR</v>
      </c>
      <c r="G635" s="59" t="str">
        <f t="shared" si="60"/>
        <v>あし</v>
      </c>
      <c r="H635" s="137" t="s">
        <v>256</v>
      </c>
      <c r="I635" s="135"/>
      <c r="J635" s="84">
        <f t="shared" si="61"/>
        <v>2</v>
      </c>
      <c r="K635" s="83"/>
      <c r="L635" s="64" t="e">
        <v>#N/A</v>
      </c>
      <c r="M635" s="121">
        <v>0</v>
      </c>
      <c r="N635" s="59" t="str">
        <v>JR</v>
      </c>
      <c r="O635" s="126" t="str">
        <v>あし</v>
      </c>
      <c r="P635" s="126" t="str">
        <v>じ</v>
      </c>
      <c r="Q635" s="127">
        <v>0</v>
      </c>
      <c r="R635" s="84">
        <v>2</v>
      </c>
      <c r="T635" s="100" t="e">
        <v>#N/A</v>
      </c>
      <c r="U635" s="121">
        <v>0</v>
      </c>
      <c r="V635" s="59" t="str">
        <v>JR</v>
      </c>
      <c r="W635" s="126" t="str">
        <v>あし</v>
      </c>
      <c r="X635" s="126" t="str">
        <v>じ</v>
      </c>
      <c r="Y635" s="127">
        <v>0</v>
      </c>
      <c r="Z635" s="90">
        <v>2</v>
      </c>
    </row>
    <row r="636" spans="1:26" x14ac:dyDescent="0.4">
      <c r="A636" s="52">
        <v>635</v>
      </c>
      <c r="B636" s="51">
        <f t="shared" si="56"/>
        <v>22</v>
      </c>
      <c r="C636" s="50">
        <f t="shared" si="57"/>
        <v>5</v>
      </c>
      <c r="D636" s="64" t="e">
        <f t="shared" si="58"/>
        <v>#N/A</v>
      </c>
      <c r="E636" s="121" cm="1">
        <f t="array" ref="E636">INDEX(InputArea,B636,C636)</f>
        <v>0</v>
      </c>
      <c r="F636" s="59" t="str">
        <f t="shared" si="59"/>
        <v>JT</v>
      </c>
      <c r="G636" s="59" t="str">
        <f t="shared" si="60"/>
        <v>あ←</v>
      </c>
      <c r="H636" s="134"/>
      <c r="I636" s="135"/>
      <c r="J636" s="84">
        <f t="shared" si="61"/>
        <v>2</v>
      </c>
      <c r="K636" s="83"/>
      <c r="L636" s="64" t="e">
        <v>#N/A</v>
      </c>
      <c r="M636" s="121">
        <v>0</v>
      </c>
      <c r="N636" s="59" t="str">
        <v>JT</v>
      </c>
      <c r="O636" s="126" t="str">
        <v>あ←</v>
      </c>
      <c r="P636" s="126">
        <v>0</v>
      </c>
      <c r="Q636" s="127">
        <v>0</v>
      </c>
      <c r="R636" s="84">
        <v>2</v>
      </c>
      <c r="T636" s="100" t="e">
        <v>#N/A</v>
      </c>
      <c r="U636" s="121">
        <v>0</v>
      </c>
      <c r="V636" s="59" t="str">
        <v>JT</v>
      </c>
      <c r="W636" s="126" t="str">
        <v>あ←</v>
      </c>
      <c r="X636" s="126">
        <v>0</v>
      </c>
      <c r="Y636" s="127">
        <v>0</v>
      </c>
      <c r="Z636" s="90">
        <v>2</v>
      </c>
    </row>
    <row r="637" spans="1:26" x14ac:dyDescent="0.4">
      <c r="A637" s="52">
        <v>636</v>
      </c>
      <c r="B637" s="51">
        <f t="shared" si="56"/>
        <v>22</v>
      </c>
      <c r="C637" s="50">
        <f t="shared" si="57"/>
        <v>6</v>
      </c>
      <c r="D637" s="64" t="e">
        <f t="shared" si="58"/>
        <v>#N/A</v>
      </c>
      <c r="E637" s="121" cm="1">
        <f t="array" ref="E637">INDEX(InputArea,B637,C637)</f>
        <v>0</v>
      </c>
      <c r="F637" s="59" t="str">
        <f t="shared" si="59"/>
        <v>JA</v>
      </c>
      <c r="G637" s="59" t="str">
        <f t="shared" si="60"/>
        <v>あろ</v>
      </c>
      <c r="H637" s="137" t="s">
        <v>257</v>
      </c>
      <c r="I637" s="136" t="s">
        <v>517</v>
      </c>
      <c r="J637" s="84">
        <f t="shared" si="61"/>
        <v>2</v>
      </c>
      <c r="K637" s="83"/>
      <c r="L637" s="64" t="e">
        <v>#N/A</v>
      </c>
      <c r="M637" s="121">
        <v>0</v>
      </c>
      <c r="N637" s="59" t="str">
        <v>JA</v>
      </c>
      <c r="O637" s="126" t="str">
        <v>あろ</v>
      </c>
      <c r="P637" s="126" t="str">
        <v>ぶ</v>
      </c>
      <c r="Q637" s="127" t="str">
        <v>じゃ</v>
      </c>
      <c r="R637" s="84">
        <v>2</v>
      </c>
      <c r="T637" s="100" t="e">
        <v>#N/A</v>
      </c>
      <c r="U637" s="121">
        <v>0</v>
      </c>
      <c r="V637" s="59" t="str">
        <v>JA</v>
      </c>
      <c r="W637" s="126" t="str">
        <v>あろ</v>
      </c>
      <c r="X637" s="126" t="str">
        <v>ぶ</v>
      </c>
      <c r="Y637" s="127" t="str">
        <v>じゃ</v>
      </c>
      <c r="Z637" s="90">
        <v>2</v>
      </c>
    </row>
    <row r="638" spans="1:26" x14ac:dyDescent="0.4">
      <c r="A638" s="52">
        <v>637</v>
      </c>
      <c r="B638" s="51">
        <f t="shared" si="56"/>
        <v>22</v>
      </c>
      <c r="C638" s="50">
        <f t="shared" si="57"/>
        <v>7</v>
      </c>
      <c r="D638" s="64" t="e">
        <f t="shared" si="58"/>
        <v>#N/A</v>
      </c>
      <c r="E638" s="121" cm="1">
        <f t="array" ref="E638">INDEX(InputArea,B638,C638)</f>
        <v>0</v>
      </c>
      <c r="F638" s="59" t="str">
        <f t="shared" si="59"/>
        <v>JS</v>
      </c>
      <c r="G638" s="59" t="str">
        <f t="shared" si="60"/>
        <v>あけ</v>
      </c>
      <c r="H638" s="137" t="s">
        <v>258</v>
      </c>
      <c r="I638" s="135"/>
      <c r="J638" s="84">
        <f t="shared" si="61"/>
        <v>2</v>
      </c>
      <c r="K638" s="83"/>
      <c r="L638" s="64" t="e">
        <v>#N/A</v>
      </c>
      <c r="M638" s="121">
        <v>0</v>
      </c>
      <c r="N638" s="59" t="str">
        <v>JS</v>
      </c>
      <c r="O638" s="126" t="str">
        <v>あけ</v>
      </c>
      <c r="P638" s="126" t="str">
        <v>げ</v>
      </c>
      <c r="Q638" s="127">
        <v>0</v>
      </c>
      <c r="R638" s="84">
        <v>2</v>
      </c>
      <c r="T638" s="100" t="e">
        <v>#N/A</v>
      </c>
      <c r="U638" s="121">
        <v>0</v>
      </c>
      <c r="V638" s="59" t="str">
        <v>JS</v>
      </c>
      <c r="W638" s="126" t="str">
        <v>あけ</v>
      </c>
      <c r="X638" s="126" t="str">
        <v>げ</v>
      </c>
      <c r="Y638" s="127">
        <v>0</v>
      </c>
      <c r="Z638" s="90">
        <v>2</v>
      </c>
    </row>
    <row r="639" spans="1:26" x14ac:dyDescent="0.4">
      <c r="A639" s="52">
        <v>638</v>
      </c>
      <c r="B639" s="51">
        <f t="shared" si="56"/>
        <v>22</v>
      </c>
      <c r="C639" s="50">
        <f t="shared" si="57"/>
        <v>8</v>
      </c>
      <c r="D639" s="64" t="e">
        <f t="shared" si="58"/>
        <v>#N/A</v>
      </c>
      <c r="E639" s="121" cm="1">
        <f t="array" ref="E639">INDEX(InputArea,B639,C639)</f>
        <v>0</v>
      </c>
      <c r="F639" s="59" t="str">
        <f t="shared" si="59"/>
        <v>JD</v>
      </c>
      <c r="G639" s="59" t="str">
        <f t="shared" si="60"/>
        <v>あと</v>
      </c>
      <c r="H639" s="137" t="s">
        <v>262</v>
      </c>
      <c r="I639" s="135"/>
      <c r="J639" s="84">
        <f t="shared" si="61"/>
        <v>2</v>
      </c>
      <c r="K639" s="83"/>
      <c r="L639" s="64" t="e">
        <v>#N/A</v>
      </c>
      <c r="M639" s="121">
        <v>0</v>
      </c>
      <c r="N639" s="59" t="str">
        <v>JD</v>
      </c>
      <c r="O639" s="126" t="str">
        <v>あと</v>
      </c>
      <c r="P639" s="126" t="str">
        <v>ど</v>
      </c>
      <c r="Q639" s="127">
        <v>0</v>
      </c>
      <c r="R639" s="84">
        <v>2</v>
      </c>
      <c r="T639" s="100" t="e">
        <v>#N/A</v>
      </c>
      <c r="U639" s="121">
        <v>0</v>
      </c>
      <c r="V639" s="59" t="str">
        <v>JD</v>
      </c>
      <c r="W639" s="126" t="str">
        <v>あと</v>
      </c>
      <c r="X639" s="126" t="str">
        <v>ど</v>
      </c>
      <c r="Y639" s="127">
        <v>0</v>
      </c>
      <c r="Z639" s="90">
        <v>2</v>
      </c>
    </row>
    <row r="640" spans="1:26" x14ac:dyDescent="0.4">
      <c r="A640" s="52">
        <v>639</v>
      </c>
      <c r="B640" s="51">
        <f t="shared" si="56"/>
        <v>22</v>
      </c>
      <c r="C640" s="50">
        <f t="shared" si="57"/>
        <v>9</v>
      </c>
      <c r="D640" s="64" t="e">
        <f t="shared" si="58"/>
        <v>#N/A</v>
      </c>
      <c r="E640" s="121" cm="1">
        <f t="array" ref="E640">INDEX(InputArea,B640,C640)</f>
        <v>0</v>
      </c>
      <c r="F640" s="59" t="str">
        <f t="shared" si="59"/>
        <v>JF</v>
      </c>
      <c r="G640" s="59" t="str">
        <f t="shared" si="60"/>
        <v>あか</v>
      </c>
      <c r="H640" s="137" t="s">
        <v>266</v>
      </c>
      <c r="I640" s="135"/>
      <c r="J640" s="84">
        <f t="shared" si="61"/>
        <v>2</v>
      </c>
      <c r="K640" s="83"/>
      <c r="L640" s="64" t="e">
        <v>#N/A</v>
      </c>
      <c r="M640" s="121">
        <v>0</v>
      </c>
      <c r="N640" s="59" t="str">
        <v>JF</v>
      </c>
      <c r="O640" s="126" t="str">
        <v>あか</v>
      </c>
      <c r="P640" s="126" t="str">
        <v>が</v>
      </c>
      <c r="Q640" s="127">
        <v>0</v>
      </c>
      <c r="R640" s="84">
        <v>2</v>
      </c>
      <c r="T640" s="100" t="e">
        <v>#N/A</v>
      </c>
      <c r="U640" s="121">
        <v>0</v>
      </c>
      <c r="V640" s="59" t="str">
        <v>JF</v>
      </c>
      <c r="W640" s="126" t="str">
        <v>あか</v>
      </c>
      <c r="X640" s="126" t="str">
        <v>が</v>
      </c>
      <c r="Y640" s="127">
        <v>0</v>
      </c>
      <c r="Z640" s="90">
        <v>2</v>
      </c>
    </row>
    <row r="641" spans="1:26" x14ac:dyDescent="0.4">
      <c r="A641" s="52">
        <v>640</v>
      </c>
      <c r="B641" s="51">
        <f t="shared" si="56"/>
        <v>22</v>
      </c>
      <c r="C641" s="50">
        <f t="shared" si="57"/>
        <v>10</v>
      </c>
      <c r="D641" s="64" t="e">
        <f t="shared" si="58"/>
        <v>#N/A</v>
      </c>
      <c r="E641" s="121" cm="1">
        <f t="array" ref="E641">INDEX(InputArea,B641,C641)</f>
        <v>0</v>
      </c>
      <c r="F641" s="59" t="str">
        <f t="shared" si="59"/>
        <v>JG</v>
      </c>
      <c r="G641" s="59" t="str">
        <f t="shared" si="60"/>
        <v>あっ</v>
      </c>
      <c r="H641" s="137" t="s">
        <v>270</v>
      </c>
      <c r="I641" s="135"/>
      <c r="J641" s="84">
        <f t="shared" si="61"/>
        <v>2</v>
      </c>
      <c r="K641" s="83"/>
      <c r="L641" s="64" t="e">
        <v>#N/A</v>
      </c>
      <c r="M641" s="121">
        <v>0</v>
      </c>
      <c r="N641" s="59" t="str">
        <v>JG</v>
      </c>
      <c r="O641" s="126" t="str">
        <v>あっ</v>
      </c>
      <c r="P641" s="126" t="str">
        <v>ぢ</v>
      </c>
      <c r="Q641" s="127">
        <v>0</v>
      </c>
      <c r="R641" s="84">
        <v>2</v>
      </c>
      <c r="T641" s="100" t="e">
        <v>#N/A</v>
      </c>
      <c r="U641" s="121">
        <v>0</v>
      </c>
      <c r="V641" s="59" t="str">
        <v>JG</v>
      </c>
      <c r="W641" s="126" t="str">
        <v>あっ</v>
      </c>
      <c r="X641" s="126" t="str">
        <v>ぢ</v>
      </c>
      <c r="Y641" s="127">
        <v>0</v>
      </c>
      <c r="Z641" s="90">
        <v>2</v>
      </c>
    </row>
    <row r="642" spans="1:26" x14ac:dyDescent="0.4">
      <c r="A642" s="52">
        <v>641</v>
      </c>
      <c r="B642" s="51">
        <f t="shared" ref="B642:B705" si="62">_xlfn.CEILING.MATH(A642/COLUMNS(InputArea))</f>
        <v>22</v>
      </c>
      <c r="C642" s="50">
        <f t="shared" ref="C642:C705" si="63">MOD(A642-1,COLUMNS(InputArea))+1</f>
        <v>11</v>
      </c>
      <c r="D642" s="64" t="e">
        <f t="shared" ref="D642:D705" si="64">_xlfn.RANK.EQ(E642,InputArea,1)</f>
        <v>#N/A</v>
      </c>
      <c r="E642" s="121" cm="1">
        <f t="array" ref="E642">INDEX(InputArea,B642,C642)</f>
        <v>0</v>
      </c>
      <c r="F642" s="59" t="str">
        <f t="shared" ref="F642:F705" si="65">_xlfn.CONCAT(INDEX(RowName,B642),INDEX(ColName,,C642))</f>
        <v>JZ</v>
      </c>
      <c r="G642" s="59" t="str">
        <f t="shared" ref="G642:G705" si="66">_xlfn.CONCAT(INDEX(RowKana,B642),INDEX(ColKana,,C642))</f>
        <v>あほ</v>
      </c>
      <c r="H642" s="137" t="s">
        <v>271</v>
      </c>
      <c r="I642" s="135"/>
      <c r="J642" s="84">
        <f t="shared" si="61"/>
        <v>2</v>
      </c>
      <c r="K642" s="83"/>
      <c r="L642" s="64" t="e">
        <v>#N/A</v>
      </c>
      <c r="M642" s="121">
        <v>0</v>
      </c>
      <c r="N642" s="59" t="str">
        <v>JZ</v>
      </c>
      <c r="O642" s="126" t="str">
        <v>あほ</v>
      </c>
      <c r="P642" s="126" t="str">
        <v>ぼ</v>
      </c>
      <c r="Q642" s="127">
        <v>0</v>
      </c>
      <c r="R642" s="84">
        <v>2</v>
      </c>
      <c r="T642" s="100" t="e">
        <v>#N/A</v>
      </c>
      <c r="U642" s="121">
        <v>0</v>
      </c>
      <c r="V642" s="59" t="str">
        <v>JZ</v>
      </c>
      <c r="W642" s="126" t="str">
        <v>あほ</v>
      </c>
      <c r="X642" s="126" t="str">
        <v>ぼ</v>
      </c>
      <c r="Y642" s="127">
        <v>0</v>
      </c>
      <c r="Z642" s="90">
        <v>2</v>
      </c>
    </row>
    <row r="643" spans="1:26" x14ac:dyDescent="0.4">
      <c r="A643" s="52">
        <v>642</v>
      </c>
      <c r="B643" s="51">
        <f t="shared" si="62"/>
        <v>22</v>
      </c>
      <c r="C643" s="50">
        <f t="shared" si="63"/>
        <v>12</v>
      </c>
      <c r="D643" s="64" t="e">
        <f t="shared" si="64"/>
        <v>#N/A</v>
      </c>
      <c r="E643" s="121" cm="1">
        <f t="array" ref="E643">INDEX(InputArea,B643,C643)</f>
        <v>0</v>
      </c>
      <c r="F643" s="59" t="str">
        <f t="shared" si="65"/>
        <v>JX</v>
      </c>
      <c r="G643" s="59" t="str">
        <f t="shared" si="66"/>
        <v>あひ</v>
      </c>
      <c r="H643" s="137" t="s">
        <v>275</v>
      </c>
      <c r="I643" s="135"/>
      <c r="J643" s="84">
        <f t="shared" ref="J643:J706" si="67">(_xlfn.CEILING.MATH(B643/15)-1)*2+_xlfn.CEILING.MATH(C643/15)-1</f>
        <v>2</v>
      </c>
      <c r="K643" s="83"/>
      <c r="L643" s="64" t="e">
        <v>#N/A</v>
      </c>
      <c r="M643" s="121">
        <v>0</v>
      </c>
      <c r="N643" s="59" t="str">
        <v>JX</v>
      </c>
      <c r="O643" s="126" t="str">
        <v>あひ</v>
      </c>
      <c r="P643" s="126" t="str">
        <v>び</v>
      </c>
      <c r="Q643" s="127">
        <v>0</v>
      </c>
      <c r="R643" s="84">
        <v>2</v>
      </c>
      <c r="T643" s="100" t="e">
        <v>#N/A</v>
      </c>
      <c r="U643" s="121">
        <v>0</v>
      </c>
      <c r="V643" s="59" t="str">
        <v>JX</v>
      </c>
      <c r="W643" s="126" t="str">
        <v>あひ</v>
      </c>
      <c r="X643" s="126" t="str">
        <v>び</v>
      </c>
      <c r="Y643" s="127">
        <v>0</v>
      </c>
      <c r="Z643" s="90">
        <v>2</v>
      </c>
    </row>
    <row r="644" spans="1:26" x14ac:dyDescent="0.4">
      <c r="A644" s="52">
        <v>643</v>
      </c>
      <c r="B644" s="51">
        <f t="shared" si="62"/>
        <v>22</v>
      </c>
      <c r="C644" s="50">
        <f t="shared" si="63"/>
        <v>13</v>
      </c>
      <c r="D644" s="64" t="e">
        <f t="shared" si="64"/>
        <v>#N/A</v>
      </c>
      <c r="E644" s="121" cm="1">
        <f t="array" ref="E644">INDEX(InputArea,B644,C644)</f>
        <v>0</v>
      </c>
      <c r="F644" s="59" t="str">
        <f t="shared" si="65"/>
        <v>JC</v>
      </c>
      <c r="G644" s="59" t="str">
        <f t="shared" si="66"/>
        <v>あは</v>
      </c>
      <c r="H644" s="137" t="s">
        <v>276</v>
      </c>
      <c r="I644" s="135"/>
      <c r="J644" s="84">
        <f t="shared" si="67"/>
        <v>2</v>
      </c>
      <c r="K644" s="83"/>
      <c r="L644" s="64" t="e">
        <v>#N/A</v>
      </c>
      <c r="M644" s="121">
        <v>0</v>
      </c>
      <c r="N644" s="59" t="str">
        <v>JC</v>
      </c>
      <c r="O644" s="126" t="str">
        <v>あは</v>
      </c>
      <c r="P644" s="126" t="str">
        <v>ば</v>
      </c>
      <c r="Q644" s="127">
        <v>0</v>
      </c>
      <c r="R644" s="84">
        <v>2</v>
      </c>
      <c r="T644" s="100" t="e">
        <v>#N/A</v>
      </c>
      <c r="U644" s="121">
        <v>0</v>
      </c>
      <c r="V644" s="59" t="str">
        <v>JC</v>
      </c>
      <c r="W644" s="126" t="str">
        <v>あは</v>
      </c>
      <c r="X644" s="126" t="str">
        <v>ば</v>
      </c>
      <c r="Y644" s="127">
        <v>0</v>
      </c>
      <c r="Z644" s="90">
        <v>2</v>
      </c>
    </row>
    <row r="645" spans="1:26" x14ac:dyDescent="0.4">
      <c r="A645" s="52">
        <v>644</v>
      </c>
      <c r="B645" s="51">
        <f t="shared" si="62"/>
        <v>22</v>
      </c>
      <c r="C645" s="50">
        <f t="shared" si="63"/>
        <v>14</v>
      </c>
      <c r="D645" s="64" t="e">
        <f t="shared" si="64"/>
        <v>#N/A</v>
      </c>
      <c r="E645" s="121" cm="1">
        <f t="array" ref="E645">INDEX(InputArea,B645,C645)</f>
        <v>0</v>
      </c>
      <c r="F645" s="59" t="str">
        <f t="shared" si="65"/>
        <v>JV</v>
      </c>
      <c r="G645" s="59" t="str">
        <f t="shared" si="66"/>
        <v>あこ</v>
      </c>
      <c r="H645" s="137" t="s">
        <v>277</v>
      </c>
      <c r="I645" s="135"/>
      <c r="J645" s="84">
        <f t="shared" si="67"/>
        <v>2</v>
      </c>
      <c r="K645" s="83"/>
      <c r="L645" s="64" t="e">
        <v>#N/A</v>
      </c>
      <c r="M645" s="121">
        <v>0</v>
      </c>
      <c r="N645" s="59" t="str">
        <v>JV</v>
      </c>
      <c r="O645" s="126" t="str">
        <v>あこ</v>
      </c>
      <c r="P645" s="126" t="str">
        <v>ご</v>
      </c>
      <c r="Q645" s="127">
        <v>0</v>
      </c>
      <c r="R645" s="84">
        <v>2</v>
      </c>
      <c r="T645" s="100" t="e">
        <v>#N/A</v>
      </c>
      <c r="U645" s="121">
        <v>0</v>
      </c>
      <c r="V645" s="59" t="str">
        <v>JV</v>
      </c>
      <c r="W645" s="126" t="str">
        <v>あこ</v>
      </c>
      <c r="X645" s="126" t="str">
        <v>ご</v>
      </c>
      <c r="Y645" s="127">
        <v>0</v>
      </c>
      <c r="Z645" s="90">
        <v>2</v>
      </c>
    </row>
    <row r="646" spans="1:26" x14ac:dyDescent="0.4">
      <c r="A646" s="52">
        <v>645</v>
      </c>
      <c r="B646" s="51">
        <f t="shared" si="62"/>
        <v>22</v>
      </c>
      <c r="C646" s="50">
        <f t="shared" si="63"/>
        <v>15</v>
      </c>
      <c r="D646" s="64" t="e">
        <f t="shared" si="64"/>
        <v>#N/A</v>
      </c>
      <c r="E646" s="121" cm="1">
        <f t="array" ref="E646">INDEX(InputArea,B646,C646)</f>
        <v>0</v>
      </c>
      <c r="F646" s="59" t="str">
        <f t="shared" si="65"/>
        <v>JB</v>
      </c>
      <c r="G646" s="59" t="str">
        <f t="shared" si="66"/>
        <v>あそ</v>
      </c>
      <c r="H646" s="137" t="s">
        <v>281</v>
      </c>
      <c r="I646" s="135"/>
      <c r="J646" s="84">
        <f t="shared" si="67"/>
        <v>2</v>
      </c>
      <c r="K646" s="83"/>
      <c r="L646" s="64" t="e">
        <v>#N/A</v>
      </c>
      <c r="M646" s="121">
        <v>0</v>
      </c>
      <c r="N646" s="59" t="str">
        <v>JB</v>
      </c>
      <c r="O646" s="126" t="str">
        <v>あそ</v>
      </c>
      <c r="P646" s="126" t="str">
        <v>ぞ</v>
      </c>
      <c r="Q646" s="127">
        <v>0</v>
      </c>
      <c r="R646" s="84">
        <v>2</v>
      </c>
      <c r="T646" s="100" t="e">
        <v>#N/A</v>
      </c>
      <c r="U646" s="121">
        <v>0</v>
      </c>
      <c r="V646" s="59" t="str">
        <v>JB</v>
      </c>
      <c r="W646" s="126" t="str">
        <v>あそ</v>
      </c>
      <c r="X646" s="126" t="str">
        <v>ぞ</v>
      </c>
      <c r="Y646" s="127">
        <v>0</v>
      </c>
      <c r="Z646" s="90">
        <v>2</v>
      </c>
    </row>
    <row r="647" spans="1:26" x14ac:dyDescent="0.4">
      <c r="A647" s="52">
        <v>646</v>
      </c>
      <c r="B647" s="51">
        <f t="shared" si="62"/>
        <v>22</v>
      </c>
      <c r="C647" s="50">
        <f t="shared" si="63"/>
        <v>16</v>
      </c>
      <c r="D647" s="64" t="e">
        <f t="shared" si="64"/>
        <v>#N/A</v>
      </c>
      <c r="E647" s="121" cm="1">
        <f t="array" ref="E647">INDEX(InputArea,B647,C647)</f>
        <v>0</v>
      </c>
      <c r="F647" s="59" t="str">
        <f t="shared" si="65"/>
        <v>JY</v>
      </c>
      <c r="G647" s="59" t="str">
        <f t="shared" si="66"/>
        <v>あ→</v>
      </c>
      <c r="H647" s="134"/>
      <c r="I647" s="136" t="s">
        <v>518</v>
      </c>
      <c r="J647" s="84">
        <f t="shared" si="67"/>
        <v>3</v>
      </c>
      <c r="K647" s="83"/>
      <c r="L647" s="64" t="e">
        <v>#N/A</v>
      </c>
      <c r="M647" s="121">
        <v>0</v>
      </c>
      <c r="N647" s="59" t="str">
        <v>JY</v>
      </c>
      <c r="O647" s="126" t="str">
        <v>あ→</v>
      </c>
      <c r="P647" s="126">
        <v>0</v>
      </c>
      <c r="Q647" s="127" t="str">
        <v>ｊｙ</v>
      </c>
      <c r="R647" s="84">
        <v>3</v>
      </c>
      <c r="T647" s="100" t="e">
        <v>#N/A</v>
      </c>
      <c r="U647" s="121">
        <v>0</v>
      </c>
      <c r="V647" s="59" t="str">
        <v>JY</v>
      </c>
      <c r="W647" s="126" t="str">
        <v>あ→</v>
      </c>
      <c r="X647" s="126">
        <v>0</v>
      </c>
      <c r="Y647" s="127" t="str">
        <v>ｊｙ</v>
      </c>
      <c r="Z647" s="90">
        <v>3</v>
      </c>
    </row>
    <row r="648" spans="1:26" x14ac:dyDescent="0.4">
      <c r="A648" s="52">
        <v>647</v>
      </c>
      <c r="B648" s="51">
        <f t="shared" si="62"/>
        <v>22</v>
      </c>
      <c r="C648" s="50">
        <f t="shared" si="63"/>
        <v>17</v>
      </c>
      <c r="D648" s="64" t="e">
        <f t="shared" si="64"/>
        <v>#N/A</v>
      </c>
      <c r="E648" s="121" cm="1">
        <f t="array" ref="E648">INDEX(InputArea,B648,C648)</f>
        <v>0</v>
      </c>
      <c r="F648" s="59" t="str">
        <f t="shared" si="65"/>
        <v>JU</v>
      </c>
      <c r="G648" s="59" t="str">
        <f t="shared" si="66"/>
        <v>あBS</v>
      </c>
      <c r="H648" s="134"/>
      <c r="I648" s="136" t="s">
        <v>519</v>
      </c>
      <c r="J648" s="84">
        <f t="shared" si="67"/>
        <v>3</v>
      </c>
      <c r="K648" s="83"/>
      <c r="L648" s="64" t="e">
        <v>#N/A</v>
      </c>
      <c r="M648" s="121">
        <v>0</v>
      </c>
      <c r="N648" s="59" t="str">
        <v>JU</v>
      </c>
      <c r="O648" s="126" t="str">
        <v>あBS</v>
      </c>
      <c r="P648" s="126">
        <v>0</v>
      </c>
      <c r="Q648" s="127" t="str">
        <v>じゅ</v>
      </c>
      <c r="R648" s="84">
        <v>3</v>
      </c>
      <c r="T648" s="100" t="e">
        <v>#N/A</v>
      </c>
      <c r="U648" s="121">
        <v>0</v>
      </c>
      <c r="V648" s="59" t="str">
        <v>JU</v>
      </c>
      <c r="W648" s="126" t="str">
        <v>あBS</v>
      </c>
      <c r="X648" s="126">
        <v>0</v>
      </c>
      <c r="Y648" s="127" t="str">
        <v>じゅ</v>
      </c>
      <c r="Z648" s="90">
        <v>3</v>
      </c>
    </row>
    <row r="649" spans="1:26" x14ac:dyDescent="0.4">
      <c r="A649" s="52">
        <v>648</v>
      </c>
      <c r="B649" s="51">
        <f t="shared" si="62"/>
        <v>22</v>
      </c>
      <c r="C649" s="50">
        <f t="shared" si="63"/>
        <v>18</v>
      </c>
      <c r="D649" s="64" t="e">
        <f t="shared" si="64"/>
        <v>#N/A</v>
      </c>
      <c r="E649" s="121" cm="1">
        <f t="array" ref="E649">INDEX(InputArea,B649,C649)</f>
        <v>0</v>
      </c>
      <c r="F649" s="59" t="str">
        <f t="shared" si="65"/>
        <v>JI</v>
      </c>
      <c r="G649" s="59" t="str">
        <f t="shared" si="66"/>
        <v>ある</v>
      </c>
      <c r="H649" s="134" t="s">
        <v>622</v>
      </c>
      <c r="I649" s="136" t="s">
        <v>256</v>
      </c>
      <c r="J649" s="84">
        <f t="shared" si="67"/>
        <v>3</v>
      </c>
      <c r="K649" s="83"/>
      <c r="L649" s="64" t="e">
        <v>#N/A</v>
      </c>
      <c r="M649" s="121">
        <v>0</v>
      </c>
      <c r="N649" s="59" t="str">
        <v>JI</v>
      </c>
      <c r="O649" s="126" t="str">
        <v>ある</v>
      </c>
      <c r="P649" s="126" t="str">
        <v>゛ょ</v>
      </c>
      <c r="Q649" s="127" t="str">
        <v>じ</v>
      </c>
      <c r="R649" s="84">
        <v>3</v>
      </c>
      <c r="T649" s="100" t="e">
        <v>#N/A</v>
      </c>
      <c r="U649" s="121">
        <v>0</v>
      </c>
      <c r="V649" s="59" t="str">
        <v>JI</v>
      </c>
      <c r="W649" s="126" t="str">
        <v>ある</v>
      </c>
      <c r="X649" s="126" t="str">
        <v>゛ょ</v>
      </c>
      <c r="Y649" s="127" t="str">
        <v>じ</v>
      </c>
      <c r="Z649" s="90">
        <v>3</v>
      </c>
    </row>
    <row r="650" spans="1:26" x14ac:dyDescent="0.4">
      <c r="A650" s="52">
        <v>649</v>
      </c>
      <c r="B650" s="51">
        <f t="shared" si="62"/>
        <v>22</v>
      </c>
      <c r="C650" s="50">
        <f t="shared" si="63"/>
        <v>19</v>
      </c>
      <c r="D650" s="64" t="e">
        <f t="shared" si="64"/>
        <v>#N/A</v>
      </c>
      <c r="E650" s="121" cm="1">
        <f t="array" ref="E650">INDEX(InputArea,B650,C650)</f>
        <v>0</v>
      </c>
      <c r="F650" s="59" t="str">
        <f t="shared" si="65"/>
        <v>JO</v>
      </c>
      <c r="G650" s="59" t="str">
        <f t="shared" si="66"/>
        <v>あす</v>
      </c>
      <c r="H650" s="134"/>
      <c r="I650" s="136" t="s">
        <v>520</v>
      </c>
      <c r="J650" s="84">
        <f t="shared" si="67"/>
        <v>3</v>
      </c>
      <c r="K650" s="83"/>
      <c r="L650" s="64" t="e">
        <v>#N/A</v>
      </c>
      <c r="M650" s="121">
        <v>0</v>
      </c>
      <c r="N650" s="59" t="str">
        <v>JO</v>
      </c>
      <c r="O650" s="126" t="str">
        <v>あす</v>
      </c>
      <c r="P650" s="126">
        <v>0</v>
      </c>
      <c r="Q650" s="127" t="str">
        <v>じょ</v>
      </c>
      <c r="R650" s="84">
        <v>3</v>
      </c>
      <c r="T650" s="100" t="e">
        <v>#N/A</v>
      </c>
      <c r="U650" s="121">
        <v>0</v>
      </c>
      <c r="V650" s="59" t="str">
        <v>JO</v>
      </c>
      <c r="W650" s="126" t="str">
        <v>あす</v>
      </c>
      <c r="X650" s="126">
        <v>0</v>
      </c>
      <c r="Y650" s="127" t="str">
        <v>じょ</v>
      </c>
      <c r="Z650" s="90">
        <v>3</v>
      </c>
    </row>
    <row r="651" spans="1:26" x14ac:dyDescent="0.4">
      <c r="A651" s="52">
        <v>650</v>
      </c>
      <c r="B651" s="51">
        <f t="shared" si="62"/>
        <v>22</v>
      </c>
      <c r="C651" s="50">
        <f t="shared" si="63"/>
        <v>20</v>
      </c>
      <c r="D651" s="64" t="e">
        <f t="shared" si="64"/>
        <v>#N/A</v>
      </c>
      <c r="E651" s="121" cm="1">
        <f t="array" ref="E651">INDEX(InputArea,B651,C651)</f>
        <v>0</v>
      </c>
      <c r="F651" s="59" t="str">
        <f t="shared" si="65"/>
        <v>JP</v>
      </c>
      <c r="G651" s="59" t="str">
        <f t="shared" si="66"/>
        <v>あへ</v>
      </c>
      <c r="H651" s="137" t="s">
        <v>625</v>
      </c>
      <c r="I651" s="135"/>
      <c r="J651" s="84">
        <f t="shared" si="67"/>
        <v>3</v>
      </c>
      <c r="K651" s="83"/>
      <c r="L651" s="64" t="e">
        <v>#N/A</v>
      </c>
      <c r="M651" s="121">
        <v>0</v>
      </c>
      <c r="N651" s="59" t="str">
        <v>JP</v>
      </c>
      <c r="O651" s="126" t="str">
        <v>あへ</v>
      </c>
      <c r="P651" s="126" t="str">
        <v>゛ゅ</v>
      </c>
      <c r="Q651" s="127">
        <v>0</v>
      </c>
      <c r="R651" s="84">
        <v>3</v>
      </c>
      <c r="T651" s="100" t="e">
        <v>#N/A</v>
      </c>
      <c r="U651" s="121">
        <v>0</v>
      </c>
      <c r="V651" s="59" t="str">
        <v>JP</v>
      </c>
      <c r="W651" s="126" t="str">
        <v>あへ</v>
      </c>
      <c r="X651" s="126" t="str">
        <v>゛ゅ</v>
      </c>
      <c r="Y651" s="127">
        <v>0</v>
      </c>
      <c r="Z651" s="90">
        <v>3</v>
      </c>
    </row>
    <row r="652" spans="1:26" x14ac:dyDescent="0.4">
      <c r="A652" s="52">
        <v>651</v>
      </c>
      <c r="B652" s="51">
        <f t="shared" si="62"/>
        <v>22</v>
      </c>
      <c r="C652" s="50">
        <f t="shared" si="63"/>
        <v>21</v>
      </c>
      <c r="D652" s="64" t="e">
        <f t="shared" si="64"/>
        <v>#N/A</v>
      </c>
      <c r="E652" s="121" cm="1">
        <f t="array" ref="E652">INDEX(InputArea,B652,C652)</f>
        <v>0</v>
      </c>
      <c r="F652" s="59" t="str">
        <f t="shared" si="65"/>
        <v>JH</v>
      </c>
      <c r="G652" s="59" t="str">
        <f t="shared" si="66"/>
        <v>あく</v>
      </c>
      <c r="H652" s="134" t="s">
        <v>288</v>
      </c>
      <c r="I652" s="135"/>
      <c r="J652" s="84">
        <f t="shared" si="67"/>
        <v>3</v>
      </c>
      <c r="K652" s="83"/>
      <c r="L652" s="64" t="e">
        <v>#N/A</v>
      </c>
      <c r="M652" s="121">
        <v>0</v>
      </c>
      <c r="N652" s="59" t="str">
        <v>JH</v>
      </c>
      <c r="O652" s="126" t="str">
        <v>あく</v>
      </c>
      <c r="P652" s="126" t="str">
        <v>IME ON</v>
      </c>
      <c r="Q652" s="127">
        <v>0</v>
      </c>
      <c r="R652" s="84">
        <v>3</v>
      </c>
      <c r="T652" s="100" t="e">
        <v>#N/A</v>
      </c>
      <c r="U652" s="121">
        <v>0</v>
      </c>
      <c r="V652" s="59" t="str">
        <v>JH</v>
      </c>
      <c r="W652" s="126" t="str">
        <v>あく</v>
      </c>
      <c r="X652" s="126" t="str">
        <v>IME ON</v>
      </c>
      <c r="Y652" s="127">
        <v>0</v>
      </c>
      <c r="Z652" s="90">
        <v>3</v>
      </c>
    </row>
    <row r="653" spans="1:26" x14ac:dyDescent="0.4">
      <c r="A653" s="52">
        <v>652</v>
      </c>
      <c r="B653" s="51">
        <f t="shared" si="62"/>
        <v>22</v>
      </c>
      <c r="C653" s="50">
        <f t="shared" si="63"/>
        <v>22</v>
      </c>
      <c r="D653" s="64" t="e">
        <f t="shared" si="64"/>
        <v>#N/A</v>
      </c>
      <c r="E653" s="121" cm="1">
        <f t="array" ref="E653">INDEX(InputArea,B653,C653)</f>
        <v>0</v>
      </c>
      <c r="F653" s="59" t="str">
        <f t="shared" si="65"/>
        <v>JJ</v>
      </c>
      <c r="G653" s="59" t="str">
        <f t="shared" si="66"/>
        <v>ああ</v>
      </c>
      <c r="H653" s="134"/>
      <c r="I653" s="136" t="s">
        <v>521</v>
      </c>
      <c r="J653" s="84">
        <f t="shared" si="67"/>
        <v>3</v>
      </c>
      <c r="K653" s="83"/>
      <c r="L653" s="64" t="e">
        <v>#N/A</v>
      </c>
      <c r="M653" s="121">
        <v>0</v>
      </c>
      <c r="N653" s="59" t="str">
        <v>JJ</v>
      </c>
      <c r="O653" s="126" t="str">
        <v>ああ</v>
      </c>
      <c r="P653" s="126">
        <v>0</v>
      </c>
      <c r="Q653" s="127" t="str">
        <v>っｊ</v>
      </c>
      <c r="R653" s="84">
        <v>3</v>
      </c>
      <c r="T653" s="100" t="e">
        <v>#N/A</v>
      </c>
      <c r="U653" s="121">
        <v>0</v>
      </c>
      <c r="V653" s="59" t="str">
        <v>JJ</v>
      </c>
      <c r="W653" s="126" t="str">
        <v>ああ</v>
      </c>
      <c r="X653" s="126">
        <v>0</v>
      </c>
      <c r="Y653" s="127" t="str">
        <v>っｊ</v>
      </c>
      <c r="Z653" s="90">
        <v>3</v>
      </c>
    </row>
    <row r="654" spans="1:26" x14ac:dyDescent="0.4">
      <c r="A654" s="52">
        <v>653</v>
      </c>
      <c r="B654" s="51">
        <f t="shared" si="62"/>
        <v>22</v>
      </c>
      <c r="C654" s="50">
        <f t="shared" si="63"/>
        <v>23</v>
      </c>
      <c r="D654" s="64" t="e">
        <f t="shared" si="64"/>
        <v>#N/A</v>
      </c>
      <c r="E654" s="121" cm="1">
        <f t="array" ref="E654">INDEX(InputArea,B654,C654)</f>
        <v>0</v>
      </c>
      <c r="F654" s="59" t="str">
        <f t="shared" si="65"/>
        <v>JK</v>
      </c>
      <c r="G654" s="59" t="str">
        <f t="shared" si="66"/>
        <v>あい</v>
      </c>
      <c r="H654" s="137" t="s">
        <v>615</v>
      </c>
      <c r="I654" s="135"/>
      <c r="J654" s="84">
        <f t="shared" si="67"/>
        <v>3</v>
      </c>
      <c r="K654" s="83"/>
      <c r="L654" s="64" t="e">
        <v>#N/A</v>
      </c>
      <c r="M654" s="121">
        <v>0</v>
      </c>
      <c r="N654" s="59" t="str">
        <v>JK</v>
      </c>
      <c r="O654" s="126" t="str">
        <v>あい</v>
      </c>
      <c r="P654" s="126" t="str">
        <v>編集</v>
      </c>
      <c r="Q654" s="127">
        <v>0</v>
      </c>
      <c r="R654" s="84">
        <v>3</v>
      </c>
      <c r="T654" s="100" t="e">
        <v>#N/A</v>
      </c>
      <c r="U654" s="121">
        <v>0</v>
      </c>
      <c r="V654" s="59" t="str">
        <v>JK</v>
      </c>
      <c r="W654" s="126" t="str">
        <v>あい</v>
      </c>
      <c r="X654" s="126" t="str">
        <v>編集</v>
      </c>
      <c r="Y654" s="127">
        <v>0</v>
      </c>
      <c r="Z654" s="90">
        <v>3</v>
      </c>
    </row>
    <row r="655" spans="1:26" x14ac:dyDescent="0.4">
      <c r="A655" s="52">
        <v>654</v>
      </c>
      <c r="B655" s="51">
        <f t="shared" si="62"/>
        <v>22</v>
      </c>
      <c r="C655" s="50">
        <f t="shared" si="63"/>
        <v>24</v>
      </c>
      <c r="D655" s="64" t="e">
        <f t="shared" si="64"/>
        <v>#N/A</v>
      </c>
      <c r="E655" s="121" cm="1">
        <f t="array" ref="E655">INDEX(InputArea,B655,C655)</f>
        <v>0</v>
      </c>
      <c r="F655" s="59" t="str">
        <f t="shared" si="65"/>
        <v>JL</v>
      </c>
      <c r="G655" s="59" t="str">
        <f t="shared" si="66"/>
        <v>あう</v>
      </c>
      <c r="H655" s="134"/>
      <c r="I655" s="135"/>
      <c r="J655" s="84">
        <f t="shared" si="67"/>
        <v>3</v>
      </c>
      <c r="K655" s="83"/>
      <c r="L655" s="64" t="e">
        <v>#N/A</v>
      </c>
      <c r="M655" s="121">
        <v>0</v>
      </c>
      <c r="N655" s="59" t="str">
        <v>JL</v>
      </c>
      <c r="O655" s="126" t="str">
        <v>あう</v>
      </c>
      <c r="P655" s="126">
        <v>0</v>
      </c>
      <c r="Q655" s="127">
        <v>0</v>
      </c>
      <c r="R655" s="84">
        <v>3</v>
      </c>
      <c r="T655" s="100" t="e">
        <v>#N/A</v>
      </c>
      <c r="U655" s="121">
        <v>0</v>
      </c>
      <c r="V655" s="59" t="str">
        <v>JL</v>
      </c>
      <c r="W655" s="126" t="str">
        <v>あう</v>
      </c>
      <c r="X655" s="126">
        <v>0</v>
      </c>
      <c r="Y655" s="127">
        <v>0</v>
      </c>
      <c r="Z655" s="90">
        <v>3</v>
      </c>
    </row>
    <row r="656" spans="1:26" x14ac:dyDescent="0.4">
      <c r="A656" s="52">
        <v>655</v>
      </c>
      <c r="B656" s="51">
        <f t="shared" si="62"/>
        <v>22</v>
      </c>
      <c r="C656" s="50">
        <f t="shared" si="63"/>
        <v>25</v>
      </c>
      <c r="D656" s="64" t="e">
        <f t="shared" si="64"/>
        <v>#N/A</v>
      </c>
      <c r="E656" s="121" cm="1">
        <f t="array" ref="E656">INDEX(InputArea,B656,C656)</f>
        <v>0</v>
      </c>
      <c r="F656" s="59" t="str">
        <f t="shared" si="65"/>
        <v>J;</v>
      </c>
      <c r="G656" s="59" t="str">
        <f t="shared" si="66"/>
        <v>あー</v>
      </c>
      <c r="H656" s="134"/>
      <c r="I656" s="135"/>
      <c r="J656" s="84">
        <f t="shared" si="67"/>
        <v>3</v>
      </c>
      <c r="K656" s="83"/>
      <c r="L656" s="64" t="e">
        <v>#N/A</v>
      </c>
      <c r="M656" s="121">
        <v>0</v>
      </c>
      <c r="N656" s="59" t="str">
        <v>J;</v>
      </c>
      <c r="O656" s="126" t="str">
        <v>あー</v>
      </c>
      <c r="P656" s="126">
        <v>0</v>
      </c>
      <c r="Q656" s="127">
        <v>0</v>
      </c>
      <c r="R656" s="84">
        <v>3</v>
      </c>
      <c r="T656" s="100" t="e">
        <v>#N/A</v>
      </c>
      <c r="U656" s="121">
        <v>0</v>
      </c>
      <c r="V656" s="59" t="str">
        <v>J;</v>
      </c>
      <c r="W656" s="126" t="str">
        <v>あー</v>
      </c>
      <c r="X656" s="126">
        <v>0</v>
      </c>
      <c r="Y656" s="127">
        <v>0</v>
      </c>
      <c r="Z656" s="90">
        <v>3</v>
      </c>
    </row>
    <row r="657" spans="1:26" x14ac:dyDescent="0.4">
      <c r="A657" s="52">
        <v>656</v>
      </c>
      <c r="B657" s="51">
        <f t="shared" si="62"/>
        <v>22</v>
      </c>
      <c r="C657" s="50">
        <f t="shared" si="63"/>
        <v>26</v>
      </c>
      <c r="D657" s="64" t="e">
        <f t="shared" si="64"/>
        <v>#N/A</v>
      </c>
      <c r="E657" s="121" cm="1">
        <f t="array" ref="E657">INDEX(InputArea,B657,C657)</f>
        <v>0</v>
      </c>
      <c r="F657" s="59" t="str">
        <f t="shared" si="65"/>
        <v>JN</v>
      </c>
      <c r="G657" s="59" t="str">
        <f t="shared" si="66"/>
        <v>あた</v>
      </c>
      <c r="H657" s="134"/>
      <c r="I657" s="135"/>
      <c r="J657" s="84">
        <f t="shared" si="67"/>
        <v>3</v>
      </c>
      <c r="K657" s="83"/>
      <c r="L657" s="64" t="e">
        <v>#N/A</v>
      </c>
      <c r="M657" s="121">
        <v>0</v>
      </c>
      <c r="N657" s="59" t="str">
        <v>JN</v>
      </c>
      <c r="O657" s="126" t="str">
        <v>あた</v>
      </c>
      <c r="P657" s="126">
        <v>0</v>
      </c>
      <c r="Q657" s="127">
        <v>0</v>
      </c>
      <c r="R657" s="84">
        <v>3</v>
      </c>
      <c r="T657" s="100" t="e">
        <v>#N/A</v>
      </c>
      <c r="U657" s="121">
        <v>0</v>
      </c>
      <c r="V657" s="59" t="str">
        <v>JN</v>
      </c>
      <c r="W657" s="126" t="str">
        <v>あた</v>
      </c>
      <c r="X657" s="126">
        <v>0</v>
      </c>
      <c r="Y657" s="127">
        <v>0</v>
      </c>
      <c r="Z657" s="90">
        <v>3</v>
      </c>
    </row>
    <row r="658" spans="1:26" x14ac:dyDescent="0.4">
      <c r="A658" s="52">
        <v>657</v>
      </c>
      <c r="B658" s="51">
        <f t="shared" si="62"/>
        <v>22</v>
      </c>
      <c r="C658" s="50">
        <f t="shared" si="63"/>
        <v>27</v>
      </c>
      <c r="D658" s="64" t="e">
        <f t="shared" si="64"/>
        <v>#N/A</v>
      </c>
      <c r="E658" s="121" cm="1">
        <f t="array" ref="E658">INDEX(InputArea,B658,C658)</f>
        <v>0</v>
      </c>
      <c r="F658" s="59" t="str">
        <f t="shared" si="65"/>
        <v>JM</v>
      </c>
      <c r="G658" s="59" t="str">
        <f t="shared" si="66"/>
        <v>あな</v>
      </c>
      <c r="H658" s="134"/>
      <c r="I658" s="135"/>
      <c r="J658" s="84">
        <f t="shared" si="67"/>
        <v>3</v>
      </c>
      <c r="K658" s="83"/>
      <c r="L658" s="64" t="e">
        <v>#N/A</v>
      </c>
      <c r="M658" s="121">
        <v>0</v>
      </c>
      <c r="N658" s="59" t="str">
        <v>JM</v>
      </c>
      <c r="O658" s="126" t="str">
        <v>あな</v>
      </c>
      <c r="P658" s="126">
        <v>0</v>
      </c>
      <c r="Q658" s="127">
        <v>0</v>
      </c>
      <c r="R658" s="84">
        <v>3</v>
      </c>
      <c r="T658" s="100" t="e">
        <v>#N/A</v>
      </c>
      <c r="U658" s="121">
        <v>0</v>
      </c>
      <c r="V658" s="59" t="str">
        <v>JM</v>
      </c>
      <c r="W658" s="126" t="str">
        <v>あな</v>
      </c>
      <c r="X658" s="126">
        <v>0</v>
      </c>
      <c r="Y658" s="127">
        <v>0</v>
      </c>
      <c r="Z658" s="90">
        <v>3</v>
      </c>
    </row>
    <row r="659" spans="1:26" x14ac:dyDescent="0.4">
      <c r="A659" s="52">
        <v>658</v>
      </c>
      <c r="B659" s="51">
        <f t="shared" si="62"/>
        <v>22</v>
      </c>
      <c r="C659" s="50">
        <f t="shared" si="63"/>
        <v>28</v>
      </c>
      <c r="D659" s="64" t="e">
        <f t="shared" si="64"/>
        <v>#N/A</v>
      </c>
      <c r="E659" s="121" cm="1">
        <f t="array" ref="E659">INDEX(InputArea,B659,C659)</f>
        <v>0</v>
      </c>
      <c r="F659" s="59" t="str">
        <f t="shared" si="65"/>
        <v>J,</v>
      </c>
      <c r="G659" s="59" t="str">
        <f t="shared" si="66"/>
        <v>あん</v>
      </c>
      <c r="H659" s="134"/>
      <c r="I659" s="135"/>
      <c r="J659" s="84">
        <f t="shared" si="67"/>
        <v>3</v>
      </c>
      <c r="K659" s="83"/>
      <c r="L659" s="64" t="e">
        <v>#N/A</v>
      </c>
      <c r="M659" s="121">
        <v>0</v>
      </c>
      <c r="N659" s="59" t="str">
        <v>J,</v>
      </c>
      <c r="O659" s="126" t="str">
        <v>あん</v>
      </c>
      <c r="P659" s="126">
        <v>0</v>
      </c>
      <c r="Q659" s="127">
        <v>0</v>
      </c>
      <c r="R659" s="84">
        <v>3</v>
      </c>
      <c r="T659" s="100" t="e">
        <v>#N/A</v>
      </c>
      <c r="U659" s="121">
        <v>0</v>
      </c>
      <c r="V659" s="59" t="str">
        <v>J,</v>
      </c>
      <c r="W659" s="126" t="str">
        <v>あん</v>
      </c>
      <c r="X659" s="126">
        <v>0</v>
      </c>
      <c r="Y659" s="127">
        <v>0</v>
      </c>
      <c r="Z659" s="90">
        <v>3</v>
      </c>
    </row>
    <row r="660" spans="1:26" x14ac:dyDescent="0.4">
      <c r="A660" s="52">
        <v>659</v>
      </c>
      <c r="B660" s="51">
        <f t="shared" si="62"/>
        <v>22</v>
      </c>
      <c r="C660" s="50">
        <f t="shared" si="63"/>
        <v>29</v>
      </c>
      <c r="D660" s="64" t="e">
        <f t="shared" si="64"/>
        <v>#N/A</v>
      </c>
      <c r="E660" s="121" cm="1">
        <f t="array" ref="E660">INDEX(InputArea,B660,C660)</f>
        <v>0</v>
      </c>
      <c r="F660" s="59" t="str">
        <f t="shared" si="65"/>
        <v>J.</v>
      </c>
      <c r="G660" s="59" t="str">
        <f t="shared" si="66"/>
        <v>あら</v>
      </c>
      <c r="H660" s="134"/>
      <c r="I660" s="135"/>
      <c r="J660" s="84">
        <f t="shared" si="67"/>
        <v>3</v>
      </c>
      <c r="K660" s="83"/>
      <c r="L660" s="64" t="e">
        <v>#N/A</v>
      </c>
      <c r="M660" s="121">
        <v>0</v>
      </c>
      <c r="N660" s="59" t="str">
        <v>J.</v>
      </c>
      <c r="O660" s="126" t="str">
        <v>あら</v>
      </c>
      <c r="P660" s="126">
        <v>0</v>
      </c>
      <c r="Q660" s="127">
        <v>0</v>
      </c>
      <c r="R660" s="84">
        <v>3</v>
      </c>
      <c r="T660" s="100" t="e">
        <v>#N/A</v>
      </c>
      <c r="U660" s="121">
        <v>0</v>
      </c>
      <c r="V660" s="59" t="str">
        <v>J.</v>
      </c>
      <c r="W660" s="126" t="str">
        <v>あら</v>
      </c>
      <c r="X660" s="126">
        <v>0</v>
      </c>
      <c r="Y660" s="127">
        <v>0</v>
      </c>
      <c r="Z660" s="90">
        <v>3</v>
      </c>
    </row>
    <row r="661" spans="1:26" x14ac:dyDescent="0.4">
      <c r="A661" s="52">
        <v>660</v>
      </c>
      <c r="B661" s="51">
        <f t="shared" si="62"/>
        <v>22</v>
      </c>
      <c r="C661" s="50">
        <f t="shared" si="63"/>
        <v>30</v>
      </c>
      <c r="D661" s="64" t="e">
        <f t="shared" si="64"/>
        <v>#N/A</v>
      </c>
      <c r="E661" s="121" cm="1">
        <f t="array" ref="E661">INDEX(InputArea,B661,C661)</f>
        <v>0</v>
      </c>
      <c r="F661" s="59" t="str">
        <f t="shared" si="65"/>
        <v>J/</v>
      </c>
      <c r="G661" s="59" t="str">
        <f t="shared" si="66"/>
        <v>あれ</v>
      </c>
      <c r="H661" s="134"/>
      <c r="I661" s="135"/>
      <c r="J661" s="84">
        <f t="shared" si="67"/>
        <v>3</v>
      </c>
      <c r="K661" s="83"/>
      <c r="L661" s="64" t="e">
        <v>#N/A</v>
      </c>
      <c r="M661" s="121">
        <v>0</v>
      </c>
      <c r="N661" s="59" t="str">
        <v>J/</v>
      </c>
      <c r="O661" s="126" t="str">
        <v>あれ</v>
      </c>
      <c r="P661" s="126">
        <v>0</v>
      </c>
      <c r="Q661" s="127">
        <v>0</v>
      </c>
      <c r="R661" s="84">
        <v>3</v>
      </c>
      <c r="T661" s="100" t="e">
        <v>#N/A</v>
      </c>
      <c r="U661" s="121">
        <v>0</v>
      </c>
      <c r="V661" s="59" t="str">
        <v>J/</v>
      </c>
      <c r="W661" s="126" t="str">
        <v>あれ</v>
      </c>
      <c r="X661" s="126">
        <v>0</v>
      </c>
      <c r="Y661" s="127">
        <v>0</v>
      </c>
      <c r="Z661" s="90">
        <v>3</v>
      </c>
    </row>
    <row r="662" spans="1:26" x14ac:dyDescent="0.4">
      <c r="A662" s="52">
        <v>661</v>
      </c>
      <c r="B662" s="51">
        <f t="shared" si="62"/>
        <v>23</v>
      </c>
      <c r="C662" s="50">
        <f t="shared" si="63"/>
        <v>1</v>
      </c>
      <c r="D662" s="64" t="e">
        <f t="shared" si="64"/>
        <v>#N/A</v>
      </c>
      <c r="E662" s="121" cm="1">
        <f t="array" ref="E662">INDEX(InputArea,B662,C662)</f>
        <v>0</v>
      </c>
      <c r="F662" s="59" t="str">
        <f t="shared" si="65"/>
        <v>KQ</v>
      </c>
      <c r="G662" s="59" t="str">
        <f t="shared" si="66"/>
        <v>いヴ</v>
      </c>
      <c r="H662" s="137" t="s">
        <v>241</v>
      </c>
      <c r="I662" s="135"/>
      <c r="J662" s="84">
        <f t="shared" si="67"/>
        <v>2</v>
      </c>
      <c r="K662" s="83"/>
      <c r="L662" s="64" t="e">
        <v>#N/A</v>
      </c>
      <c r="M662" s="121">
        <v>0</v>
      </c>
      <c r="N662" s="59" t="str">
        <v>KQ</v>
      </c>
      <c r="O662" s="126" t="str">
        <v>いヴ</v>
      </c>
      <c r="P662" s="126" t="str">
        <v>ぃ</v>
      </c>
      <c r="Q662" s="127">
        <v>0</v>
      </c>
      <c r="R662" s="84">
        <v>2</v>
      </c>
      <c r="T662" s="100" t="e">
        <v>#N/A</v>
      </c>
      <c r="U662" s="121">
        <v>0</v>
      </c>
      <c r="V662" s="59" t="str">
        <v>KQ</v>
      </c>
      <c r="W662" s="126" t="str">
        <v>いヴ</v>
      </c>
      <c r="X662" s="126" t="str">
        <v>ぃ</v>
      </c>
      <c r="Y662" s="127">
        <v>0</v>
      </c>
      <c r="Z662" s="90">
        <v>2</v>
      </c>
    </row>
    <row r="663" spans="1:26" x14ac:dyDescent="0.4">
      <c r="A663" s="52">
        <v>662</v>
      </c>
      <c r="B663" s="51">
        <f t="shared" si="62"/>
        <v>23</v>
      </c>
      <c r="C663" s="50">
        <f t="shared" si="63"/>
        <v>2</v>
      </c>
      <c r="D663" s="64" t="e">
        <f t="shared" si="64"/>
        <v>#N/A</v>
      </c>
      <c r="E663" s="121" cm="1">
        <f t="array" ref="E663">INDEX(InputArea,B663,C663)</f>
        <v>0</v>
      </c>
      <c r="F663" s="59" t="str">
        <f t="shared" si="65"/>
        <v>KW</v>
      </c>
      <c r="G663" s="59" t="str">
        <f t="shared" si="66"/>
        <v>いき</v>
      </c>
      <c r="H663" s="134"/>
      <c r="I663" s="135"/>
      <c r="J663" s="84">
        <f t="shared" si="67"/>
        <v>2</v>
      </c>
      <c r="K663" s="83"/>
      <c r="L663" s="64" t="e">
        <v>#N/A</v>
      </c>
      <c r="M663" s="121">
        <v>0</v>
      </c>
      <c r="N663" s="59" t="str">
        <v>KW</v>
      </c>
      <c r="O663" s="126" t="str">
        <v>いき</v>
      </c>
      <c r="P663" s="126">
        <v>0</v>
      </c>
      <c r="Q663" s="127">
        <v>0</v>
      </c>
      <c r="R663" s="84">
        <v>2</v>
      </c>
      <c r="T663" s="100" t="e">
        <v>#N/A</v>
      </c>
      <c r="U663" s="121">
        <v>0</v>
      </c>
      <c r="V663" s="59" t="str">
        <v>KW</v>
      </c>
      <c r="W663" s="126" t="str">
        <v>いき</v>
      </c>
      <c r="X663" s="126">
        <v>0</v>
      </c>
      <c r="Y663" s="127">
        <v>0</v>
      </c>
      <c r="Z663" s="90">
        <v>2</v>
      </c>
    </row>
    <row r="664" spans="1:26" x14ac:dyDescent="0.4">
      <c r="A664" s="52">
        <v>663</v>
      </c>
      <c r="B664" s="51">
        <f t="shared" si="62"/>
        <v>23</v>
      </c>
      <c r="C664" s="50">
        <f t="shared" si="63"/>
        <v>3</v>
      </c>
      <c r="D664" s="64" t="e">
        <f t="shared" si="64"/>
        <v>#N/A</v>
      </c>
      <c r="E664" s="121" cm="1">
        <f t="array" ref="E664">INDEX(InputArea,B664,C664)</f>
        <v>0</v>
      </c>
      <c r="F664" s="59" t="str">
        <f t="shared" si="65"/>
        <v>KE</v>
      </c>
      <c r="G664" s="59" t="str">
        <f t="shared" si="66"/>
        <v>いて</v>
      </c>
      <c r="H664" s="134"/>
      <c r="I664" s="136" t="s">
        <v>522</v>
      </c>
      <c r="J664" s="84">
        <f t="shared" si="67"/>
        <v>2</v>
      </c>
      <c r="K664" s="83"/>
      <c r="L664" s="64" t="e">
        <v>#N/A</v>
      </c>
      <c r="M664" s="121">
        <v>0</v>
      </c>
      <c r="N664" s="59" t="str">
        <v>KE</v>
      </c>
      <c r="O664" s="126" t="str">
        <v>いて</v>
      </c>
      <c r="P664" s="126">
        <v>0</v>
      </c>
      <c r="Q664" s="127" t="str">
        <v>け</v>
      </c>
      <c r="R664" s="84">
        <v>2</v>
      </c>
      <c r="T664" s="100" t="e">
        <v>#N/A</v>
      </c>
      <c r="U664" s="121">
        <v>0</v>
      </c>
      <c r="V664" s="59" t="str">
        <v>KE</v>
      </c>
      <c r="W664" s="126" t="str">
        <v>いて</v>
      </c>
      <c r="X664" s="126">
        <v>0</v>
      </c>
      <c r="Y664" s="127" t="str">
        <v>け</v>
      </c>
      <c r="Z664" s="90">
        <v>2</v>
      </c>
    </row>
    <row r="665" spans="1:26" x14ac:dyDescent="0.4">
      <c r="A665" s="52">
        <v>664</v>
      </c>
      <c r="B665" s="51">
        <f t="shared" si="62"/>
        <v>23</v>
      </c>
      <c r="C665" s="50">
        <f t="shared" si="63"/>
        <v>4</v>
      </c>
      <c r="D665" s="64" t="e">
        <f t="shared" si="64"/>
        <v>#N/A</v>
      </c>
      <c r="E665" s="121" cm="1">
        <f t="array" ref="E665">INDEX(InputArea,B665,C665)</f>
        <v>0</v>
      </c>
      <c r="F665" s="59" t="str">
        <f t="shared" si="65"/>
        <v>KR</v>
      </c>
      <c r="G665" s="59" t="str">
        <f t="shared" si="66"/>
        <v>いし</v>
      </c>
      <c r="H665" s="134"/>
      <c r="I665" s="135"/>
      <c r="J665" s="84">
        <f t="shared" si="67"/>
        <v>2</v>
      </c>
      <c r="K665" s="83"/>
      <c r="L665" s="64" t="e">
        <v>#N/A</v>
      </c>
      <c r="M665" s="121">
        <v>0</v>
      </c>
      <c r="N665" s="59" t="str">
        <v>KR</v>
      </c>
      <c r="O665" s="126" t="str">
        <v>いし</v>
      </c>
      <c r="P665" s="126">
        <v>0</v>
      </c>
      <c r="Q665" s="127">
        <v>0</v>
      </c>
      <c r="R665" s="84">
        <v>2</v>
      </c>
      <c r="T665" s="100" t="e">
        <v>#N/A</v>
      </c>
      <c r="U665" s="121">
        <v>0</v>
      </c>
      <c r="V665" s="59" t="str">
        <v>KR</v>
      </c>
      <c r="W665" s="126" t="str">
        <v>いし</v>
      </c>
      <c r="X665" s="126">
        <v>0</v>
      </c>
      <c r="Y665" s="127">
        <v>0</v>
      </c>
      <c r="Z665" s="90">
        <v>2</v>
      </c>
    </row>
    <row r="666" spans="1:26" x14ac:dyDescent="0.4">
      <c r="A666" s="52">
        <v>665</v>
      </c>
      <c r="B666" s="51">
        <f t="shared" si="62"/>
        <v>23</v>
      </c>
      <c r="C666" s="50">
        <f t="shared" si="63"/>
        <v>5</v>
      </c>
      <c r="D666" s="64" t="e">
        <f t="shared" si="64"/>
        <v>#N/A</v>
      </c>
      <c r="E666" s="121" cm="1">
        <f t="array" ref="E666">INDEX(InputArea,B666,C666)</f>
        <v>0</v>
      </c>
      <c r="F666" s="59" t="str">
        <f t="shared" si="65"/>
        <v>KT</v>
      </c>
      <c r="G666" s="59" t="str">
        <f t="shared" si="66"/>
        <v>い←</v>
      </c>
      <c r="H666" s="134"/>
      <c r="I666" s="135"/>
      <c r="J666" s="84">
        <f t="shared" si="67"/>
        <v>2</v>
      </c>
      <c r="K666" s="83"/>
      <c r="L666" s="64" t="e">
        <v>#N/A</v>
      </c>
      <c r="M666" s="121">
        <v>0</v>
      </c>
      <c r="N666" s="59" t="str">
        <v>KT</v>
      </c>
      <c r="O666" s="126" t="str">
        <v>い←</v>
      </c>
      <c r="P666" s="126">
        <v>0</v>
      </c>
      <c r="Q666" s="127">
        <v>0</v>
      </c>
      <c r="R666" s="84">
        <v>2</v>
      </c>
      <c r="T666" s="100" t="e">
        <v>#N/A</v>
      </c>
      <c r="U666" s="121">
        <v>0</v>
      </c>
      <c r="V666" s="59" t="str">
        <v>KT</v>
      </c>
      <c r="W666" s="126" t="str">
        <v>い←</v>
      </c>
      <c r="X666" s="126">
        <v>0</v>
      </c>
      <c r="Y666" s="127">
        <v>0</v>
      </c>
      <c r="Z666" s="90">
        <v>2</v>
      </c>
    </row>
    <row r="667" spans="1:26" x14ac:dyDescent="0.4">
      <c r="A667" s="52">
        <v>666</v>
      </c>
      <c r="B667" s="51">
        <f t="shared" si="62"/>
        <v>23</v>
      </c>
      <c r="C667" s="50">
        <f t="shared" si="63"/>
        <v>6</v>
      </c>
      <c r="D667" s="64" t="e">
        <f t="shared" si="64"/>
        <v>#N/A</v>
      </c>
      <c r="E667" s="121" cm="1">
        <f t="array" ref="E667">INDEX(InputArea,B667,C667)</f>
        <v>0</v>
      </c>
      <c r="F667" s="59" t="str">
        <f t="shared" si="65"/>
        <v>KA</v>
      </c>
      <c r="G667" s="59" t="str">
        <f t="shared" si="66"/>
        <v>いろ</v>
      </c>
      <c r="H667" s="134"/>
      <c r="I667" s="136" t="s">
        <v>404</v>
      </c>
      <c r="J667" s="84">
        <f t="shared" si="67"/>
        <v>2</v>
      </c>
      <c r="K667" s="83"/>
      <c r="L667" s="64" t="e">
        <v>#N/A</v>
      </c>
      <c r="M667" s="121">
        <v>0</v>
      </c>
      <c r="N667" s="59" t="str">
        <v>KA</v>
      </c>
      <c r="O667" s="126" t="str">
        <v>いろ</v>
      </c>
      <c r="P667" s="126">
        <v>0</v>
      </c>
      <c r="Q667" s="127" t="str">
        <v>か</v>
      </c>
      <c r="R667" s="84">
        <v>2</v>
      </c>
      <c r="T667" s="100" t="e">
        <v>#N/A</v>
      </c>
      <c r="U667" s="121">
        <v>0</v>
      </c>
      <c r="V667" s="59" t="str">
        <v>KA</v>
      </c>
      <c r="W667" s="126" t="str">
        <v>いろ</v>
      </c>
      <c r="X667" s="126">
        <v>0</v>
      </c>
      <c r="Y667" s="127" t="str">
        <v>か</v>
      </c>
      <c r="Z667" s="90">
        <v>2</v>
      </c>
    </row>
    <row r="668" spans="1:26" x14ac:dyDescent="0.4">
      <c r="A668" s="52">
        <v>667</v>
      </c>
      <c r="B668" s="51">
        <f t="shared" si="62"/>
        <v>23</v>
      </c>
      <c r="C668" s="50">
        <f t="shared" si="63"/>
        <v>7</v>
      </c>
      <c r="D668" s="64" t="e">
        <f t="shared" si="64"/>
        <v>#N/A</v>
      </c>
      <c r="E668" s="121" cm="1">
        <f t="array" ref="E668">INDEX(InputArea,B668,C668)</f>
        <v>0</v>
      </c>
      <c r="F668" s="59" t="str">
        <f t="shared" si="65"/>
        <v>KS</v>
      </c>
      <c r="G668" s="59" t="str">
        <f t="shared" si="66"/>
        <v>いけ</v>
      </c>
      <c r="H668" s="134"/>
      <c r="I668" s="135"/>
      <c r="J668" s="84">
        <f t="shared" si="67"/>
        <v>2</v>
      </c>
      <c r="K668" s="83"/>
      <c r="L668" s="64" t="e">
        <v>#N/A</v>
      </c>
      <c r="M668" s="121">
        <v>0</v>
      </c>
      <c r="N668" s="59" t="str">
        <v>KS</v>
      </c>
      <c r="O668" s="126" t="str">
        <v>いけ</v>
      </c>
      <c r="P668" s="126">
        <v>0</v>
      </c>
      <c r="Q668" s="127">
        <v>0</v>
      </c>
      <c r="R668" s="84">
        <v>2</v>
      </c>
      <c r="T668" s="100" t="e">
        <v>#N/A</v>
      </c>
      <c r="U668" s="121">
        <v>0</v>
      </c>
      <c r="V668" s="59" t="str">
        <v>KS</v>
      </c>
      <c r="W668" s="126" t="str">
        <v>いけ</v>
      </c>
      <c r="X668" s="126">
        <v>0</v>
      </c>
      <c r="Y668" s="127">
        <v>0</v>
      </c>
      <c r="Z668" s="90">
        <v>2</v>
      </c>
    </row>
    <row r="669" spans="1:26" x14ac:dyDescent="0.4">
      <c r="A669" s="52">
        <v>668</v>
      </c>
      <c r="B669" s="51">
        <f t="shared" si="62"/>
        <v>23</v>
      </c>
      <c r="C669" s="50">
        <f t="shared" si="63"/>
        <v>8</v>
      </c>
      <c r="D669" s="64" t="e">
        <f t="shared" si="64"/>
        <v>#N/A</v>
      </c>
      <c r="E669" s="121" cm="1">
        <f t="array" ref="E669">INDEX(InputArea,B669,C669)</f>
        <v>0</v>
      </c>
      <c r="F669" s="59" t="str">
        <f t="shared" si="65"/>
        <v>KD</v>
      </c>
      <c r="G669" s="59" t="str">
        <f t="shared" si="66"/>
        <v>いと</v>
      </c>
      <c r="H669" s="134"/>
      <c r="I669" s="135"/>
      <c r="J669" s="84">
        <f t="shared" si="67"/>
        <v>2</v>
      </c>
      <c r="K669" s="83"/>
      <c r="L669" s="64" t="e">
        <v>#N/A</v>
      </c>
      <c r="M669" s="121">
        <v>0</v>
      </c>
      <c r="N669" s="59" t="str">
        <v>KD</v>
      </c>
      <c r="O669" s="126" t="str">
        <v>いと</v>
      </c>
      <c r="P669" s="126">
        <v>0</v>
      </c>
      <c r="Q669" s="127">
        <v>0</v>
      </c>
      <c r="R669" s="84">
        <v>2</v>
      </c>
      <c r="T669" s="100" t="e">
        <v>#N/A</v>
      </c>
      <c r="U669" s="121">
        <v>0</v>
      </c>
      <c r="V669" s="59" t="str">
        <v>KD</v>
      </c>
      <c r="W669" s="126" t="str">
        <v>いと</v>
      </c>
      <c r="X669" s="126">
        <v>0</v>
      </c>
      <c r="Y669" s="127">
        <v>0</v>
      </c>
      <c r="Z669" s="90">
        <v>2</v>
      </c>
    </row>
    <row r="670" spans="1:26" x14ac:dyDescent="0.4">
      <c r="A670" s="52">
        <v>669</v>
      </c>
      <c r="B670" s="51">
        <f t="shared" si="62"/>
        <v>23</v>
      </c>
      <c r="C670" s="50">
        <f t="shared" si="63"/>
        <v>9</v>
      </c>
      <c r="D670" s="64" t="e">
        <f t="shared" si="64"/>
        <v>#N/A</v>
      </c>
      <c r="E670" s="121" cm="1">
        <f t="array" ref="E670">INDEX(InputArea,B670,C670)</f>
        <v>0</v>
      </c>
      <c r="F670" s="59" t="str">
        <f t="shared" si="65"/>
        <v>KF</v>
      </c>
      <c r="G670" s="59" t="str">
        <f t="shared" si="66"/>
        <v>いか</v>
      </c>
      <c r="H670" s="134"/>
      <c r="I670" s="135"/>
      <c r="J670" s="84">
        <f t="shared" si="67"/>
        <v>2</v>
      </c>
      <c r="K670" s="83"/>
      <c r="L670" s="64" t="e">
        <v>#N/A</v>
      </c>
      <c r="M670" s="121">
        <v>0</v>
      </c>
      <c r="N670" s="59" t="str">
        <v>KF</v>
      </c>
      <c r="O670" s="126" t="str">
        <v>いか</v>
      </c>
      <c r="P670" s="126">
        <v>0</v>
      </c>
      <c r="Q670" s="127">
        <v>0</v>
      </c>
      <c r="R670" s="84">
        <v>2</v>
      </c>
      <c r="T670" s="100" t="e">
        <v>#N/A</v>
      </c>
      <c r="U670" s="121">
        <v>0</v>
      </c>
      <c r="V670" s="59" t="str">
        <v>KF</v>
      </c>
      <c r="W670" s="126" t="str">
        <v>いか</v>
      </c>
      <c r="X670" s="126">
        <v>0</v>
      </c>
      <c r="Y670" s="127">
        <v>0</v>
      </c>
      <c r="Z670" s="90">
        <v>2</v>
      </c>
    </row>
    <row r="671" spans="1:26" x14ac:dyDescent="0.4">
      <c r="A671" s="52">
        <v>670</v>
      </c>
      <c r="B671" s="51">
        <f t="shared" si="62"/>
        <v>23</v>
      </c>
      <c r="C671" s="50">
        <f t="shared" si="63"/>
        <v>10</v>
      </c>
      <c r="D671" s="64" t="e">
        <f t="shared" si="64"/>
        <v>#N/A</v>
      </c>
      <c r="E671" s="121" cm="1">
        <f t="array" ref="E671">INDEX(InputArea,B671,C671)</f>
        <v>0</v>
      </c>
      <c r="F671" s="59" t="str">
        <f t="shared" si="65"/>
        <v>KG</v>
      </c>
      <c r="G671" s="59" t="str">
        <f t="shared" si="66"/>
        <v>いっ</v>
      </c>
      <c r="H671" s="134"/>
      <c r="I671" s="135"/>
      <c r="J671" s="84">
        <f t="shared" si="67"/>
        <v>2</v>
      </c>
      <c r="K671" s="83"/>
      <c r="L671" s="64" t="e">
        <v>#N/A</v>
      </c>
      <c r="M671" s="121">
        <v>0</v>
      </c>
      <c r="N671" s="59" t="str">
        <v>KG</v>
      </c>
      <c r="O671" s="126" t="str">
        <v>いっ</v>
      </c>
      <c r="P671" s="126">
        <v>0</v>
      </c>
      <c r="Q671" s="127">
        <v>0</v>
      </c>
      <c r="R671" s="84">
        <v>2</v>
      </c>
      <c r="T671" s="100" t="e">
        <v>#N/A</v>
      </c>
      <c r="U671" s="121">
        <v>0</v>
      </c>
      <c r="V671" s="59" t="str">
        <v>KG</v>
      </c>
      <c r="W671" s="126" t="str">
        <v>いっ</v>
      </c>
      <c r="X671" s="126">
        <v>0</v>
      </c>
      <c r="Y671" s="127">
        <v>0</v>
      </c>
      <c r="Z671" s="90">
        <v>2</v>
      </c>
    </row>
    <row r="672" spans="1:26" x14ac:dyDescent="0.4">
      <c r="A672" s="52">
        <v>671</v>
      </c>
      <c r="B672" s="51">
        <f t="shared" si="62"/>
        <v>23</v>
      </c>
      <c r="C672" s="50">
        <f t="shared" si="63"/>
        <v>11</v>
      </c>
      <c r="D672" s="64" t="e">
        <f t="shared" si="64"/>
        <v>#N/A</v>
      </c>
      <c r="E672" s="121" cm="1">
        <f t="array" ref="E672">INDEX(InputArea,B672,C672)</f>
        <v>0</v>
      </c>
      <c r="F672" s="59" t="str">
        <f t="shared" si="65"/>
        <v>KZ</v>
      </c>
      <c r="G672" s="59" t="str">
        <f t="shared" si="66"/>
        <v>いほ</v>
      </c>
      <c r="H672" s="134"/>
      <c r="I672" s="135"/>
      <c r="J672" s="84">
        <f t="shared" si="67"/>
        <v>2</v>
      </c>
      <c r="K672" s="83"/>
      <c r="L672" s="64" t="e">
        <v>#N/A</v>
      </c>
      <c r="M672" s="121">
        <v>0</v>
      </c>
      <c r="N672" s="59" t="str">
        <v>KZ</v>
      </c>
      <c r="O672" s="126" t="str">
        <v>いほ</v>
      </c>
      <c r="P672" s="126">
        <v>0</v>
      </c>
      <c r="Q672" s="127">
        <v>0</v>
      </c>
      <c r="R672" s="84">
        <v>2</v>
      </c>
      <c r="T672" s="100" t="e">
        <v>#N/A</v>
      </c>
      <c r="U672" s="121">
        <v>0</v>
      </c>
      <c r="V672" s="59" t="str">
        <v>KZ</v>
      </c>
      <c r="W672" s="126" t="str">
        <v>いほ</v>
      </c>
      <c r="X672" s="126">
        <v>0</v>
      </c>
      <c r="Y672" s="127">
        <v>0</v>
      </c>
      <c r="Z672" s="90">
        <v>2</v>
      </c>
    </row>
    <row r="673" spans="1:26" x14ac:dyDescent="0.4">
      <c r="A673" s="52">
        <v>672</v>
      </c>
      <c r="B673" s="51">
        <f t="shared" si="62"/>
        <v>23</v>
      </c>
      <c r="C673" s="50">
        <f t="shared" si="63"/>
        <v>12</v>
      </c>
      <c r="D673" s="64" t="e">
        <f t="shared" si="64"/>
        <v>#N/A</v>
      </c>
      <c r="E673" s="121" cm="1">
        <f t="array" ref="E673">INDEX(InputArea,B673,C673)</f>
        <v>0</v>
      </c>
      <c r="F673" s="59" t="str">
        <f t="shared" si="65"/>
        <v>KX</v>
      </c>
      <c r="G673" s="59" t="str">
        <f t="shared" si="66"/>
        <v>いひ</v>
      </c>
      <c r="H673" s="134"/>
      <c r="I673" s="135"/>
      <c r="J673" s="84">
        <f t="shared" si="67"/>
        <v>2</v>
      </c>
      <c r="K673" s="83"/>
      <c r="L673" s="64" t="e">
        <v>#N/A</v>
      </c>
      <c r="M673" s="121">
        <v>0</v>
      </c>
      <c r="N673" s="59" t="str">
        <v>KX</v>
      </c>
      <c r="O673" s="126" t="str">
        <v>いひ</v>
      </c>
      <c r="P673" s="126">
        <v>0</v>
      </c>
      <c r="Q673" s="127">
        <v>0</v>
      </c>
      <c r="R673" s="84">
        <v>2</v>
      </c>
      <c r="T673" s="100" t="e">
        <v>#N/A</v>
      </c>
      <c r="U673" s="121">
        <v>0</v>
      </c>
      <c r="V673" s="59" t="str">
        <v>KX</v>
      </c>
      <c r="W673" s="126" t="str">
        <v>いひ</v>
      </c>
      <c r="X673" s="126">
        <v>0</v>
      </c>
      <c r="Y673" s="127">
        <v>0</v>
      </c>
      <c r="Z673" s="90">
        <v>2</v>
      </c>
    </row>
    <row r="674" spans="1:26" x14ac:dyDescent="0.4">
      <c r="A674" s="52">
        <v>673</v>
      </c>
      <c r="B674" s="51">
        <f t="shared" si="62"/>
        <v>23</v>
      </c>
      <c r="C674" s="50">
        <f t="shared" si="63"/>
        <v>13</v>
      </c>
      <c r="D674" s="64" t="e">
        <f t="shared" si="64"/>
        <v>#N/A</v>
      </c>
      <c r="E674" s="121" cm="1">
        <f t="array" ref="E674">INDEX(InputArea,B674,C674)</f>
        <v>0</v>
      </c>
      <c r="F674" s="59" t="str">
        <f t="shared" si="65"/>
        <v>KC</v>
      </c>
      <c r="G674" s="59" t="str">
        <f t="shared" si="66"/>
        <v>いは</v>
      </c>
      <c r="H674" s="134"/>
      <c r="I674" s="135"/>
      <c r="J674" s="84">
        <f t="shared" si="67"/>
        <v>2</v>
      </c>
      <c r="K674" s="83"/>
      <c r="L674" s="64" t="e">
        <v>#N/A</v>
      </c>
      <c r="M674" s="121">
        <v>0</v>
      </c>
      <c r="N674" s="59" t="str">
        <v>KC</v>
      </c>
      <c r="O674" s="126" t="str">
        <v>いは</v>
      </c>
      <c r="P674" s="126">
        <v>0</v>
      </c>
      <c r="Q674" s="127">
        <v>0</v>
      </c>
      <c r="R674" s="84">
        <v>2</v>
      </c>
      <c r="T674" s="100" t="e">
        <v>#N/A</v>
      </c>
      <c r="U674" s="121">
        <v>0</v>
      </c>
      <c r="V674" s="59" t="str">
        <v>KC</v>
      </c>
      <c r="W674" s="126" t="str">
        <v>いは</v>
      </c>
      <c r="X674" s="126">
        <v>0</v>
      </c>
      <c r="Y674" s="127">
        <v>0</v>
      </c>
      <c r="Z674" s="90">
        <v>2</v>
      </c>
    </row>
    <row r="675" spans="1:26" x14ac:dyDescent="0.4">
      <c r="A675" s="52">
        <v>674</v>
      </c>
      <c r="B675" s="51">
        <f t="shared" si="62"/>
        <v>23</v>
      </c>
      <c r="C675" s="50">
        <f t="shared" si="63"/>
        <v>14</v>
      </c>
      <c r="D675" s="64" t="e">
        <f t="shared" si="64"/>
        <v>#N/A</v>
      </c>
      <c r="E675" s="121" cm="1">
        <f t="array" ref="E675">INDEX(InputArea,B675,C675)</f>
        <v>0</v>
      </c>
      <c r="F675" s="59" t="str">
        <f t="shared" si="65"/>
        <v>KV</v>
      </c>
      <c r="G675" s="59" t="str">
        <f t="shared" si="66"/>
        <v>いこ</v>
      </c>
      <c r="H675" s="134"/>
      <c r="I675" s="135"/>
      <c r="J675" s="84">
        <f t="shared" si="67"/>
        <v>2</v>
      </c>
      <c r="K675" s="83"/>
      <c r="L675" s="64" t="e">
        <v>#N/A</v>
      </c>
      <c r="M675" s="121">
        <v>0</v>
      </c>
      <c r="N675" s="59" t="str">
        <v>KV</v>
      </c>
      <c r="O675" s="126" t="str">
        <v>いこ</v>
      </c>
      <c r="P675" s="126">
        <v>0</v>
      </c>
      <c r="Q675" s="127">
        <v>0</v>
      </c>
      <c r="R675" s="84">
        <v>2</v>
      </c>
      <c r="T675" s="100" t="e">
        <v>#N/A</v>
      </c>
      <c r="U675" s="121">
        <v>0</v>
      </c>
      <c r="V675" s="59" t="str">
        <v>KV</v>
      </c>
      <c r="W675" s="126" t="str">
        <v>いこ</v>
      </c>
      <c r="X675" s="126">
        <v>0</v>
      </c>
      <c r="Y675" s="127">
        <v>0</v>
      </c>
      <c r="Z675" s="90">
        <v>2</v>
      </c>
    </row>
    <row r="676" spans="1:26" x14ac:dyDescent="0.4">
      <c r="A676" s="52">
        <v>675</v>
      </c>
      <c r="B676" s="51">
        <f t="shared" si="62"/>
        <v>23</v>
      </c>
      <c r="C676" s="50">
        <f t="shared" si="63"/>
        <v>15</v>
      </c>
      <c r="D676" s="64" t="e">
        <f t="shared" si="64"/>
        <v>#N/A</v>
      </c>
      <c r="E676" s="121" cm="1">
        <f t="array" ref="E676">INDEX(InputArea,B676,C676)</f>
        <v>0</v>
      </c>
      <c r="F676" s="59" t="str">
        <f t="shared" si="65"/>
        <v>KB</v>
      </c>
      <c r="G676" s="59" t="str">
        <f t="shared" si="66"/>
        <v>いそ</v>
      </c>
      <c r="H676" s="134"/>
      <c r="I676" s="135"/>
      <c r="J676" s="84">
        <f t="shared" si="67"/>
        <v>2</v>
      </c>
      <c r="K676" s="83"/>
      <c r="L676" s="64" t="e">
        <v>#N/A</v>
      </c>
      <c r="M676" s="121">
        <v>0</v>
      </c>
      <c r="N676" s="59" t="str">
        <v>KB</v>
      </c>
      <c r="O676" s="126" t="str">
        <v>いそ</v>
      </c>
      <c r="P676" s="126">
        <v>0</v>
      </c>
      <c r="Q676" s="127">
        <v>0</v>
      </c>
      <c r="R676" s="84">
        <v>2</v>
      </c>
      <c r="T676" s="100" t="e">
        <v>#N/A</v>
      </c>
      <c r="U676" s="121">
        <v>0</v>
      </c>
      <c r="V676" s="59" t="str">
        <v>KB</v>
      </c>
      <c r="W676" s="126" t="str">
        <v>いそ</v>
      </c>
      <c r="X676" s="126">
        <v>0</v>
      </c>
      <c r="Y676" s="127">
        <v>0</v>
      </c>
      <c r="Z676" s="90">
        <v>2</v>
      </c>
    </row>
    <row r="677" spans="1:26" x14ac:dyDescent="0.4">
      <c r="A677" s="52">
        <v>676</v>
      </c>
      <c r="B677" s="51">
        <f t="shared" si="62"/>
        <v>23</v>
      </c>
      <c r="C677" s="50">
        <f t="shared" si="63"/>
        <v>16</v>
      </c>
      <c r="D677" s="64" t="e">
        <f t="shared" si="64"/>
        <v>#N/A</v>
      </c>
      <c r="E677" s="121" cm="1">
        <f t="array" ref="E677">INDEX(InputArea,B677,C677)</f>
        <v>0</v>
      </c>
      <c r="F677" s="59" t="str">
        <f t="shared" si="65"/>
        <v>KY</v>
      </c>
      <c r="G677" s="59" t="str">
        <f t="shared" si="66"/>
        <v>い→</v>
      </c>
      <c r="H677" s="134"/>
      <c r="I677" s="136" t="s">
        <v>523</v>
      </c>
      <c r="J677" s="84">
        <f t="shared" si="67"/>
        <v>3</v>
      </c>
      <c r="K677" s="83"/>
      <c r="L677" s="64" t="e">
        <v>#N/A</v>
      </c>
      <c r="M677" s="121">
        <v>0</v>
      </c>
      <c r="N677" s="59" t="str">
        <v>KY</v>
      </c>
      <c r="O677" s="126" t="str">
        <v>い→</v>
      </c>
      <c r="P677" s="126">
        <v>0</v>
      </c>
      <c r="Q677" s="127" t="str">
        <v>ｋｙ</v>
      </c>
      <c r="R677" s="84">
        <v>3</v>
      </c>
      <c r="T677" s="100" t="e">
        <v>#N/A</v>
      </c>
      <c r="U677" s="121">
        <v>0</v>
      </c>
      <c r="V677" s="59" t="str">
        <v>KY</v>
      </c>
      <c r="W677" s="126" t="str">
        <v>い→</v>
      </c>
      <c r="X677" s="126">
        <v>0</v>
      </c>
      <c r="Y677" s="127" t="str">
        <v>ｋｙ</v>
      </c>
      <c r="Z677" s="90">
        <v>3</v>
      </c>
    </row>
    <row r="678" spans="1:26" x14ac:dyDescent="0.4">
      <c r="A678" s="52">
        <v>677</v>
      </c>
      <c r="B678" s="51">
        <f t="shared" si="62"/>
        <v>23</v>
      </c>
      <c r="C678" s="50">
        <f t="shared" si="63"/>
        <v>17</v>
      </c>
      <c r="D678" s="64" t="e">
        <f t="shared" si="64"/>
        <v>#N/A</v>
      </c>
      <c r="E678" s="121" cm="1">
        <f t="array" ref="E678">INDEX(InputArea,B678,C678)</f>
        <v>0</v>
      </c>
      <c r="F678" s="59" t="str">
        <f t="shared" si="65"/>
        <v>KU</v>
      </c>
      <c r="G678" s="59" t="str">
        <f t="shared" si="66"/>
        <v>いBS</v>
      </c>
      <c r="H678" s="134"/>
      <c r="I678" s="136" t="s">
        <v>297</v>
      </c>
      <c r="J678" s="84">
        <f t="shared" si="67"/>
        <v>3</v>
      </c>
      <c r="K678" s="83"/>
      <c r="L678" s="64" t="e">
        <v>#N/A</v>
      </c>
      <c r="M678" s="121">
        <v>0</v>
      </c>
      <c r="N678" s="59" t="str">
        <v>KU</v>
      </c>
      <c r="O678" s="126" t="str">
        <v>いBS</v>
      </c>
      <c r="P678" s="126">
        <v>0</v>
      </c>
      <c r="Q678" s="127" t="str">
        <v>く</v>
      </c>
      <c r="R678" s="84">
        <v>3</v>
      </c>
      <c r="T678" s="100" t="e">
        <v>#N/A</v>
      </c>
      <c r="U678" s="121">
        <v>0</v>
      </c>
      <c r="V678" s="59" t="str">
        <v>KU</v>
      </c>
      <c r="W678" s="126" t="str">
        <v>いBS</v>
      </c>
      <c r="X678" s="126">
        <v>0</v>
      </c>
      <c r="Y678" s="127" t="str">
        <v>く</v>
      </c>
      <c r="Z678" s="90">
        <v>3</v>
      </c>
    </row>
    <row r="679" spans="1:26" x14ac:dyDescent="0.4">
      <c r="A679" s="52">
        <v>678</v>
      </c>
      <c r="B679" s="51">
        <f t="shared" si="62"/>
        <v>23</v>
      </c>
      <c r="C679" s="50">
        <f t="shared" si="63"/>
        <v>18</v>
      </c>
      <c r="D679" s="64" t="e">
        <f t="shared" si="64"/>
        <v>#N/A</v>
      </c>
      <c r="E679" s="121" cm="1">
        <f t="array" ref="E679">INDEX(InputArea,B679,C679)</f>
        <v>0</v>
      </c>
      <c r="F679" s="59" t="str">
        <f t="shared" si="65"/>
        <v>KI</v>
      </c>
      <c r="G679" s="59" t="str">
        <f t="shared" si="66"/>
        <v>いる</v>
      </c>
      <c r="H679" s="134"/>
      <c r="I679" s="136" t="s">
        <v>524</v>
      </c>
      <c r="J679" s="84">
        <f t="shared" si="67"/>
        <v>3</v>
      </c>
      <c r="K679" s="83"/>
      <c r="L679" s="64" t="e">
        <v>#N/A</v>
      </c>
      <c r="M679" s="121">
        <v>0</v>
      </c>
      <c r="N679" s="59" t="str">
        <v>KI</v>
      </c>
      <c r="O679" s="126" t="str">
        <v>いる</v>
      </c>
      <c r="P679" s="126">
        <v>0</v>
      </c>
      <c r="Q679" s="127" t="str">
        <v>き</v>
      </c>
      <c r="R679" s="84">
        <v>3</v>
      </c>
      <c r="T679" s="100" t="e">
        <v>#N/A</v>
      </c>
      <c r="U679" s="121">
        <v>0</v>
      </c>
      <c r="V679" s="59" t="str">
        <v>KI</v>
      </c>
      <c r="W679" s="126" t="str">
        <v>いる</v>
      </c>
      <c r="X679" s="126">
        <v>0</v>
      </c>
      <c r="Y679" s="127" t="str">
        <v>き</v>
      </c>
      <c r="Z679" s="90">
        <v>3</v>
      </c>
    </row>
    <row r="680" spans="1:26" x14ac:dyDescent="0.4">
      <c r="A680" s="52">
        <v>679</v>
      </c>
      <c r="B680" s="51">
        <f t="shared" si="62"/>
        <v>23</v>
      </c>
      <c r="C680" s="50">
        <f t="shared" si="63"/>
        <v>19</v>
      </c>
      <c r="D680" s="64" t="e">
        <f t="shared" si="64"/>
        <v>#N/A</v>
      </c>
      <c r="E680" s="121" cm="1">
        <f t="array" ref="E680">INDEX(InputArea,B680,C680)</f>
        <v>0</v>
      </c>
      <c r="F680" s="59" t="str">
        <f t="shared" si="65"/>
        <v>KO</v>
      </c>
      <c r="G680" s="59" t="str">
        <f t="shared" si="66"/>
        <v>いす</v>
      </c>
      <c r="H680" s="134"/>
      <c r="I680" s="136" t="s">
        <v>407</v>
      </c>
      <c r="J680" s="84">
        <f t="shared" si="67"/>
        <v>3</v>
      </c>
      <c r="K680" s="83"/>
      <c r="L680" s="64" t="e">
        <v>#N/A</v>
      </c>
      <c r="M680" s="121">
        <v>0</v>
      </c>
      <c r="N680" s="59" t="str">
        <v>KO</v>
      </c>
      <c r="O680" s="126" t="str">
        <v>いす</v>
      </c>
      <c r="P680" s="126">
        <v>0</v>
      </c>
      <c r="Q680" s="127" t="str">
        <v>こ</v>
      </c>
      <c r="R680" s="84">
        <v>3</v>
      </c>
      <c r="T680" s="100" t="e">
        <v>#N/A</v>
      </c>
      <c r="U680" s="121">
        <v>0</v>
      </c>
      <c r="V680" s="59" t="str">
        <v>KO</v>
      </c>
      <c r="W680" s="126" t="str">
        <v>いす</v>
      </c>
      <c r="X680" s="126">
        <v>0</v>
      </c>
      <c r="Y680" s="127" t="str">
        <v>こ</v>
      </c>
      <c r="Z680" s="90">
        <v>3</v>
      </c>
    </row>
    <row r="681" spans="1:26" x14ac:dyDescent="0.4">
      <c r="A681" s="52">
        <v>680</v>
      </c>
      <c r="B681" s="51">
        <f t="shared" si="62"/>
        <v>23</v>
      </c>
      <c r="C681" s="50">
        <f t="shared" si="63"/>
        <v>20</v>
      </c>
      <c r="D681" s="64" t="e">
        <f t="shared" si="64"/>
        <v>#N/A</v>
      </c>
      <c r="E681" s="121" cm="1">
        <f t="array" ref="E681">INDEX(InputArea,B681,C681)</f>
        <v>0</v>
      </c>
      <c r="F681" s="59" t="str">
        <f t="shared" si="65"/>
        <v>KP</v>
      </c>
      <c r="G681" s="59" t="str">
        <f t="shared" si="66"/>
        <v>いへ</v>
      </c>
      <c r="H681" s="134"/>
      <c r="I681" s="135"/>
      <c r="J681" s="84">
        <f t="shared" si="67"/>
        <v>3</v>
      </c>
      <c r="K681" s="83"/>
      <c r="L681" s="64" t="e">
        <v>#N/A</v>
      </c>
      <c r="M681" s="121">
        <v>0</v>
      </c>
      <c r="N681" s="59" t="str">
        <v>KP</v>
      </c>
      <c r="O681" s="126" t="str">
        <v>いへ</v>
      </c>
      <c r="P681" s="126">
        <v>0</v>
      </c>
      <c r="Q681" s="127">
        <v>0</v>
      </c>
      <c r="R681" s="84">
        <v>3</v>
      </c>
      <c r="T681" s="100" t="e">
        <v>#N/A</v>
      </c>
      <c r="U681" s="121">
        <v>0</v>
      </c>
      <c r="V681" s="59" t="str">
        <v>KP</v>
      </c>
      <c r="W681" s="126" t="str">
        <v>いへ</v>
      </c>
      <c r="X681" s="126">
        <v>0</v>
      </c>
      <c r="Y681" s="127">
        <v>0</v>
      </c>
      <c r="Z681" s="90">
        <v>3</v>
      </c>
    </row>
    <row r="682" spans="1:26" x14ac:dyDescent="0.4">
      <c r="A682" s="52">
        <v>681</v>
      </c>
      <c r="B682" s="51">
        <f t="shared" si="62"/>
        <v>23</v>
      </c>
      <c r="C682" s="50">
        <f t="shared" si="63"/>
        <v>21</v>
      </c>
      <c r="D682" s="64" t="e">
        <f t="shared" si="64"/>
        <v>#N/A</v>
      </c>
      <c r="E682" s="121" cm="1">
        <f t="array" ref="E682">INDEX(InputArea,B682,C682)</f>
        <v>0</v>
      </c>
      <c r="F682" s="59" t="str">
        <f t="shared" si="65"/>
        <v>KH</v>
      </c>
      <c r="G682" s="59" t="str">
        <f t="shared" si="66"/>
        <v>いく</v>
      </c>
      <c r="H682" s="134"/>
      <c r="I682" s="135"/>
      <c r="J682" s="84">
        <f t="shared" si="67"/>
        <v>3</v>
      </c>
      <c r="K682" s="83"/>
      <c r="L682" s="64" t="e">
        <v>#N/A</v>
      </c>
      <c r="M682" s="121">
        <v>0</v>
      </c>
      <c r="N682" s="59" t="str">
        <v>KH</v>
      </c>
      <c r="O682" s="126" t="str">
        <v>いく</v>
      </c>
      <c r="P682" s="126">
        <v>0</v>
      </c>
      <c r="Q682" s="127">
        <v>0</v>
      </c>
      <c r="R682" s="84">
        <v>3</v>
      </c>
      <c r="T682" s="100" t="e">
        <v>#N/A</v>
      </c>
      <c r="U682" s="121">
        <v>0</v>
      </c>
      <c r="V682" s="59" t="str">
        <v>KH</v>
      </c>
      <c r="W682" s="126" t="str">
        <v>いく</v>
      </c>
      <c r="X682" s="126">
        <v>0</v>
      </c>
      <c r="Y682" s="127">
        <v>0</v>
      </c>
      <c r="Z682" s="90">
        <v>3</v>
      </c>
    </row>
    <row r="683" spans="1:26" x14ac:dyDescent="0.4">
      <c r="A683" s="52">
        <v>682</v>
      </c>
      <c r="B683" s="51">
        <f t="shared" si="62"/>
        <v>23</v>
      </c>
      <c r="C683" s="50">
        <f t="shared" si="63"/>
        <v>22</v>
      </c>
      <c r="D683" s="64" t="e">
        <f t="shared" si="64"/>
        <v>#N/A</v>
      </c>
      <c r="E683" s="121" cm="1">
        <f t="array" ref="E683">INDEX(InputArea,B683,C683)</f>
        <v>0</v>
      </c>
      <c r="F683" s="59" t="str">
        <f t="shared" si="65"/>
        <v>KJ</v>
      </c>
      <c r="G683" s="59" t="str">
        <f t="shared" si="66"/>
        <v>いあ</v>
      </c>
      <c r="H683" s="137" t="s">
        <v>616</v>
      </c>
      <c r="I683" s="135"/>
      <c r="J683" s="84">
        <f t="shared" si="67"/>
        <v>3</v>
      </c>
      <c r="K683" s="83"/>
      <c r="L683" s="64" t="e">
        <v>#N/A</v>
      </c>
      <c r="M683" s="121">
        <v>0</v>
      </c>
      <c r="N683" s="59" t="str">
        <v>KJ</v>
      </c>
      <c r="O683" s="126" t="str">
        <v>いあ</v>
      </c>
      <c r="P683" s="126" t="str">
        <v>編集</v>
      </c>
      <c r="Q683" s="127">
        <v>0</v>
      </c>
      <c r="R683" s="84">
        <v>3</v>
      </c>
      <c r="T683" s="100" t="e">
        <v>#N/A</v>
      </c>
      <c r="U683" s="121">
        <v>0</v>
      </c>
      <c r="V683" s="59" t="str">
        <v>KJ</v>
      </c>
      <c r="W683" s="126" t="str">
        <v>いあ</v>
      </c>
      <c r="X683" s="126" t="str">
        <v>編集</v>
      </c>
      <c r="Y683" s="127">
        <v>0</v>
      </c>
      <c r="Z683" s="90">
        <v>3</v>
      </c>
    </row>
    <row r="684" spans="1:26" x14ac:dyDescent="0.4">
      <c r="A684" s="52">
        <v>683</v>
      </c>
      <c r="B684" s="51">
        <f t="shared" si="62"/>
        <v>23</v>
      </c>
      <c r="C684" s="50">
        <f t="shared" si="63"/>
        <v>23</v>
      </c>
      <c r="D684" s="64" t="e">
        <f t="shared" si="64"/>
        <v>#N/A</v>
      </c>
      <c r="E684" s="121" cm="1">
        <f t="array" ref="E684">INDEX(InputArea,B684,C684)</f>
        <v>0</v>
      </c>
      <c r="F684" s="59" t="str">
        <f t="shared" si="65"/>
        <v>KK</v>
      </c>
      <c r="G684" s="59" t="str">
        <f t="shared" si="66"/>
        <v>いい</v>
      </c>
      <c r="H684" s="134"/>
      <c r="I684" s="136" t="s">
        <v>525</v>
      </c>
      <c r="J684" s="84">
        <f t="shared" si="67"/>
        <v>3</v>
      </c>
      <c r="K684" s="83"/>
      <c r="L684" s="64" t="e">
        <v>#N/A</v>
      </c>
      <c r="M684" s="121">
        <v>0</v>
      </c>
      <c r="N684" s="59" t="str">
        <v>KK</v>
      </c>
      <c r="O684" s="126" t="str">
        <v>いい</v>
      </c>
      <c r="P684" s="126">
        <v>0</v>
      </c>
      <c r="Q684" s="127" t="str">
        <v>っｋ</v>
      </c>
      <c r="R684" s="84">
        <v>3</v>
      </c>
      <c r="T684" s="100" t="e">
        <v>#N/A</v>
      </c>
      <c r="U684" s="121">
        <v>0</v>
      </c>
      <c r="V684" s="59" t="str">
        <v>KK</v>
      </c>
      <c r="W684" s="126" t="str">
        <v>いい</v>
      </c>
      <c r="X684" s="126">
        <v>0</v>
      </c>
      <c r="Y684" s="127" t="str">
        <v>っｋ</v>
      </c>
      <c r="Z684" s="90">
        <v>3</v>
      </c>
    </row>
    <row r="685" spans="1:26" x14ac:dyDescent="0.4">
      <c r="A685" s="52">
        <v>684</v>
      </c>
      <c r="B685" s="51">
        <f t="shared" si="62"/>
        <v>23</v>
      </c>
      <c r="C685" s="50">
        <f t="shared" si="63"/>
        <v>24</v>
      </c>
      <c r="D685" s="64" t="e">
        <f t="shared" si="64"/>
        <v>#N/A</v>
      </c>
      <c r="E685" s="121" cm="1">
        <f t="array" ref="E685">INDEX(InputArea,B685,C685)</f>
        <v>0</v>
      </c>
      <c r="F685" s="59" t="str">
        <f t="shared" si="65"/>
        <v>KL</v>
      </c>
      <c r="G685" s="59" t="str">
        <f t="shared" si="66"/>
        <v>いう</v>
      </c>
      <c r="H685" s="134"/>
      <c r="I685" s="135"/>
      <c r="J685" s="84">
        <f t="shared" si="67"/>
        <v>3</v>
      </c>
      <c r="K685" s="83"/>
      <c r="L685" s="64" t="e">
        <v>#N/A</v>
      </c>
      <c r="M685" s="121">
        <v>0</v>
      </c>
      <c r="N685" s="59" t="str">
        <v>KL</v>
      </c>
      <c r="O685" s="126" t="str">
        <v>いう</v>
      </c>
      <c r="P685" s="126">
        <v>0</v>
      </c>
      <c r="Q685" s="127">
        <v>0</v>
      </c>
      <c r="R685" s="84">
        <v>3</v>
      </c>
      <c r="T685" s="100" t="e">
        <v>#N/A</v>
      </c>
      <c r="U685" s="121">
        <v>0</v>
      </c>
      <c r="V685" s="59" t="str">
        <v>KL</v>
      </c>
      <c r="W685" s="126" t="str">
        <v>いう</v>
      </c>
      <c r="X685" s="126">
        <v>0</v>
      </c>
      <c r="Y685" s="127">
        <v>0</v>
      </c>
      <c r="Z685" s="90">
        <v>3</v>
      </c>
    </row>
    <row r="686" spans="1:26" x14ac:dyDescent="0.4">
      <c r="A686" s="52">
        <v>685</v>
      </c>
      <c r="B686" s="51">
        <f t="shared" si="62"/>
        <v>23</v>
      </c>
      <c r="C686" s="50">
        <f t="shared" si="63"/>
        <v>25</v>
      </c>
      <c r="D686" s="64" t="e">
        <f t="shared" si="64"/>
        <v>#N/A</v>
      </c>
      <c r="E686" s="121" cm="1">
        <f t="array" ref="E686">INDEX(InputArea,B686,C686)</f>
        <v>0</v>
      </c>
      <c r="F686" s="59" t="str">
        <f t="shared" si="65"/>
        <v>K;</v>
      </c>
      <c r="G686" s="59" t="str">
        <f t="shared" si="66"/>
        <v>いー</v>
      </c>
      <c r="H686" s="134"/>
      <c r="I686" s="135"/>
      <c r="J686" s="84">
        <f t="shared" si="67"/>
        <v>3</v>
      </c>
      <c r="K686" s="83"/>
      <c r="L686" s="64" t="e">
        <v>#N/A</v>
      </c>
      <c r="M686" s="121">
        <v>0</v>
      </c>
      <c r="N686" s="59" t="str">
        <v>K;</v>
      </c>
      <c r="O686" s="126" t="str">
        <v>いー</v>
      </c>
      <c r="P686" s="126">
        <v>0</v>
      </c>
      <c r="Q686" s="127">
        <v>0</v>
      </c>
      <c r="R686" s="84">
        <v>3</v>
      </c>
      <c r="T686" s="100" t="e">
        <v>#N/A</v>
      </c>
      <c r="U686" s="121">
        <v>0</v>
      </c>
      <c r="V686" s="59" t="str">
        <v>K;</v>
      </c>
      <c r="W686" s="126" t="str">
        <v>いー</v>
      </c>
      <c r="X686" s="126">
        <v>0</v>
      </c>
      <c r="Y686" s="127">
        <v>0</v>
      </c>
      <c r="Z686" s="90">
        <v>3</v>
      </c>
    </row>
    <row r="687" spans="1:26" x14ac:dyDescent="0.4">
      <c r="A687" s="52">
        <v>686</v>
      </c>
      <c r="B687" s="51">
        <f t="shared" si="62"/>
        <v>23</v>
      </c>
      <c r="C687" s="50">
        <f t="shared" si="63"/>
        <v>26</v>
      </c>
      <c r="D687" s="64" t="e">
        <f t="shared" si="64"/>
        <v>#N/A</v>
      </c>
      <c r="E687" s="121" cm="1">
        <f t="array" ref="E687">INDEX(InputArea,B687,C687)</f>
        <v>0</v>
      </c>
      <c r="F687" s="59" t="str">
        <f t="shared" si="65"/>
        <v>KN</v>
      </c>
      <c r="G687" s="59" t="str">
        <f t="shared" si="66"/>
        <v>いた</v>
      </c>
      <c r="H687" s="134"/>
      <c r="I687" s="135"/>
      <c r="J687" s="84">
        <f t="shared" si="67"/>
        <v>3</v>
      </c>
      <c r="K687" s="83"/>
      <c r="L687" s="64" t="e">
        <v>#N/A</v>
      </c>
      <c r="M687" s="121">
        <v>0</v>
      </c>
      <c r="N687" s="59" t="str">
        <v>KN</v>
      </c>
      <c r="O687" s="126" t="str">
        <v>いた</v>
      </c>
      <c r="P687" s="126">
        <v>0</v>
      </c>
      <c r="Q687" s="127">
        <v>0</v>
      </c>
      <c r="R687" s="84">
        <v>3</v>
      </c>
      <c r="T687" s="100" t="e">
        <v>#N/A</v>
      </c>
      <c r="U687" s="121">
        <v>0</v>
      </c>
      <c r="V687" s="59" t="str">
        <v>KN</v>
      </c>
      <c r="W687" s="126" t="str">
        <v>いた</v>
      </c>
      <c r="X687" s="126">
        <v>0</v>
      </c>
      <c r="Y687" s="127">
        <v>0</v>
      </c>
      <c r="Z687" s="90">
        <v>3</v>
      </c>
    </row>
    <row r="688" spans="1:26" x14ac:dyDescent="0.4">
      <c r="A688" s="52">
        <v>687</v>
      </c>
      <c r="B688" s="51">
        <f t="shared" si="62"/>
        <v>23</v>
      </c>
      <c r="C688" s="50">
        <f t="shared" si="63"/>
        <v>27</v>
      </c>
      <c r="D688" s="64" t="e">
        <f t="shared" si="64"/>
        <v>#N/A</v>
      </c>
      <c r="E688" s="121" cm="1">
        <f t="array" ref="E688">INDEX(InputArea,B688,C688)</f>
        <v>0</v>
      </c>
      <c r="F688" s="59" t="str">
        <f t="shared" si="65"/>
        <v>KM</v>
      </c>
      <c r="G688" s="59" t="str">
        <f t="shared" si="66"/>
        <v>いな</v>
      </c>
      <c r="H688" s="134"/>
      <c r="I688" s="135"/>
      <c r="J688" s="84">
        <f t="shared" si="67"/>
        <v>3</v>
      </c>
      <c r="K688" s="83"/>
      <c r="L688" s="64" t="e">
        <v>#N/A</v>
      </c>
      <c r="M688" s="121">
        <v>0</v>
      </c>
      <c r="N688" s="59" t="str">
        <v>KM</v>
      </c>
      <c r="O688" s="126" t="str">
        <v>いな</v>
      </c>
      <c r="P688" s="126">
        <v>0</v>
      </c>
      <c r="Q688" s="127">
        <v>0</v>
      </c>
      <c r="R688" s="84">
        <v>3</v>
      </c>
      <c r="T688" s="100" t="e">
        <v>#N/A</v>
      </c>
      <c r="U688" s="121">
        <v>0</v>
      </c>
      <c r="V688" s="59" t="str">
        <v>KM</v>
      </c>
      <c r="W688" s="126" t="str">
        <v>いな</v>
      </c>
      <c r="X688" s="126">
        <v>0</v>
      </c>
      <c r="Y688" s="127">
        <v>0</v>
      </c>
      <c r="Z688" s="90">
        <v>3</v>
      </c>
    </row>
    <row r="689" spans="1:26" x14ac:dyDescent="0.4">
      <c r="A689" s="52">
        <v>688</v>
      </c>
      <c r="B689" s="51">
        <f t="shared" si="62"/>
        <v>23</v>
      </c>
      <c r="C689" s="50">
        <f t="shared" si="63"/>
        <v>28</v>
      </c>
      <c r="D689" s="64" t="e">
        <f t="shared" si="64"/>
        <v>#N/A</v>
      </c>
      <c r="E689" s="121" cm="1">
        <f t="array" ref="E689">INDEX(InputArea,B689,C689)</f>
        <v>0</v>
      </c>
      <c r="F689" s="59" t="str">
        <f t="shared" si="65"/>
        <v>K,</v>
      </c>
      <c r="G689" s="59" t="str">
        <f t="shared" si="66"/>
        <v>いん</v>
      </c>
      <c r="H689" s="134"/>
      <c r="I689" s="135"/>
      <c r="J689" s="84">
        <f t="shared" si="67"/>
        <v>3</v>
      </c>
      <c r="K689" s="83"/>
      <c r="L689" s="64" t="e">
        <v>#N/A</v>
      </c>
      <c r="M689" s="121">
        <v>0</v>
      </c>
      <c r="N689" s="59" t="str">
        <v>K,</v>
      </c>
      <c r="O689" s="126" t="str">
        <v>いん</v>
      </c>
      <c r="P689" s="126">
        <v>0</v>
      </c>
      <c r="Q689" s="127">
        <v>0</v>
      </c>
      <c r="R689" s="84">
        <v>3</v>
      </c>
      <c r="T689" s="100" t="e">
        <v>#N/A</v>
      </c>
      <c r="U689" s="121">
        <v>0</v>
      </c>
      <c r="V689" s="59" t="str">
        <v>K,</v>
      </c>
      <c r="W689" s="126" t="str">
        <v>いん</v>
      </c>
      <c r="X689" s="126">
        <v>0</v>
      </c>
      <c r="Y689" s="127">
        <v>0</v>
      </c>
      <c r="Z689" s="90">
        <v>3</v>
      </c>
    </row>
    <row r="690" spans="1:26" x14ac:dyDescent="0.4">
      <c r="A690" s="52">
        <v>689</v>
      </c>
      <c r="B690" s="51">
        <f t="shared" si="62"/>
        <v>23</v>
      </c>
      <c r="C690" s="50">
        <f t="shared" si="63"/>
        <v>29</v>
      </c>
      <c r="D690" s="64" t="e">
        <f t="shared" si="64"/>
        <v>#N/A</v>
      </c>
      <c r="E690" s="121" cm="1">
        <f t="array" ref="E690">INDEX(InputArea,B690,C690)</f>
        <v>0</v>
      </c>
      <c r="F690" s="59" t="str">
        <f t="shared" si="65"/>
        <v>K.</v>
      </c>
      <c r="G690" s="59" t="str">
        <f t="shared" si="66"/>
        <v>いら</v>
      </c>
      <c r="H690" s="134"/>
      <c r="I690" s="135"/>
      <c r="J690" s="84">
        <f t="shared" si="67"/>
        <v>3</v>
      </c>
      <c r="K690" s="83"/>
      <c r="L690" s="64" t="e">
        <v>#N/A</v>
      </c>
      <c r="M690" s="121">
        <v>0</v>
      </c>
      <c r="N690" s="59" t="str">
        <v>K.</v>
      </c>
      <c r="O690" s="126" t="str">
        <v>いら</v>
      </c>
      <c r="P690" s="126">
        <v>0</v>
      </c>
      <c r="Q690" s="127">
        <v>0</v>
      </c>
      <c r="R690" s="84">
        <v>3</v>
      </c>
      <c r="T690" s="100" t="e">
        <v>#N/A</v>
      </c>
      <c r="U690" s="121">
        <v>0</v>
      </c>
      <c r="V690" s="59" t="str">
        <v>K.</v>
      </c>
      <c r="W690" s="126" t="str">
        <v>いら</v>
      </c>
      <c r="X690" s="126">
        <v>0</v>
      </c>
      <c r="Y690" s="127">
        <v>0</v>
      </c>
      <c r="Z690" s="90">
        <v>3</v>
      </c>
    </row>
    <row r="691" spans="1:26" x14ac:dyDescent="0.4">
      <c r="A691" s="52">
        <v>690</v>
      </c>
      <c r="B691" s="51">
        <f t="shared" si="62"/>
        <v>23</v>
      </c>
      <c r="C691" s="50">
        <f t="shared" si="63"/>
        <v>30</v>
      </c>
      <c r="D691" s="64" t="e">
        <f t="shared" si="64"/>
        <v>#N/A</v>
      </c>
      <c r="E691" s="121" cm="1">
        <f t="array" ref="E691">INDEX(InputArea,B691,C691)</f>
        <v>0</v>
      </c>
      <c r="F691" s="59" t="str">
        <f t="shared" si="65"/>
        <v>K/</v>
      </c>
      <c r="G691" s="59" t="str">
        <f t="shared" si="66"/>
        <v>いれ</v>
      </c>
      <c r="H691" s="134"/>
      <c r="I691" s="135"/>
      <c r="J691" s="84">
        <f t="shared" si="67"/>
        <v>3</v>
      </c>
      <c r="K691" s="83"/>
      <c r="L691" s="64" t="e">
        <v>#N/A</v>
      </c>
      <c r="M691" s="121">
        <v>0</v>
      </c>
      <c r="N691" s="59" t="str">
        <v>K/</v>
      </c>
      <c r="O691" s="126" t="str">
        <v>いれ</v>
      </c>
      <c r="P691" s="126">
        <v>0</v>
      </c>
      <c r="Q691" s="127">
        <v>0</v>
      </c>
      <c r="R691" s="84">
        <v>3</v>
      </c>
      <c r="T691" s="100" t="e">
        <v>#N/A</v>
      </c>
      <c r="U691" s="121">
        <v>0</v>
      </c>
      <c r="V691" s="59" t="str">
        <v>K/</v>
      </c>
      <c r="W691" s="126" t="str">
        <v>いれ</v>
      </c>
      <c r="X691" s="126">
        <v>0</v>
      </c>
      <c r="Y691" s="127">
        <v>0</v>
      </c>
      <c r="Z691" s="90">
        <v>3</v>
      </c>
    </row>
    <row r="692" spans="1:26" x14ac:dyDescent="0.4">
      <c r="A692" s="52">
        <v>691</v>
      </c>
      <c r="B692" s="51">
        <f t="shared" si="62"/>
        <v>24</v>
      </c>
      <c r="C692" s="50">
        <f t="shared" si="63"/>
        <v>1</v>
      </c>
      <c r="D692" s="64" t="e">
        <f t="shared" si="64"/>
        <v>#N/A</v>
      </c>
      <c r="E692" s="121" cm="1">
        <f t="array" ref="E692">INDEX(InputArea,B692,C692)</f>
        <v>0</v>
      </c>
      <c r="F692" s="59" t="str">
        <f t="shared" si="65"/>
        <v>LQ</v>
      </c>
      <c r="G692" s="59" t="str">
        <f t="shared" si="66"/>
        <v>うヴ</v>
      </c>
      <c r="H692" s="137" t="s">
        <v>242</v>
      </c>
      <c r="I692" s="135"/>
      <c r="J692" s="84">
        <f t="shared" si="67"/>
        <v>2</v>
      </c>
      <c r="K692" s="83"/>
      <c r="L692" s="64" t="e">
        <v>#N/A</v>
      </c>
      <c r="M692" s="121">
        <v>0</v>
      </c>
      <c r="N692" s="59" t="str">
        <v>LQ</v>
      </c>
      <c r="O692" s="126" t="str">
        <v>うヴ</v>
      </c>
      <c r="P692" s="126" t="str">
        <v>ぅ</v>
      </c>
      <c r="Q692" s="127">
        <v>0</v>
      </c>
      <c r="R692" s="84">
        <v>2</v>
      </c>
      <c r="T692" s="100" t="e">
        <v>#N/A</v>
      </c>
      <c r="U692" s="121">
        <v>0</v>
      </c>
      <c r="V692" s="59" t="str">
        <v>LQ</v>
      </c>
      <c r="W692" s="126" t="str">
        <v>うヴ</v>
      </c>
      <c r="X692" s="126" t="str">
        <v>ぅ</v>
      </c>
      <c r="Y692" s="127">
        <v>0</v>
      </c>
      <c r="Z692" s="90">
        <v>2</v>
      </c>
    </row>
    <row r="693" spans="1:26" x14ac:dyDescent="0.4">
      <c r="A693" s="52">
        <v>692</v>
      </c>
      <c r="B693" s="51">
        <f t="shared" si="62"/>
        <v>24</v>
      </c>
      <c r="C693" s="50">
        <f t="shared" si="63"/>
        <v>2</v>
      </c>
      <c r="D693" s="64" t="e">
        <f t="shared" si="64"/>
        <v>#N/A</v>
      </c>
      <c r="E693" s="121" cm="1">
        <f t="array" ref="E693">INDEX(InputArea,B693,C693)</f>
        <v>0</v>
      </c>
      <c r="F693" s="59" t="str">
        <f t="shared" si="65"/>
        <v>LW</v>
      </c>
      <c r="G693" s="59" t="str">
        <f t="shared" si="66"/>
        <v>うき</v>
      </c>
      <c r="H693" s="134"/>
      <c r="I693" s="135"/>
      <c r="J693" s="84">
        <f t="shared" si="67"/>
        <v>2</v>
      </c>
      <c r="K693" s="83"/>
      <c r="L693" s="64" t="e">
        <v>#N/A</v>
      </c>
      <c r="M693" s="121">
        <v>0</v>
      </c>
      <c r="N693" s="59" t="str">
        <v>LW</v>
      </c>
      <c r="O693" s="126" t="str">
        <v>うき</v>
      </c>
      <c r="P693" s="126">
        <v>0</v>
      </c>
      <c r="Q693" s="127">
        <v>0</v>
      </c>
      <c r="R693" s="84">
        <v>2</v>
      </c>
      <c r="T693" s="100" t="e">
        <v>#N/A</v>
      </c>
      <c r="U693" s="121">
        <v>0</v>
      </c>
      <c r="V693" s="59" t="str">
        <v>LW</v>
      </c>
      <c r="W693" s="126" t="str">
        <v>うき</v>
      </c>
      <c r="X693" s="126">
        <v>0</v>
      </c>
      <c r="Y693" s="127">
        <v>0</v>
      </c>
      <c r="Z693" s="90">
        <v>2</v>
      </c>
    </row>
    <row r="694" spans="1:26" x14ac:dyDescent="0.4">
      <c r="A694" s="52">
        <v>693</v>
      </c>
      <c r="B694" s="51">
        <f t="shared" si="62"/>
        <v>24</v>
      </c>
      <c r="C694" s="50">
        <f t="shared" si="63"/>
        <v>3</v>
      </c>
      <c r="D694" s="64" t="e">
        <f t="shared" si="64"/>
        <v>#N/A</v>
      </c>
      <c r="E694" s="121" cm="1">
        <f t="array" ref="E694">INDEX(InputArea,B694,C694)</f>
        <v>0</v>
      </c>
      <c r="F694" s="59" t="str">
        <f t="shared" si="65"/>
        <v>LE</v>
      </c>
      <c r="G694" s="59" t="str">
        <f t="shared" si="66"/>
        <v>うて</v>
      </c>
      <c r="H694" s="134"/>
      <c r="I694" s="136" t="s">
        <v>237</v>
      </c>
      <c r="J694" s="84">
        <f t="shared" si="67"/>
        <v>2</v>
      </c>
      <c r="K694" s="83"/>
      <c r="L694" s="64" t="e">
        <v>#N/A</v>
      </c>
      <c r="M694" s="121">
        <v>0</v>
      </c>
      <c r="N694" s="59" t="str">
        <v>LE</v>
      </c>
      <c r="O694" s="126" t="str">
        <v>うて</v>
      </c>
      <c r="P694" s="126">
        <v>0</v>
      </c>
      <c r="Q694" s="127" t="str">
        <v>ぇ</v>
      </c>
      <c r="R694" s="84">
        <v>2</v>
      </c>
      <c r="T694" s="100" t="e">
        <v>#N/A</v>
      </c>
      <c r="U694" s="121">
        <v>0</v>
      </c>
      <c r="V694" s="59" t="str">
        <v>LE</v>
      </c>
      <c r="W694" s="126" t="str">
        <v>うて</v>
      </c>
      <c r="X694" s="126">
        <v>0</v>
      </c>
      <c r="Y694" s="127" t="str">
        <v>ぇ</v>
      </c>
      <c r="Z694" s="90">
        <v>2</v>
      </c>
    </row>
    <row r="695" spans="1:26" x14ac:dyDescent="0.4">
      <c r="A695" s="52">
        <v>694</v>
      </c>
      <c r="B695" s="51">
        <f t="shared" si="62"/>
        <v>24</v>
      </c>
      <c r="C695" s="50">
        <f t="shared" si="63"/>
        <v>4</v>
      </c>
      <c r="D695" s="64" t="e">
        <f t="shared" si="64"/>
        <v>#N/A</v>
      </c>
      <c r="E695" s="121" cm="1">
        <f t="array" ref="E695">INDEX(InputArea,B695,C695)</f>
        <v>0</v>
      </c>
      <c r="F695" s="59" t="str">
        <f t="shared" si="65"/>
        <v>LR</v>
      </c>
      <c r="G695" s="59" t="str">
        <f t="shared" si="66"/>
        <v>うし</v>
      </c>
      <c r="H695" s="134"/>
      <c r="I695" s="135"/>
      <c r="J695" s="84">
        <f t="shared" si="67"/>
        <v>2</v>
      </c>
      <c r="K695" s="83"/>
      <c r="L695" s="64" t="e">
        <v>#N/A</v>
      </c>
      <c r="M695" s="121">
        <v>0</v>
      </c>
      <c r="N695" s="59" t="str">
        <v>LR</v>
      </c>
      <c r="O695" s="126" t="str">
        <v>うし</v>
      </c>
      <c r="P695" s="126">
        <v>0</v>
      </c>
      <c r="Q695" s="127">
        <v>0</v>
      </c>
      <c r="R695" s="84">
        <v>2</v>
      </c>
      <c r="T695" s="100" t="e">
        <v>#N/A</v>
      </c>
      <c r="U695" s="121">
        <v>0</v>
      </c>
      <c r="V695" s="59" t="str">
        <v>LR</v>
      </c>
      <c r="W695" s="126" t="str">
        <v>うし</v>
      </c>
      <c r="X695" s="126">
        <v>0</v>
      </c>
      <c r="Y695" s="127">
        <v>0</v>
      </c>
      <c r="Z695" s="90">
        <v>2</v>
      </c>
    </row>
    <row r="696" spans="1:26" x14ac:dyDescent="0.4">
      <c r="A696" s="52">
        <v>695</v>
      </c>
      <c r="B696" s="51">
        <f t="shared" si="62"/>
        <v>24</v>
      </c>
      <c r="C696" s="50">
        <f t="shared" si="63"/>
        <v>5</v>
      </c>
      <c r="D696" s="64" t="e">
        <f t="shared" si="64"/>
        <v>#N/A</v>
      </c>
      <c r="E696" s="121" cm="1">
        <f t="array" ref="E696">INDEX(InputArea,B696,C696)</f>
        <v>0</v>
      </c>
      <c r="F696" s="59" t="str">
        <f t="shared" si="65"/>
        <v>LT</v>
      </c>
      <c r="G696" s="59" t="str">
        <f t="shared" si="66"/>
        <v>う←</v>
      </c>
      <c r="H696" s="134"/>
      <c r="I696" s="136" t="s">
        <v>526</v>
      </c>
      <c r="J696" s="84">
        <f t="shared" si="67"/>
        <v>2</v>
      </c>
      <c r="K696" s="83"/>
      <c r="L696" s="64" t="e">
        <v>#N/A</v>
      </c>
      <c r="M696" s="121">
        <v>0</v>
      </c>
      <c r="N696" s="59" t="str">
        <v>LT</v>
      </c>
      <c r="O696" s="126" t="str">
        <v>う←</v>
      </c>
      <c r="P696" s="126">
        <v>0</v>
      </c>
      <c r="Q696" s="127" t="str">
        <v>ｌｔ</v>
      </c>
      <c r="R696" s="84">
        <v>2</v>
      </c>
      <c r="T696" s="100" t="e">
        <v>#N/A</v>
      </c>
      <c r="U696" s="121">
        <v>0</v>
      </c>
      <c r="V696" s="59" t="str">
        <v>LT</v>
      </c>
      <c r="W696" s="126" t="str">
        <v>う←</v>
      </c>
      <c r="X696" s="126">
        <v>0</v>
      </c>
      <c r="Y696" s="127" t="str">
        <v>ｌｔ</v>
      </c>
      <c r="Z696" s="90">
        <v>2</v>
      </c>
    </row>
    <row r="697" spans="1:26" x14ac:dyDescent="0.4">
      <c r="A697" s="52">
        <v>696</v>
      </c>
      <c r="B697" s="51">
        <f t="shared" si="62"/>
        <v>24</v>
      </c>
      <c r="C697" s="50">
        <f t="shared" si="63"/>
        <v>6</v>
      </c>
      <c r="D697" s="64" t="e">
        <f t="shared" si="64"/>
        <v>#N/A</v>
      </c>
      <c r="E697" s="121" cm="1">
        <f t="array" ref="E697">INDEX(InputArea,B697,C697)</f>
        <v>0</v>
      </c>
      <c r="F697" s="59" t="str">
        <f t="shared" si="65"/>
        <v>LA</v>
      </c>
      <c r="G697" s="59" t="str">
        <f t="shared" si="66"/>
        <v>うろ</v>
      </c>
      <c r="H697" s="134"/>
      <c r="I697" s="136" t="s">
        <v>240</v>
      </c>
      <c r="J697" s="84">
        <f t="shared" si="67"/>
        <v>2</v>
      </c>
      <c r="K697" s="83"/>
      <c r="L697" s="64" t="e">
        <v>#N/A</v>
      </c>
      <c r="M697" s="121">
        <v>0</v>
      </c>
      <c r="N697" s="59" t="str">
        <v>LA</v>
      </c>
      <c r="O697" s="126" t="str">
        <v>うろ</v>
      </c>
      <c r="P697" s="126">
        <v>0</v>
      </c>
      <c r="Q697" s="127" t="str">
        <v>ぁ</v>
      </c>
      <c r="R697" s="84">
        <v>2</v>
      </c>
      <c r="T697" s="100" t="e">
        <v>#N/A</v>
      </c>
      <c r="U697" s="121">
        <v>0</v>
      </c>
      <c r="V697" s="59" t="str">
        <v>LA</v>
      </c>
      <c r="W697" s="126" t="str">
        <v>うろ</v>
      </c>
      <c r="X697" s="126">
        <v>0</v>
      </c>
      <c r="Y697" s="127" t="str">
        <v>ぁ</v>
      </c>
      <c r="Z697" s="90">
        <v>2</v>
      </c>
    </row>
    <row r="698" spans="1:26" x14ac:dyDescent="0.4">
      <c r="A698" s="52">
        <v>697</v>
      </c>
      <c r="B698" s="51">
        <f t="shared" si="62"/>
        <v>24</v>
      </c>
      <c r="C698" s="50">
        <f t="shared" si="63"/>
        <v>7</v>
      </c>
      <c r="D698" s="64" t="e">
        <f t="shared" si="64"/>
        <v>#N/A</v>
      </c>
      <c r="E698" s="121" cm="1">
        <f t="array" ref="E698">INDEX(InputArea,B698,C698)</f>
        <v>0</v>
      </c>
      <c r="F698" s="59" t="str">
        <f t="shared" si="65"/>
        <v>LS</v>
      </c>
      <c r="G698" s="59" t="str">
        <f t="shared" si="66"/>
        <v>うけ</v>
      </c>
      <c r="H698" s="134"/>
      <c r="I698" s="135"/>
      <c r="J698" s="84">
        <f t="shared" si="67"/>
        <v>2</v>
      </c>
      <c r="K698" s="83"/>
      <c r="L698" s="64" t="e">
        <v>#N/A</v>
      </c>
      <c r="M698" s="121">
        <v>0</v>
      </c>
      <c r="N698" s="59" t="str">
        <v>LS</v>
      </c>
      <c r="O698" s="126" t="str">
        <v>うけ</v>
      </c>
      <c r="P698" s="126">
        <v>0</v>
      </c>
      <c r="Q698" s="127">
        <v>0</v>
      </c>
      <c r="R698" s="84">
        <v>2</v>
      </c>
      <c r="T698" s="100" t="e">
        <v>#N/A</v>
      </c>
      <c r="U698" s="121">
        <v>0</v>
      </c>
      <c r="V698" s="59" t="str">
        <v>LS</v>
      </c>
      <c r="W698" s="126" t="str">
        <v>うけ</v>
      </c>
      <c r="X698" s="126">
        <v>0</v>
      </c>
      <c r="Y698" s="127">
        <v>0</v>
      </c>
      <c r="Z698" s="90">
        <v>2</v>
      </c>
    </row>
    <row r="699" spans="1:26" x14ac:dyDescent="0.4">
      <c r="A699" s="52">
        <v>698</v>
      </c>
      <c r="B699" s="51">
        <f t="shared" si="62"/>
        <v>24</v>
      </c>
      <c r="C699" s="50">
        <f t="shared" si="63"/>
        <v>8</v>
      </c>
      <c r="D699" s="64" t="e">
        <f t="shared" si="64"/>
        <v>#N/A</v>
      </c>
      <c r="E699" s="121" cm="1">
        <f t="array" ref="E699">INDEX(InputArea,B699,C699)</f>
        <v>0</v>
      </c>
      <c r="F699" s="59" t="str">
        <f t="shared" si="65"/>
        <v>LD</v>
      </c>
      <c r="G699" s="59" t="str">
        <f t="shared" si="66"/>
        <v>うと</v>
      </c>
      <c r="H699" s="134"/>
      <c r="I699" s="135"/>
      <c r="J699" s="84">
        <f t="shared" si="67"/>
        <v>2</v>
      </c>
      <c r="K699" s="83"/>
      <c r="L699" s="64" t="e">
        <v>#N/A</v>
      </c>
      <c r="M699" s="121">
        <v>0</v>
      </c>
      <c r="N699" s="59" t="str">
        <v>LD</v>
      </c>
      <c r="O699" s="126" t="str">
        <v>うと</v>
      </c>
      <c r="P699" s="126">
        <v>0</v>
      </c>
      <c r="Q699" s="127">
        <v>0</v>
      </c>
      <c r="R699" s="84">
        <v>2</v>
      </c>
      <c r="T699" s="100" t="e">
        <v>#N/A</v>
      </c>
      <c r="U699" s="121">
        <v>0</v>
      </c>
      <c r="V699" s="59" t="str">
        <v>LD</v>
      </c>
      <c r="W699" s="126" t="str">
        <v>うと</v>
      </c>
      <c r="X699" s="126">
        <v>0</v>
      </c>
      <c r="Y699" s="127">
        <v>0</v>
      </c>
      <c r="Z699" s="90">
        <v>2</v>
      </c>
    </row>
    <row r="700" spans="1:26" x14ac:dyDescent="0.4">
      <c r="A700" s="52">
        <v>699</v>
      </c>
      <c r="B700" s="51">
        <f t="shared" si="62"/>
        <v>24</v>
      </c>
      <c r="C700" s="50">
        <f t="shared" si="63"/>
        <v>9</v>
      </c>
      <c r="D700" s="64" t="e">
        <f t="shared" si="64"/>
        <v>#N/A</v>
      </c>
      <c r="E700" s="121" cm="1">
        <f t="array" ref="E700">INDEX(InputArea,B700,C700)</f>
        <v>0</v>
      </c>
      <c r="F700" s="59" t="str">
        <f t="shared" si="65"/>
        <v>LF</v>
      </c>
      <c r="G700" s="59" t="str">
        <f t="shared" si="66"/>
        <v>うか</v>
      </c>
      <c r="H700" s="137" t="s">
        <v>267</v>
      </c>
      <c r="I700" s="135"/>
      <c r="J700" s="84">
        <f t="shared" si="67"/>
        <v>2</v>
      </c>
      <c r="K700" s="83"/>
      <c r="L700" s="64" t="e">
        <v>#N/A</v>
      </c>
      <c r="M700" s="121">
        <v>0</v>
      </c>
      <c r="N700" s="59" t="str">
        <v>LF</v>
      </c>
      <c r="O700" s="126" t="str">
        <v>うか</v>
      </c>
      <c r="P700" s="126" t="str">
        <v>ぜ</v>
      </c>
      <c r="Q700" s="127">
        <v>0</v>
      </c>
      <c r="R700" s="84">
        <v>2</v>
      </c>
      <c r="T700" s="100" t="e">
        <v>#N/A</v>
      </c>
      <c r="U700" s="121">
        <v>0</v>
      </c>
      <c r="V700" s="59" t="str">
        <v>LF</v>
      </c>
      <c r="W700" s="126" t="str">
        <v>うか</v>
      </c>
      <c r="X700" s="126" t="str">
        <v>ぜ</v>
      </c>
      <c r="Y700" s="127">
        <v>0</v>
      </c>
      <c r="Z700" s="90">
        <v>2</v>
      </c>
    </row>
    <row r="701" spans="1:26" x14ac:dyDescent="0.4">
      <c r="A701" s="52">
        <v>700</v>
      </c>
      <c r="B701" s="51">
        <f t="shared" si="62"/>
        <v>24</v>
      </c>
      <c r="C701" s="50">
        <f t="shared" si="63"/>
        <v>10</v>
      </c>
      <c r="D701" s="64" t="e">
        <f t="shared" si="64"/>
        <v>#N/A</v>
      </c>
      <c r="E701" s="121" cm="1">
        <f t="array" ref="E701">INDEX(InputArea,B701,C701)</f>
        <v>0</v>
      </c>
      <c r="F701" s="59" t="str">
        <f t="shared" si="65"/>
        <v>LG</v>
      </c>
      <c r="G701" s="59" t="str">
        <f t="shared" si="66"/>
        <v>うっ</v>
      </c>
      <c r="H701" s="134"/>
      <c r="I701" s="135"/>
      <c r="J701" s="84">
        <f t="shared" si="67"/>
        <v>2</v>
      </c>
      <c r="K701" s="83"/>
      <c r="L701" s="64" t="e">
        <v>#N/A</v>
      </c>
      <c r="M701" s="121">
        <v>0</v>
      </c>
      <c r="N701" s="59" t="str">
        <v>LG</v>
      </c>
      <c r="O701" s="126" t="str">
        <v>うっ</v>
      </c>
      <c r="P701" s="126">
        <v>0</v>
      </c>
      <c r="Q701" s="127">
        <v>0</v>
      </c>
      <c r="R701" s="84">
        <v>2</v>
      </c>
      <c r="T701" s="100" t="e">
        <v>#N/A</v>
      </c>
      <c r="U701" s="121">
        <v>0</v>
      </c>
      <c r="V701" s="59" t="str">
        <v>LG</v>
      </c>
      <c r="W701" s="126" t="str">
        <v>うっ</v>
      </c>
      <c r="X701" s="126">
        <v>0</v>
      </c>
      <c r="Y701" s="127">
        <v>0</v>
      </c>
      <c r="Z701" s="90">
        <v>2</v>
      </c>
    </row>
    <row r="702" spans="1:26" x14ac:dyDescent="0.4">
      <c r="A702" s="52">
        <v>701</v>
      </c>
      <c r="B702" s="51">
        <f t="shared" si="62"/>
        <v>24</v>
      </c>
      <c r="C702" s="50">
        <f t="shared" si="63"/>
        <v>11</v>
      </c>
      <c r="D702" s="64" t="e">
        <f t="shared" si="64"/>
        <v>#N/A</v>
      </c>
      <c r="E702" s="121" cm="1">
        <f t="array" ref="E702">INDEX(InputArea,B702,C702)</f>
        <v>0</v>
      </c>
      <c r="F702" s="59" t="str">
        <f t="shared" si="65"/>
        <v>LZ</v>
      </c>
      <c r="G702" s="59" t="str">
        <f t="shared" si="66"/>
        <v>うほ</v>
      </c>
      <c r="H702" s="134"/>
      <c r="I702" s="135"/>
      <c r="J702" s="84">
        <f t="shared" si="67"/>
        <v>2</v>
      </c>
      <c r="K702" s="83"/>
      <c r="L702" s="64" t="e">
        <v>#N/A</v>
      </c>
      <c r="M702" s="121">
        <v>0</v>
      </c>
      <c r="N702" s="59" t="str">
        <v>LZ</v>
      </c>
      <c r="O702" s="126" t="str">
        <v>うほ</v>
      </c>
      <c r="P702" s="126">
        <v>0</v>
      </c>
      <c r="Q702" s="127">
        <v>0</v>
      </c>
      <c r="R702" s="84">
        <v>2</v>
      </c>
      <c r="T702" s="100" t="e">
        <v>#N/A</v>
      </c>
      <c r="U702" s="121">
        <v>0</v>
      </c>
      <c r="V702" s="59" t="str">
        <v>LZ</v>
      </c>
      <c r="W702" s="126" t="str">
        <v>うほ</v>
      </c>
      <c r="X702" s="126">
        <v>0</v>
      </c>
      <c r="Y702" s="127">
        <v>0</v>
      </c>
      <c r="Z702" s="90">
        <v>2</v>
      </c>
    </row>
    <row r="703" spans="1:26" x14ac:dyDescent="0.4">
      <c r="A703" s="52">
        <v>702</v>
      </c>
      <c r="B703" s="51">
        <f t="shared" si="62"/>
        <v>24</v>
      </c>
      <c r="C703" s="50">
        <f t="shared" si="63"/>
        <v>12</v>
      </c>
      <c r="D703" s="64" t="e">
        <f t="shared" si="64"/>
        <v>#N/A</v>
      </c>
      <c r="E703" s="121" cm="1">
        <f t="array" ref="E703">INDEX(InputArea,B703,C703)</f>
        <v>0</v>
      </c>
      <c r="F703" s="59" t="str">
        <f t="shared" si="65"/>
        <v>LX</v>
      </c>
      <c r="G703" s="59" t="str">
        <f t="shared" si="66"/>
        <v>うひ</v>
      </c>
      <c r="H703" s="134"/>
      <c r="I703" s="135"/>
      <c r="J703" s="84">
        <f t="shared" si="67"/>
        <v>2</v>
      </c>
      <c r="K703" s="83"/>
      <c r="L703" s="64" t="e">
        <v>#N/A</v>
      </c>
      <c r="M703" s="121">
        <v>0</v>
      </c>
      <c r="N703" s="59" t="str">
        <v>LX</v>
      </c>
      <c r="O703" s="126" t="str">
        <v>うひ</v>
      </c>
      <c r="P703" s="126">
        <v>0</v>
      </c>
      <c r="Q703" s="127">
        <v>0</v>
      </c>
      <c r="R703" s="84">
        <v>2</v>
      </c>
      <c r="T703" s="100" t="e">
        <v>#N/A</v>
      </c>
      <c r="U703" s="121">
        <v>0</v>
      </c>
      <c r="V703" s="59" t="str">
        <v>LX</v>
      </c>
      <c r="W703" s="126" t="str">
        <v>うひ</v>
      </c>
      <c r="X703" s="126">
        <v>0</v>
      </c>
      <c r="Y703" s="127">
        <v>0</v>
      </c>
      <c r="Z703" s="90">
        <v>2</v>
      </c>
    </row>
    <row r="704" spans="1:26" x14ac:dyDescent="0.4">
      <c r="A704" s="52">
        <v>703</v>
      </c>
      <c r="B704" s="51">
        <f t="shared" si="62"/>
        <v>24</v>
      </c>
      <c r="C704" s="50">
        <f t="shared" si="63"/>
        <v>13</v>
      </c>
      <c r="D704" s="64" t="e">
        <f t="shared" si="64"/>
        <v>#N/A</v>
      </c>
      <c r="E704" s="121" cm="1">
        <f t="array" ref="E704">INDEX(InputArea,B704,C704)</f>
        <v>0</v>
      </c>
      <c r="F704" s="59" t="str">
        <f t="shared" si="65"/>
        <v>LC</v>
      </c>
      <c r="G704" s="59" t="str">
        <f t="shared" si="66"/>
        <v>うは</v>
      </c>
      <c r="H704" s="134"/>
      <c r="I704" s="135"/>
      <c r="J704" s="84">
        <f t="shared" si="67"/>
        <v>2</v>
      </c>
      <c r="K704" s="83"/>
      <c r="L704" s="64" t="e">
        <v>#N/A</v>
      </c>
      <c r="M704" s="121">
        <v>0</v>
      </c>
      <c r="N704" s="59" t="str">
        <v>LC</v>
      </c>
      <c r="O704" s="126" t="str">
        <v>うは</v>
      </c>
      <c r="P704" s="126">
        <v>0</v>
      </c>
      <c r="Q704" s="127">
        <v>0</v>
      </c>
      <c r="R704" s="84">
        <v>2</v>
      </c>
      <c r="T704" s="100" t="e">
        <v>#N/A</v>
      </c>
      <c r="U704" s="121">
        <v>0</v>
      </c>
      <c r="V704" s="59" t="str">
        <v>LC</v>
      </c>
      <c r="W704" s="126" t="str">
        <v>うは</v>
      </c>
      <c r="X704" s="126">
        <v>0</v>
      </c>
      <c r="Y704" s="127">
        <v>0</v>
      </c>
      <c r="Z704" s="90">
        <v>2</v>
      </c>
    </row>
    <row r="705" spans="1:26" x14ac:dyDescent="0.4">
      <c r="A705" s="52">
        <v>704</v>
      </c>
      <c r="B705" s="51">
        <f t="shared" si="62"/>
        <v>24</v>
      </c>
      <c r="C705" s="50">
        <f t="shared" si="63"/>
        <v>14</v>
      </c>
      <c r="D705" s="64" t="e">
        <f t="shared" si="64"/>
        <v>#N/A</v>
      </c>
      <c r="E705" s="121" cm="1">
        <f t="array" ref="E705">INDEX(InputArea,B705,C705)</f>
        <v>0</v>
      </c>
      <c r="F705" s="59" t="str">
        <f t="shared" si="65"/>
        <v>LV</v>
      </c>
      <c r="G705" s="59" t="str">
        <f t="shared" si="66"/>
        <v>うこ</v>
      </c>
      <c r="H705" s="134"/>
      <c r="I705" s="135"/>
      <c r="J705" s="84">
        <f t="shared" si="67"/>
        <v>2</v>
      </c>
      <c r="K705" s="83"/>
      <c r="L705" s="64" t="e">
        <v>#N/A</v>
      </c>
      <c r="M705" s="121">
        <v>0</v>
      </c>
      <c r="N705" s="59" t="str">
        <v>LV</v>
      </c>
      <c r="O705" s="126" t="str">
        <v>うこ</v>
      </c>
      <c r="P705" s="126">
        <v>0</v>
      </c>
      <c r="Q705" s="127">
        <v>0</v>
      </c>
      <c r="R705" s="84">
        <v>2</v>
      </c>
      <c r="T705" s="100" t="e">
        <v>#N/A</v>
      </c>
      <c r="U705" s="121">
        <v>0</v>
      </c>
      <c r="V705" s="59" t="str">
        <v>LV</v>
      </c>
      <c r="W705" s="126" t="str">
        <v>うこ</v>
      </c>
      <c r="X705" s="126">
        <v>0</v>
      </c>
      <c r="Y705" s="127">
        <v>0</v>
      </c>
      <c r="Z705" s="90">
        <v>2</v>
      </c>
    </row>
    <row r="706" spans="1:26" x14ac:dyDescent="0.4">
      <c r="A706" s="52">
        <v>705</v>
      </c>
      <c r="B706" s="51">
        <f t="shared" ref="B706:B769" si="68">_xlfn.CEILING.MATH(A706/COLUMNS(InputArea))</f>
        <v>24</v>
      </c>
      <c r="C706" s="50">
        <f t="shared" ref="C706:C769" si="69">MOD(A706-1,COLUMNS(InputArea))+1</f>
        <v>15</v>
      </c>
      <c r="D706" s="64" t="e">
        <f t="shared" ref="D706:D769" si="70">_xlfn.RANK.EQ(E706,InputArea,1)</f>
        <v>#N/A</v>
      </c>
      <c r="E706" s="121" cm="1">
        <f t="array" ref="E706">INDEX(InputArea,B706,C706)</f>
        <v>0</v>
      </c>
      <c r="F706" s="59" t="str">
        <f t="shared" ref="F706:F769" si="71">_xlfn.CONCAT(INDEX(RowName,B706),INDEX(ColName,,C706))</f>
        <v>LB</v>
      </c>
      <c r="G706" s="59" t="str">
        <f t="shared" ref="G706:G769" si="72">_xlfn.CONCAT(INDEX(RowKana,B706),INDEX(ColKana,,C706))</f>
        <v>うそ</v>
      </c>
      <c r="H706" s="134"/>
      <c r="I706" s="135"/>
      <c r="J706" s="84">
        <f t="shared" si="67"/>
        <v>2</v>
      </c>
      <c r="K706" s="83"/>
      <c r="L706" s="64" t="e">
        <v>#N/A</v>
      </c>
      <c r="M706" s="121">
        <v>0</v>
      </c>
      <c r="N706" s="59" t="str">
        <v>LB</v>
      </c>
      <c r="O706" s="126" t="str">
        <v>うそ</v>
      </c>
      <c r="P706" s="126">
        <v>0</v>
      </c>
      <c r="Q706" s="127">
        <v>0</v>
      </c>
      <c r="R706" s="84">
        <v>2</v>
      </c>
      <c r="T706" s="100" t="e">
        <v>#N/A</v>
      </c>
      <c r="U706" s="121">
        <v>0</v>
      </c>
      <c r="V706" s="59" t="str">
        <v>LB</v>
      </c>
      <c r="W706" s="126" t="str">
        <v>うそ</v>
      </c>
      <c r="X706" s="126">
        <v>0</v>
      </c>
      <c r="Y706" s="127">
        <v>0</v>
      </c>
      <c r="Z706" s="90">
        <v>2</v>
      </c>
    </row>
    <row r="707" spans="1:26" x14ac:dyDescent="0.4">
      <c r="A707" s="52">
        <v>706</v>
      </c>
      <c r="B707" s="51">
        <f t="shared" si="68"/>
        <v>24</v>
      </c>
      <c r="C707" s="50">
        <f t="shared" si="69"/>
        <v>16</v>
      </c>
      <c r="D707" s="64" t="e">
        <f t="shared" si="70"/>
        <v>#N/A</v>
      </c>
      <c r="E707" s="121" cm="1">
        <f t="array" ref="E707">INDEX(InputArea,B707,C707)</f>
        <v>0</v>
      </c>
      <c r="F707" s="59" t="str">
        <f t="shared" si="71"/>
        <v>LY</v>
      </c>
      <c r="G707" s="59" t="str">
        <f t="shared" si="72"/>
        <v>う→</v>
      </c>
      <c r="H707" s="134"/>
      <c r="I707" s="136" t="s">
        <v>527</v>
      </c>
      <c r="J707" s="84">
        <f t="shared" ref="J707:J770" si="73">(_xlfn.CEILING.MATH(B707/15)-1)*2+_xlfn.CEILING.MATH(C707/15)-1</f>
        <v>3</v>
      </c>
      <c r="K707" s="83"/>
      <c r="L707" s="64" t="e">
        <v>#N/A</v>
      </c>
      <c r="M707" s="121">
        <v>0</v>
      </c>
      <c r="N707" s="59" t="str">
        <v>LY</v>
      </c>
      <c r="O707" s="126" t="str">
        <v>う→</v>
      </c>
      <c r="P707" s="126">
        <v>0</v>
      </c>
      <c r="Q707" s="127" t="str">
        <v>ｌｙ</v>
      </c>
      <c r="R707" s="84">
        <v>3</v>
      </c>
      <c r="T707" s="100" t="e">
        <v>#N/A</v>
      </c>
      <c r="U707" s="121">
        <v>0</v>
      </c>
      <c r="V707" s="59" t="str">
        <v>LY</v>
      </c>
      <c r="W707" s="126" t="str">
        <v>う→</v>
      </c>
      <c r="X707" s="126">
        <v>0</v>
      </c>
      <c r="Y707" s="127" t="str">
        <v>ｌｙ</v>
      </c>
      <c r="Z707" s="90">
        <v>3</v>
      </c>
    </row>
    <row r="708" spans="1:26" x14ac:dyDescent="0.4">
      <c r="A708" s="52">
        <v>707</v>
      </c>
      <c r="B708" s="51">
        <f t="shared" si="68"/>
        <v>24</v>
      </c>
      <c r="C708" s="50">
        <f t="shared" si="69"/>
        <v>17</v>
      </c>
      <c r="D708" s="64" t="e">
        <f t="shared" si="70"/>
        <v>#N/A</v>
      </c>
      <c r="E708" s="121" cm="1">
        <f t="array" ref="E708">INDEX(InputArea,B708,C708)</f>
        <v>0</v>
      </c>
      <c r="F708" s="59" t="str">
        <f t="shared" si="71"/>
        <v>LU</v>
      </c>
      <c r="G708" s="59" t="str">
        <f t="shared" si="72"/>
        <v>うBS</v>
      </c>
      <c r="H708" s="134"/>
      <c r="I708" s="136" t="s">
        <v>242</v>
      </c>
      <c r="J708" s="84">
        <f t="shared" si="73"/>
        <v>3</v>
      </c>
      <c r="K708" s="83"/>
      <c r="L708" s="64" t="e">
        <v>#N/A</v>
      </c>
      <c r="M708" s="121">
        <v>0</v>
      </c>
      <c r="N708" s="59" t="str">
        <v>LU</v>
      </c>
      <c r="O708" s="126" t="str">
        <v>うBS</v>
      </c>
      <c r="P708" s="126">
        <v>0</v>
      </c>
      <c r="Q708" s="127" t="str">
        <v>ぅ</v>
      </c>
      <c r="R708" s="84">
        <v>3</v>
      </c>
      <c r="T708" s="100" t="e">
        <v>#N/A</v>
      </c>
      <c r="U708" s="121">
        <v>0</v>
      </c>
      <c r="V708" s="59" t="str">
        <v>LU</v>
      </c>
      <c r="W708" s="126" t="str">
        <v>うBS</v>
      </c>
      <c r="X708" s="126">
        <v>0</v>
      </c>
      <c r="Y708" s="127" t="str">
        <v>ぅ</v>
      </c>
      <c r="Z708" s="90">
        <v>3</v>
      </c>
    </row>
    <row r="709" spans="1:26" x14ac:dyDescent="0.4">
      <c r="A709" s="52">
        <v>708</v>
      </c>
      <c r="B709" s="51">
        <f t="shared" si="68"/>
        <v>24</v>
      </c>
      <c r="C709" s="50">
        <f t="shared" si="69"/>
        <v>18</v>
      </c>
      <c r="D709" s="64" t="e">
        <f t="shared" si="70"/>
        <v>#N/A</v>
      </c>
      <c r="E709" s="121" cm="1">
        <f t="array" ref="E709">INDEX(InputArea,B709,C709)</f>
        <v>0</v>
      </c>
      <c r="F709" s="59" t="str">
        <f t="shared" si="71"/>
        <v>LI</v>
      </c>
      <c r="G709" s="59" t="str">
        <f t="shared" si="72"/>
        <v>うる</v>
      </c>
      <c r="H709" s="134"/>
      <c r="I709" s="136" t="s">
        <v>241</v>
      </c>
      <c r="J709" s="84">
        <f t="shared" si="73"/>
        <v>3</v>
      </c>
      <c r="K709" s="83"/>
      <c r="L709" s="64" t="e">
        <v>#N/A</v>
      </c>
      <c r="M709" s="121">
        <v>0</v>
      </c>
      <c r="N709" s="59" t="str">
        <v>LI</v>
      </c>
      <c r="O709" s="126" t="str">
        <v>うる</v>
      </c>
      <c r="P709" s="126">
        <v>0</v>
      </c>
      <c r="Q709" s="127" t="str">
        <v>ぃ</v>
      </c>
      <c r="R709" s="84">
        <v>3</v>
      </c>
      <c r="T709" s="100" t="e">
        <v>#N/A</v>
      </c>
      <c r="U709" s="121">
        <v>0</v>
      </c>
      <c r="V709" s="59" t="str">
        <v>LI</v>
      </c>
      <c r="W709" s="126" t="str">
        <v>うる</v>
      </c>
      <c r="X709" s="126">
        <v>0</v>
      </c>
      <c r="Y709" s="127" t="str">
        <v>ぃ</v>
      </c>
      <c r="Z709" s="90">
        <v>3</v>
      </c>
    </row>
    <row r="710" spans="1:26" x14ac:dyDescent="0.4">
      <c r="A710" s="52">
        <v>709</v>
      </c>
      <c r="B710" s="51">
        <f t="shared" si="68"/>
        <v>24</v>
      </c>
      <c r="C710" s="50">
        <f t="shared" si="69"/>
        <v>19</v>
      </c>
      <c r="D710" s="64" t="e">
        <f t="shared" si="70"/>
        <v>#N/A</v>
      </c>
      <c r="E710" s="121" cm="1">
        <f t="array" ref="E710">INDEX(InputArea,B710,C710)</f>
        <v>0</v>
      </c>
      <c r="F710" s="59" t="str">
        <f t="shared" si="71"/>
        <v>LO</v>
      </c>
      <c r="G710" s="59" t="str">
        <f t="shared" si="72"/>
        <v>うす</v>
      </c>
      <c r="H710" s="134"/>
      <c r="I710" s="136" t="s">
        <v>243</v>
      </c>
      <c r="J710" s="84">
        <f t="shared" si="73"/>
        <v>3</v>
      </c>
      <c r="K710" s="83"/>
      <c r="L710" s="64" t="e">
        <v>#N/A</v>
      </c>
      <c r="M710" s="121">
        <v>0</v>
      </c>
      <c r="N710" s="59" t="str">
        <v>LO</v>
      </c>
      <c r="O710" s="126" t="str">
        <v>うす</v>
      </c>
      <c r="P710" s="126">
        <v>0</v>
      </c>
      <c r="Q710" s="127" t="str">
        <v>ぉ</v>
      </c>
      <c r="R710" s="84">
        <v>3</v>
      </c>
      <c r="T710" s="100" t="e">
        <v>#N/A</v>
      </c>
      <c r="U710" s="121">
        <v>0</v>
      </c>
      <c r="V710" s="59" t="str">
        <v>LO</v>
      </c>
      <c r="W710" s="126" t="str">
        <v>うす</v>
      </c>
      <c r="X710" s="126">
        <v>0</v>
      </c>
      <c r="Y710" s="127" t="str">
        <v>ぉ</v>
      </c>
      <c r="Z710" s="90">
        <v>3</v>
      </c>
    </row>
    <row r="711" spans="1:26" x14ac:dyDescent="0.4">
      <c r="A711" s="52">
        <v>710</v>
      </c>
      <c r="B711" s="51">
        <f t="shared" si="68"/>
        <v>24</v>
      </c>
      <c r="C711" s="50">
        <f t="shared" si="69"/>
        <v>20</v>
      </c>
      <c r="D711" s="64" t="e">
        <f t="shared" si="70"/>
        <v>#N/A</v>
      </c>
      <c r="E711" s="121" cm="1">
        <f t="array" ref="E711">INDEX(InputArea,B711,C711)</f>
        <v>0</v>
      </c>
      <c r="F711" s="59" t="str">
        <f t="shared" si="71"/>
        <v>LP</v>
      </c>
      <c r="G711" s="59" t="str">
        <f t="shared" si="72"/>
        <v>うへ</v>
      </c>
      <c r="H711" s="134"/>
      <c r="I711" s="135"/>
      <c r="J711" s="84">
        <f t="shared" si="73"/>
        <v>3</v>
      </c>
      <c r="K711" s="83"/>
      <c r="L711" s="64" t="e">
        <v>#N/A</v>
      </c>
      <c r="M711" s="121">
        <v>0</v>
      </c>
      <c r="N711" s="59" t="str">
        <v>LP</v>
      </c>
      <c r="O711" s="126" t="str">
        <v>うへ</v>
      </c>
      <c r="P711" s="126">
        <v>0</v>
      </c>
      <c r="Q711" s="127">
        <v>0</v>
      </c>
      <c r="R711" s="84">
        <v>3</v>
      </c>
      <c r="T711" s="100" t="e">
        <v>#N/A</v>
      </c>
      <c r="U711" s="121">
        <v>0</v>
      </c>
      <c r="V711" s="59" t="str">
        <v>LP</v>
      </c>
      <c r="W711" s="126" t="str">
        <v>うへ</v>
      </c>
      <c r="X711" s="126">
        <v>0</v>
      </c>
      <c r="Y711" s="127">
        <v>0</v>
      </c>
      <c r="Z711" s="90">
        <v>3</v>
      </c>
    </row>
    <row r="712" spans="1:26" x14ac:dyDescent="0.4">
      <c r="A712" s="52">
        <v>711</v>
      </c>
      <c r="B712" s="51">
        <f t="shared" si="68"/>
        <v>24</v>
      </c>
      <c r="C712" s="50">
        <f t="shared" si="69"/>
        <v>21</v>
      </c>
      <c r="D712" s="64" t="e">
        <f t="shared" si="70"/>
        <v>#N/A</v>
      </c>
      <c r="E712" s="121" cm="1">
        <f t="array" ref="E712">INDEX(InputArea,B712,C712)</f>
        <v>0</v>
      </c>
      <c r="F712" s="59" t="str">
        <f t="shared" si="71"/>
        <v>LH</v>
      </c>
      <c r="G712" s="59" t="str">
        <f t="shared" si="72"/>
        <v>うく</v>
      </c>
      <c r="H712" s="134"/>
      <c r="I712" s="135"/>
      <c r="J712" s="84">
        <f t="shared" si="73"/>
        <v>3</v>
      </c>
      <c r="K712" s="83"/>
      <c r="L712" s="64" t="e">
        <v>#N/A</v>
      </c>
      <c r="M712" s="121">
        <v>0</v>
      </c>
      <c r="N712" s="59" t="str">
        <v>LH</v>
      </c>
      <c r="O712" s="126" t="str">
        <v>うく</v>
      </c>
      <c r="P712" s="126">
        <v>0</v>
      </c>
      <c r="Q712" s="127">
        <v>0</v>
      </c>
      <c r="R712" s="84">
        <v>3</v>
      </c>
      <c r="T712" s="100" t="e">
        <v>#N/A</v>
      </c>
      <c r="U712" s="121">
        <v>0</v>
      </c>
      <c r="V712" s="59" t="str">
        <v>LH</v>
      </c>
      <c r="W712" s="126" t="str">
        <v>うく</v>
      </c>
      <c r="X712" s="126">
        <v>0</v>
      </c>
      <c r="Y712" s="127">
        <v>0</v>
      </c>
      <c r="Z712" s="90">
        <v>3</v>
      </c>
    </row>
    <row r="713" spans="1:26" x14ac:dyDescent="0.4">
      <c r="A713" s="52">
        <v>712</v>
      </c>
      <c r="B713" s="51">
        <f t="shared" si="68"/>
        <v>24</v>
      </c>
      <c r="C713" s="50">
        <f t="shared" si="69"/>
        <v>22</v>
      </c>
      <c r="D713" s="64" t="e">
        <f t="shared" si="70"/>
        <v>#N/A</v>
      </c>
      <c r="E713" s="121" cm="1">
        <f t="array" ref="E713">INDEX(InputArea,B713,C713)</f>
        <v>0</v>
      </c>
      <c r="F713" s="59" t="str">
        <f t="shared" si="71"/>
        <v>LJ</v>
      </c>
      <c r="G713" s="59" t="str">
        <f t="shared" si="72"/>
        <v>うあ</v>
      </c>
      <c r="H713" s="134"/>
      <c r="I713" s="135"/>
      <c r="J713" s="84">
        <f t="shared" si="73"/>
        <v>3</v>
      </c>
      <c r="K713" s="83"/>
      <c r="L713" s="64" t="e">
        <v>#N/A</v>
      </c>
      <c r="M713" s="121">
        <v>0</v>
      </c>
      <c r="N713" s="59" t="str">
        <v>LJ</v>
      </c>
      <c r="O713" s="126" t="str">
        <v>うあ</v>
      </c>
      <c r="P713" s="126">
        <v>0</v>
      </c>
      <c r="Q713" s="127">
        <v>0</v>
      </c>
      <c r="R713" s="84">
        <v>3</v>
      </c>
      <c r="T713" s="100" t="e">
        <v>#N/A</v>
      </c>
      <c r="U713" s="121">
        <v>0</v>
      </c>
      <c r="V713" s="59" t="str">
        <v>LJ</v>
      </c>
      <c r="W713" s="126" t="str">
        <v>うあ</v>
      </c>
      <c r="X713" s="126">
        <v>0</v>
      </c>
      <c r="Y713" s="127">
        <v>0</v>
      </c>
      <c r="Z713" s="90">
        <v>3</v>
      </c>
    </row>
    <row r="714" spans="1:26" x14ac:dyDescent="0.4">
      <c r="A714" s="52">
        <v>713</v>
      </c>
      <c r="B714" s="51">
        <f t="shared" si="68"/>
        <v>24</v>
      </c>
      <c r="C714" s="50">
        <f t="shared" si="69"/>
        <v>23</v>
      </c>
      <c r="D714" s="64" t="e">
        <f t="shared" si="70"/>
        <v>#N/A</v>
      </c>
      <c r="E714" s="121" cm="1">
        <f t="array" ref="E714">INDEX(InputArea,B714,C714)</f>
        <v>0</v>
      </c>
      <c r="F714" s="59" t="str">
        <f t="shared" si="71"/>
        <v>LK</v>
      </c>
      <c r="G714" s="59" t="str">
        <f t="shared" si="72"/>
        <v>うい</v>
      </c>
      <c r="H714" s="134"/>
      <c r="I714" s="135"/>
      <c r="J714" s="84">
        <f t="shared" si="73"/>
        <v>3</v>
      </c>
      <c r="K714" s="83"/>
      <c r="L714" s="64" t="e">
        <v>#N/A</v>
      </c>
      <c r="M714" s="121">
        <v>0</v>
      </c>
      <c r="N714" s="59" t="str">
        <v>LK</v>
      </c>
      <c r="O714" s="126" t="str">
        <v>うい</v>
      </c>
      <c r="P714" s="126">
        <v>0</v>
      </c>
      <c r="Q714" s="127">
        <v>0</v>
      </c>
      <c r="R714" s="84">
        <v>3</v>
      </c>
      <c r="T714" s="100" t="e">
        <v>#N/A</v>
      </c>
      <c r="U714" s="121">
        <v>0</v>
      </c>
      <c r="V714" s="59" t="str">
        <v>LK</v>
      </c>
      <c r="W714" s="126" t="str">
        <v>うい</v>
      </c>
      <c r="X714" s="126">
        <v>0</v>
      </c>
      <c r="Y714" s="127">
        <v>0</v>
      </c>
      <c r="Z714" s="90">
        <v>3</v>
      </c>
    </row>
    <row r="715" spans="1:26" x14ac:dyDescent="0.4">
      <c r="A715" s="52">
        <v>714</v>
      </c>
      <c r="B715" s="51">
        <f t="shared" si="68"/>
        <v>24</v>
      </c>
      <c r="C715" s="50">
        <f t="shared" si="69"/>
        <v>24</v>
      </c>
      <c r="D715" s="64" t="e">
        <f t="shared" si="70"/>
        <v>#N/A</v>
      </c>
      <c r="E715" s="121" cm="1">
        <f t="array" ref="E715">INDEX(InputArea,B715,C715)</f>
        <v>0</v>
      </c>
      <c r="F715" s="59" t="str">
        <f t="shared" si="71"/>
        <v>LL</v>
      </c>
      <c r="G715" s="59" t="str">
        <f t="shared" si="72"/>
        <v>うう</v>
      </c>
      <c r="H715" s="134"/>
      <c r="I715" s="136" t="s">
        <v>528</v>
      </c>
      <c r="J715" s="84">
        <f t="shared" si="73"/>
        <v>3</v>
      </c>
      <c r="K715" s="83"/>
      <c r="L715" s="64" t="e">
        <v>#N/A</v>
      </c>
      <c r="M715" s="121">
        <v>0</v>
      </c>
      <c r="N715" s="59" t="str">
        <v>LL</v>
      </c>
      <c r="O715" s="126" t="str">
        <v>うう</v>
      </c>
      <c r="P715" s="126">
        <v>0</v>
      </c>
      <c r="Q715" s="127" t="str">
        <v>っｌ</v>
      </c>
      <c r="R715" s="84">
        <v>3</v>
      </c>
      <c r="T715" s="100" t="e">
        <v>#N/A</v>
      </c>
      <c r="U715" s="121">
        <v>0</v>
      </c>
      <c r="V715" s="59" t="str">
        <v>LL</v>
      </c>
      <c r="W715" s="126" t="str">
        <v>うう</v>
      </c>
      <c r="X715" s="126">
        <v>0</v>
      </c>
      <c r="Y715" s="127" t="str">
        <v>っｌ</v>
      </c>
      <c r="Z715" s="90">
        <v>3</v>
      </c>
    </row>
    <row r="716" spans="1:26" x14ac:dyDescent="0.4">
      <c r="A716" s="52">
        <v>715</v>
      </c>
      <c r="B716" s="51">
        <f t="shared" si="68"/>
        <v>24</v>
      </c>
      <c r="C716" s="50">
        <f t="shared" si="69"/>
        <v>25</v>
      </c>
      <c r="D716" s="64" t="e">
        <f t="shared" si="70"/>
        <v>#N/A</v>
      </c>
      <c r="E716" s="121" cm="1">
        <f t="array" ref="E716">INDEX(InputArea,B716,C716)</f>
        <v>0</v>
      </c>
      <c r="F716" s="59" t="str">
        <f t="shared" si="71"/>
        <v>L;</v>
      </c>
      <c r="G716" s="59" t="str">
        <f t="shared" si="72"/>
        <v>うー</v>
      </c>
      <c r="H716" s="134"/>
      <c r="I716" s="135"/>
      <c r="J716" s="84">
        <f t="shared" si="73"/>
        <v>3</v>
      </c>
      <c r="K716" s="83"/>
      <c r="L716" s="64" t="e">
        <v>#N/A</v>
      </c>
      <c r="M716" s="121">
        <v>0</v>
      </c>
      <c r="N716" s="59" t="str">
        <v>L;</v>
      </c>
      <c r="O716" s="126" t="str">
        <v>うー</v>
      </c>
      <c r="P716" s="126">
        <v>0</v>
      </c>
      <c r="Q716" s="127">
        <v>0</v>
      </c>
      <c r="R716" s="84">
        <v>3</v>
      </c>
      <c r="T716" s="100" t="e">
        <v>#N/A</v>
      </c>
      <c r="U716" s="121">
        <v>0</v>
      </c>
      <c r="V716" s="59" t="str">
        <v>L;</v>
      </c>
      <c r="W716" s="126" t="str">
        <v>うー</v>
      </c>
      <c r="X716" s="126">
        <v>0</v>
      </c>
      <c r="Y716" s="127">
        <v>0</v>
      </c>
      <c r="Z716" s="90">
        <v>3</v>
      </c>
    </row>
    <row r="717" spans="1:26" x14ac:dyDescent="0.4">
      <c r="A717" s="52">
        <v>716</v>
      </c>
      <c r="B717" s="51">
        <f t="shared" si="68"/>
        <v>24</v>
      </c>
      <c r="C717" s="50">
        <f t="shared" si="69"/>
        <v>26</v>
      </c>
      <c r="D717" s="64" t="e">
        <f t="shared" si="70"/>
        <v>#N/A</v>
      </c>
      <c r="E717" s="121" cm="1">
        <f t="array" ref="E717">INDEX(InputArea,B717,C717)</f>
        <v>0</v>
      </c>
      <c r="F717" s="59" t="str">
        <f t="shared" si="71"/>
        <v>LN</v>
      </c>
      <c r="G717" s="59" t="str">
        <f t="shared" si="72"/>
        <v>うた</v>
      </c>
      <c r="H717" s="134"/>
      <c r="I717" s="135"/>
      <c r="J717" s="84">
        <f t="shared" si="73"/>
        <v>3</v>
      </c>
      <c r="K717" s="83"/>
      <c r="L717" s="64" t="e">
        <v>#N/A</v>
      </c>
      <c r="M717" s="121">
        <v>0</v>
      </c>
      <c r="N717" s="59" t="str">
        <v>LN</v>
      </c>
      <c r="O717" s="126" t="str">
        <v>うた</v>
      </c>
      <c r="P717" s="126">
        <v>0</v>
      </c>
      <c r="Q717" s="127">
        <v>0</v>
      </c>
      <c r="R717" s="84">
        <v>3</v>
      </c>
      <c r="T717" s="100" t="e">
        <v>#N/A</v>
      </c>
      <c r="U717" s="121">
        <v>0</v>
      </c>
      <c r="V717" s="59" t="str">
        <v>LN</v>
      </c>
      <c r="W717" s="126" t="str">
        <v>うた</v>
      </c>
      <c r="X717" s="126">
        <v>0</v>
      </c>
      <c r="Y717" s="127">
        <v>0</v>
      </c>
      <c r="Z717" s="90">
        <v>3</v>
      </c>
    </row>
    <row r="718" spans="1:26" x14ac:dyDescent="0.4">
      <c r="A718" s="52">
        <v>717</v>
      </c>
      <c r="B718" s="51">
        <f t="shared" si="68"/>
        <v>24</v>
      </c>
      <c r="C718" s="50">
        <f t="shared" si="69"/>
        <v>27</v>
      </c>
      <c r="D718" s="64" t="e">
        <f t="shared" si="70"/>
        <v>#N/A</v>
      </c>
      <c r="E718" s="121" cm="1">
        <f t="array" ref="E718">INDEX(InputArea,B718,C718)</f>
        <v>0</v>
      </c>
      <c r="F718" s="59" t="str">
        <f t="shared" si="71"/>
        <v>LM</v>
      </c>
      <c r="G718" s="59" t="str">
        <f t="shared" si="72"/>
        <v>うな</v>
      </c>
      <c r="H718" s="134"/>
      <c r="I718" s="135"/>
      <c r="J718" s="84">
        <f t="shared" si="73"/>
        <v>3</v>
      </c>
      <c r="K718" s="83"/>
      <c r="L718" s="64" t="e">
        <v>#N/A</v>
      </c>
      <c r="M718" s="121">
        <v>0</v>
      </c>
      <c r="N718" s="59" t="str">
        <v>LM</v>
      </c>
      <c r="O718" s="126" t="str">
        <v>うな</v>
      </c>
      <c r="P718" s="126">
        <v>0</v>
      </c>
      <c r="Q718" s="127">
        <v>0</v>
      </c>
      <c r="R718" s="84">
        <v>3</v>
      </c>
      <c r="T718" s="100" t="e">
        <v>#N/A</v>
      </c>
      <c r="U718" s="121">
        <v>0</v>
      </c>
      <c r="V718" s="59" t="str">
        <v>LM</v>
      </c>
      <c r="W718" s="126" t="str">
        <v>うな</v>
      </c>
      <c r="X718" s="126">
        <v>0</v>
      </c>
      <c r="Y718" s="127">
        <v>0</v>
      </c>
      <c r="Z718" s="90">
        <v>3</v>
      </c>
    </row>
    <row r="719" spans="1:26" x14ac:dyDescent="0.4">
      <c r="A719" s="52">
        <v>718</v>
      </c>
      <c r="B719" s="51">
        <f t="shared" si="68"/>
        <v>24</v>
      </c>
      <c r="C719" s="50">
        <f t="shared" si="69"/>
        <v>28</v>
      </c>
      <c r="D719" s="64" t="e">
        <f t="shared" si="70"/>
        <v>#N/A</v>
      </c>
      <c r="E719" s="121" cm="1">
        <f t="array" ref="E719">INDEX(InputArea,B719,C719)</f>
        <v>0</v>
      </c>
      <c r="F719" s="59" t="str">
        <f t="shared" si="71"/>
        <v>L,</v>
      </c>
      <c r="G719" s="59" t="str">
        <f t="shared" si="72"/>
        <v>うん</v>
      </c>
      <c r="H719" s="134"/>
      <c r="I719" s="135"/>
      <c r="J719" s="84">
        <f t="shared" si="73"/>
        <v>3</v>
      </c>
      <c r="K719" s="83"/>
      <c r="L719" s="64" t="e">
        <v>#N/A</v>
      </c>
      <c r="M719" s="121">
        <v>0</v>
      </c>
      <c r="N719" s="59" t="str">
        <v>L,</v>
      </c>
      <c r="O719" s="126" t="str">
        <v>うん</v>
      </c>
      <c r="P719" s="126">
        <v>0</v>
      </c>
      <c r="Q719" s="127">
        <v>0</v>
      </c>
      <c r="R719" s="84">
        <v>3</v>
      </c>
      <c r="T719" s="100" t="e">
        <v>#N/A</v>
      </c>
      <c r="U719" s="121">
        <v>0</v>
      </c>
      <c r="V719" s="59" t="str">
        <v>L,</v>
      </c>
      <c r="W719" s="126" t="str">
        <v>うん</v>
      </c>
      <c r="X719" s="126">
        <v>0</v>
      </c>
      <c r="Y719" s="127">
        <v>0</v>
      </c>
      <c r="Z719" s="90">
        <v>3</v>
      </c>
    </row>
    <row r="720" spans="1:26" x14ac:dyDescent="0.4">
      <c r="A720" s="52">
        <v>719</v>
      </c>
      <c r="B720" s="51">
        <f t="shared" si="68"/>
        <v>24</v>
      </c>
      <c r="C720" s="50">
        <f t="shared" si="69"/>
        <v>29</v>
      </c>
      <c r="D720" s="64" t="e">
        <f t="shared" si="70"/>
        <v>#N/A</v>
      </c>
      <c r="E720" s="121" cm="1">
        <f t="array" ref="E720">INDEX(InputArea,B720,C720)</f>
        <v>0</v>
      </c>
      <c r="F720" s="59" t="str">
        <f t="shared" si="71"/>
        <v>L.</v>
      </c>
      <c r="G720" s="59" t="str">
        <f t="shared" si="72"/>
        <v>うら</v>
      </c>
      <c r="H720" s="134"/>
      <c r="I720" s="135"/>
      <c r="J720" s="84">
        <f t="shared" si="73"/>
        <v>3</v>
      </c>
      <c r="K720" s="83"/>
      <c r="L720" s="64" t="e">
        <v>#N/A</v>
      </c>
      <c r="M720" s="121">
        <v>0</v>
      </c>
      <c r="N720" s="59" t="str">
        <v>L.</v>
      </c>
      <c r="O720" s="126" t="str">
        <v>うら</v>
      </c>
      <c r="P720" s="126">
        <v>0</v>
      </c>
      <c r="Q720" s="127">
        <v>0</v>
      </c>
      <c r="R720" s="84">
        <v>3</v>
      </c>
      <c r="T720" s="100" t="e">
        <v>#N/A</v>
      </c>
      <c r="U720" s="121">
        <v>0</v>
      </c>
      <c r="V720" s="59" t="str">
        <v>L.</v>
      </c>
      <c r="W720" s="126" t="str">
        <v>うら</v>
      </c>
      <c r="X720" s="126">
        <v>0</v>
      </c>
      <c r="Y720" s="127">
        <v>0</v>
      </c>
      <c r="Z720" s="90">
        <v>3</v>
      </c>
    </row>
    <row r="721" spans="1:26" x14ac:dyDescent="0.4">
      <c r="A721" s="52">
        <v>720</v>
      </c>
      <c r="B721" s="51">
        <f t="shared" si="68"/>
        <v>24</v>
      </c>
      <c r="C721" s="50">
        <f t="shared" si="69"/>
        <v>30</v>
      </c>
      <c r="D721" s="64" t="e">
        <f t="shared" si="70"/>
        <v>#N/A</v>
      </c>
      <c r="E721" s="121" cm="1">
        <f t="array" ref="E721">INDEX(InputArea,B721,C721)</f>
        <v>0</v>
      </c>
      <c r="F721" s="59" t="str">
        <f t="shared" si="71"/>
        <v>L/</v>
      </c>
      <c r="G721" s="59" t="str">
        <f t="shared" si="72"/>
        <v>うれ</v>
      </c>
      <c r="H721" s="134"/>
      <c r="I721" s="135"/>
      <c r="J721" s="84">
        <f t="shared" si="73"/>
        <v>3</v>
      </c>
      <c r="K721" s="83"/>
      <c r="L721" s="64" t="e">
        <v>#N/A</v>
      </c>
      <c r="M721" s="121">
        <v>0</v>
      </c>
      <c r="N721" s="59" t="str">
        <v>L/</v>
      </c>
      <c r="O721" s="126" t="str">
        <v>うれ</v>
      </c>
      <c r="P721" s="126">
        <v>0</v>
      </c>
      <c r="Q721" s="127">
        <v>0</v>
      </c>
      <c r="R721" s="84">
        <v>3</v>
      </c>
      <c r="T721" s="100" t="e">
        <v>#N/A</v>
      </c>
      <c r="U721" s="121">
        <v>0</v>
      </c>
      <c r="V721" s="59" t="str">
        <v>L/</v>
      </c>
      <c r="W721" s="126" t="str">
        <v>うれ</v>
      </c>
      <c r="X721" s="126">
        <v>0</v>
      </c>
      <c r="Y721" s="127">
        <v>0</v>
      </c>
      <c r="Z721" s="90">
        <v>3</v>
      </c>
    </row>
    <row r="722" spans="1:26" x14ac:dyDescent="0.4">
      <c r="A722" s="52">
        <v>721</v>
      </c>
      <c r="B722" s="51">
        <f t="shared" si="68"/>
        <v>25</v>
      </c>
      <c r="C722" s="50">
        <f t="shared" si="69"/>
        <v>1</v>
      </c>
      <c r="D722" s="64" t="e">
        <f t="shared" si="70"/>
        <v>#N/A</v>
      </c>
      <c r="E722" s="121" cm="1">
        <f t="array" ref="E722">INDEX(InputArea,B722,C722)</f>
        <v>0</v>
      </c>
      <c r="F722" s="59" t="str">
        <f t="shared" si="71"/>
        <v>;Q</v>
      </c>
      <c r="G722" s="59" t="str">
        <f t="shared" si="72"/>
        <v>ーヴ</v>
      </c>
      <c r="H722" s="134"/>
      <c r="I722" s="135"/>
      <c r="J722" s="84">
        <f t="shared" si="73"/>
        <v>2</v>
      </c>
      <c r="K722" s="83"/>
      <c r="L722" s="64" t="e">
        <v>#N/A</v>
      </c>
      <c r="M722" s="121">
        <v>0</v>
      </c>
      <c r="N722" s="59" t="str">
        <v>;Q</v>
      </c>
      <c r="O722" s="126" t="str">
        <v>ーヴ</v>
      </c>
      <c r="P722" s="126">
        <v>0</v>
      </c>
      <c r="Q722" s="127">
        <v>0</v>
      </c>
      <c r="R722" s="84">
        <v>2</v>
      </c>
      <c r="T722" s="100" t="e">
        <v>#N/A</v>
      </c>
      <c r="U722" s="121">
        <v>0</v>
      </c>
      <c r="V722" s="59" t="str">
        <v>;Q</v>
      </c>
      <c r="W722" s="126" t="str">
        <v>ーヴ</v>
      </c>
      <c r="X722" s="126">
        <v>0</v>
      </c>
      <c r="Y722" s="127">
        <v>0</v>
      </c>
      <c r="Z722" s="90">
        <v>2</v>
      </c>
    </row>
    <row r="723" spans="1:26" x14ac:dyDescent="0.4">
      <c r="A723" s="52">
        <v>722</v>
      </c>
      <c r="B723" s="51">
        <f t="shared" si="68"/>
        <v>25</v>
      </c>
      <c r="C723" s="50">
        <f t="shared" si="69"/>
        <v>2</v>
      </c>
      <c r="D723" s="64" t="e">
        <f t="shared" si="70"/>
        <v>#N/A</v>
      </c>
      <c r="E723" s="121" cm="1">
        <f t="array" ref="E723">INDEX(InputArea,B723,C723)</f>
        <v>0</v>
      </c>
      <c r="F723" s="59" t="str">
        <f t="shared" si="71"/>
        <v>;W</v>
      </c>
      <c r="G723" s="59" t="str">
        <f t="shared" si="72"/>
        <v>ーき</v>
      </c>
      <c r="H723" s="134"/>
      <c r="I723" s="135"/>
      <c r="J723" s="84">
        <f t="shared" si="73"/>
        <v>2</v>
      </c>
      <c r="K723" s="83"/>
      <c r="L723" s="64" t="e">
        <v>#N/A</v>
      </c>
      <c r="M723" s="121">
        <v>0</v>
      </c>
      <c r="N723" s="59" t="str">
        <v>;W</v>
      </c>
      <c r="O723" s="126" t="str">
        <v>ーき</v>
      </c>
      <c r="P723" s="126">
        <v>0</v>
      </c>
      <c r="Q723" s="127">
        <v>0</v>
      </c>
      <c r="R723" s="84">
        <v>2</v>
      </c>
      <c r="T723" s="100" t="e">
        <v>#N/A</v>
      </c>
      <c r="U723" s="121">
        <v>0</v>
      </c>
      <c r="V723" s="59" t="str">
        <v>;W</v>
      </c>
      <c r="W723" s="126" t="str">
        <v>ーき</v>
      </c>
      <c r="X723" s="126">
        <v>0</v>
      </c>
      <c r="Y723" s="127">
        <v>0</v>
      </c>
      <c r="Z723" s="90">
        <v>2</v>
      </c>
    </row>
    <row r="724" spans="1:26" x14ac:dyDescent="0.4">
      <c r="A724" s="52">
        <v>723</v>
      </c>
      <c r="B724" s="51">
        <f t="shared" si="68"/>
        <v>25</v>
      </c>
      <c r="C724" s="50">
        <f t="shared" si="69"/>
        <v>3</v>
      </c>
      <c r="D724" s="64" t="e">
        <f t="shared" si="70"/>
        <v>#N/A</v>
      </c>
      <c r="E724" s="121" cm="1">
        <f t="array" ref="E724">INDEX(InputArea,B724,C724)</f>
        <v>0</v>
      </c>
      <c r="F724" s="59" t="str">
        <f t="shared" si="71"/>
        <v>;E</v>
      </c>
      <c r="G724" s="59" t="str">
        <f t="shared" si="72"/>
        <v>ーて</v>
      </c>
      <c r="H724" s="134"/>
      <c r="I724" s="135"/>
      <c r="J724" s="84">
        <f t="shared" si="73"/>
        <v>2</v>
      </c>
      <c r="K724" s="83"/>
      <c r="L724" s="64" t="e">
        <v>#N/A</v>
      </c>
      <c r="M724" s="121">
        <v>0</v>
      </c>
      <c r="N724" s="59" t="str">
        <v>;E</v>
      </c>
      <c r="O724" s="126" t="str">
        <v>ーて</v>
      </c>
      <c r="P724" s="126">
        <v>0</v>
      </c>
      <c r="Q724" s="127">
        <v>0</v>
      </c>
      <c r="R724" s="84">
        <v>2</v>
      </c>
      <c r="T724" s="100" t="e">
        <v>#N/A</v>
      </c>
      <c r="U724" s="121">
        <v>0</v>
      </c>
      <c r="V724" s="59" t="str">
        <v>;E</v>
      </c>
      <c r="W724" s="126" t="str">
        <v>ーて</v>
      </c>
      <c r="X724" s="126">
        <v>0</v>
      </c>
      <c r="Y724" s="127">
        <v>0</v>
      </c>
      <c r="Z724" s="90">
        <v>2</v>
      </c>
    </row>
    <row r="725" spans="1:26" x14ac:dyDescent="0.4">
      <c r="A725" s="52">
        <v>724</v>
      </c>
      <c r="B725" s="51">
        <f t="shared" si="68"/>
        <v>25</v>
      </c>
      <c r="C725" s="50">
        <f t="shared" si="69"/>
        <v>4</v>
      </c>
      <c r="D725" s="64" t="e">
        <f t="shared" si="70"/>
        <v>#N/A</v>
      </c>
      <c r="E725" s="121" cm="1">
        <f t="array" ref="E725">INDEX(InputArea,B725,C725)</f>
        <v>0</v>
      </c>
      <c r="F725" s="59" t="str">
        <f t="shared" si="71"/>
        <v>;R</v>
      </c>
      <c r="G725" s="59" t="str">
        <f t="shared" si="72"/>
        <v>ーし</v>
      </c>
      <c r="H725" s="134"/>
      <c r="I725" s="135"/>
      <c r="J725" s="84">
        <f t="shared" si="73"/>
        <v>2</v>
      </c>
      <c r="K725" s="83"/>
      <c r="L725" s="64" t="e">
        <v>#N/A</v>
      </c>
      <c r="M725" s="121">
        <v>0</v>
      </c>
      <c r="N725" s="59" t="str">
        <v>;R</v>
      </c>
      <c r="O725" s="126" t="str">
        <v>ーし</v>
      </c>
      <c r="P725" s="126">
        <v>0</v>
      </c>
      <c r="Q725" s="127">
        <v>0</v>
      </c>
      <c r="R725" s="84">
        <v>2</v>
      </c>
      <c r="T725" s="100" t="e">
        <v>#N/A</v>
      </c>
      <c r="U725" s="121">
        <v>0</v>
      </c>
      <c r="V725" s="59" t="str">
        <v>;R</v>
      </c>
      <c r="W725" s="126" t="str">
        <v>ーし</v>
      </c>
      <c r="X725" s="126">
        <v>0</v>
      </c>
      <c r="Y725" s="127">
        <v>0</v>
      </c>
      <c r="Z725" s="90">
        <v>2</v>
      </c>
    </row>
    <row r="726" spans="1:26" x14ac:dyDescent="0.4">
      <c r="A726" s="52">
        <v>725</v>
      </c>
      <c r="B726" s="51">
        <f t="shared" si="68"/>
        <v>25</v>
      </c>
      <c r="C726" s="50">
        <f t="shared" si="69"/>
        <v>5</v>
      </c>
      <c r="D726" s="64" t="e">
        <f t="shared" si="70"/>
        <v>#N/A</v>
      </c>
      <c r="E726" s="121" cm="1">
        <f t="array" ref="E726">INDEX(InputArea,B726,C726)</f>
        <v>0</v>
      </c>
      <c r="F726" s="59" t="str">
        <f t="shared" si="71"/>
        <v>;T</v>
      </c>
      <c r="G726" s="59" t="str">
        <f t="shared" si="72"/>
        <v>ー←</v>
      </c>
      <c r="H726" s="134"/>
      <c r="I726" s="135"/>
      <c r="J726" s="84">
        <f t="shared" si="73"/>
        <v>2</v>
      </c>
      <c r="K726" s="83"/>
      <c r="L726" s="64" t="e">
        <v>#N/A</v>
      </c>
      <c r="M726" s="121">
        <v>0</v>
      </c>
      <c r="N726" s="59" t="str">
        <v>;T</v>
      </c>
      <c r="O726" s="126" t="str">
        <v>ー←</v>
      </c>
      <c r="P726" s="126">
        <v>0</v>
      </c>
      <c r="Q726" s="127">
        <v>0</v>
      </c>
      <c r="R726" s="84">
        <v>2</v>
      </c>
      <c r="T726" s="100" t="e">
        <v>#N/A</v>
      </c>
      <c r="U726" s="121">
        <v>0</v>
      </c>
      <c r="V726" s="59" t="str">
        <v>;T</v>
      </c>
      <c r="W726" s="126" t="str">
        <v>ー←</v>
      </c>
      <c r="X726" s="126">
        <v>0</v>
      </c>
      <c r="Y726" s="127">
        <v>0</v>
      </c>
      <c r="Z726" s="90">
        <v>2</v>
      </c>
    </row>
    <row r="727" spans="1:26" x14ac:dyDescent="0.4">
      <c r="A727" s="52">
        <v>726</v>
      </c>
      <c r="B727" s="51">
        <f t="shared" si="68"/>
        <v>25</v>
      </c>
      <c r="C727" s="50">
        <f t="shared" si="69"/>
        <v>6</v>
      </c>
      <c r="D727" s="64" t="e">
        <f t="shared" si="70"/>
        <v>#N/A</v>
      </c>
      <c r="E727" s="121" cm="1">
        <f t="array" ref="E727">INDEX(InputArea,B727,C727)</f>
        <v>0</v>
      </c>
      <c r="F727" s="59" t="str">
        <f t="shared" si="71"/>
        <v>;A</v>
      </c>
      <c r="G727" s="59" t="str">
        <f t="shared" si="72"/>
        <v>ーろ</v>
      </c>
      <c r="H727" s="134"/>
      <c r="I727" s="135"/>
      <c r="J727" s="84">
        <f t="shared" si="73"/>
        <v>2</v>
      </c>
      <c r="K727" s="83"/>
      <c r="L727" s="64" t="e">
        <v>#N/A</v>
      </c>
      <c r="M727" s="121">
        <v>0</v>
      </c>
      <c r="N727" s="59" t="str">
        <v>;A</v>
      </c>
      <c r="O727" s="126" t="str">
        <v>ーろ</v>
      </c>
      <c r="P727" s="126">
        <v>0</v>
      </c>
      <c r="Q727" s="127">
        <v>0</v>
      </c>
      <c r="R727" s="84">
        <v>2</v>
      </c>
      <c r="T727" s="100" t="e">
        <v>#N/A</v>
      </c>
      <c r="U727" s="121">
        <v>0</v>
      </c>
      <c r="V727" s="59" t="str">
        <v>;A</v>
      </c>
      <c r="W727" s="126" t="str">
        <v>ーろ</v>
      </c>
      <c r="X727" s="126">
        <v>0</v>
      </c>
      <c r="Y727" s="127">
        <v>0</v>
      </c>
      <c r="Z727" s="90">
        <v>2</v>
      </c>
    </row>
    <row r="728" spans="1:26" x14ac:dyDescent="0.4">
      <c r="A728" s="52">
        <v>727</v>
      </c>
      <c r="B728" s="51">
        <f t="shared" si="68"/>
        <v>25</v>
      </c>
      <c r="C728" s="50">
        <f t="shared" si="69"/>
        <v>7</v>
      </c>
      <c r="D728" s="64" t="e">
        <f t="shared" si="70"/>
        <v>#N/A</v>
      </c>
      <c r="E728" s="121" cm="1">
        <f t="array" ref="E728">INDEX(InputArea,B728,C728)</f>
        <v>0</v>
      </c>
      <c r="F728" s="59" t="str">
        <f t="shared" si="71"/>
        <v>;S</v>
      </c>
      <c r="G728" s="59" t="str">
        <f t="shared" si="72"/>
        <v>ーけ</v>
      </c>
      <c r="H728" s="134"/>
      <c r="I728" s="135"/>
      <c r="J728" s="84">
        <f t="shared" si="73"/>
        <v>2</v>
      </c>
      <c r="K728" s="83"/>
      <c r="L728" s="64" t="e">
        <v>#N/A</v>
      </c>
      <c r="M728" s="121">
        <v>0</v>
      </c>
      <c r="N728" s="59" t="str">
        <v>;S</v>
      </c>
      <c r="O728" s="126" t="str">
        <v>ーけ</v>
      </c>
      <c r="P728" s="126">
        <v>0</v>
      </c>
      <c r="Q728" s="127">
        <v>0</v>
      </c>
      <c r="R728" s="84">
        <v>2</v>
      </c>
      <c r="T728" s="100" t="e">
        <v>#N/A</v>
      </c>
      <c r="U728" s="121">
        <v>0</v>
      </c>
      <c r="V728" s="59" t="str">
        <v>;S</v>
      </c>
      <c r="W728" s="126" t="str">
        <v>ーけ</v>
      </c>
      <c r="X728" s="126">
        <v>0</v>
      </c>
      <c r="Y728" s="127">
        <v>0</v>
      </c>
      <c r="Z728" s="90">
        <v>2</v>
      </c>
    </row>
    <row r="729" spans="1:26" x14ac:dyDescent="0.4">
      <c r="A729" s="52">
        <v>728</v>
      </c>
      <c r="B729" s="51">
        <f t="shared" si="68"/>
        <v>25</v>
      </c>
      <c r="C729" s="50">
        <f t="shared" si="69"/>
        <v>8</v>
      </c>
      <c r="D729" s="64" t="e">
        <f t="shared" si="70"/>
        <v>#N/A</v>
      </c>
      <c r="E729" s="121" cm="1">
        <f t="array" ref="E729">INDEX(InputArea,B729,C729)</f>
        <v>0</v>
      </c>
      <c r="F729" s="59" t="str">
        <f t="shared" si="71"/>
        <v>;D</v>
      </c>
      <c r="G729" s="59" t="str">
        <f t="shared" si="72"/>
        <v>ーと</v>
      </c>
      <c r="H729" s="134"/>
      <c r="I729" s="135"/>
      <c r="J729" s="84">
        <f t="shared" si="73"/>
        <v>2</v>
      </c>
      <c r="K729" s="83"/>
      <c r="L729" s="64" t="e">
        <v>#N/A</v>
      </c>
      <c r="M729" s="121">
        <v>0</v>
      </c>
      <c r="N729" s="59" t="str">
        <v>;D</v>
      </c>
      <c r="O729" s="126" t="str">
        <v>ーと</v>
      </c>
      <c r="P729" s="126">
        <v>0</v>
      </c>
      <c r="Q729" s="127">
        <v>0</v>
      </c>
      <c r="R729" s="84">
        <v>2</v>
      </c>
      <c r="T729" s="100" t="e">
        <v>#N/A</v>
      </c>
      <c r="U729" s="121">
        <v>0</v>
      </c>
      <c r="V729" s="59" t="str">
        <v>;D</v>
      </c>
      <c r="W729" s="126" t="str">
        <v>ーと</v>
      </c>
      <c r="X729" s="126">
        <v>0</v>
      </c>
      <c r="Y729" s="127">
        <v>0</v>
      </c>
      <c r="Z729" s="90">
        <v>2</v>
      </c>
    </row>
    <row r="730" spans="1:26" x14ac:dyDescent="0.4">
      <c r="A730" s="52">
        <v>729</v>
      </c>
      <c r="B730" s="51">
        <f t="shared" si="68"/>
        <v>25</v>
      </c>
      <c r="C730" s="50">
        <f t="shared" si="69"/>
        <v>9</v>
      </c>
      <c r="D730" s="64" t="e">
        <f t="shared" si="70"/>
        <v>#N/A</v>
      </c>
      <c r="E730" s="121" cm="1">
        <f t="array" ref="E730">INDEX(InputArea,B730,C730)</f>
        <v>0</v>
      </c>
      <c r="F730" s="59" t="str">
        <f t="shared" si="71"/>
        <v>;F</v>
      </c>
      <c r="G730" s="59" t="str">
        <f t="shared" si="72"/>
        <v>ーか</v>
      </c>
      <c r="H730" s="137" t="s">
        <v>268</v>
      </c>
      <c r="I730" s="135"/>
      <c r="J730" s="84">
        <f t="shared" si="73"/>
        <v>2</v>
      </c>
      <c r="K730" s="83"/>
      <c r="L730" s="64" t="e">
        <v>#N/A</v>
      </c>
      <c r="M730" s="121">
        <v>0</v>
      </c>
      <c r="N730" s="59" t="str">
        <v>;F</v>
      </c>
      <c r="O730" s="126" t="str">
        <v>ーか</v>
      </c>
      <c r="P730" s="126" t="str">
        <v>づ</v>
      </c>
      <c r="Q730" s="127">
        <v>0</v>
      </c>
      <c r="R730" s="84">
        <v>2</v>
      </c>
      <c r="T730" s="100" t="e">
        <v>#N/A</v>
      </c>
      <c r="U730" s="121">
        <v>0</v>
      </c>
      <c r="V730" s="59" t="str">
        <v>;F</v>
      </c>
      <c r="W730" s="126" t="str">
        <v>ーか</v>
      </c>
      <c r="X730" s="126" t="str">
        <v>づ</v>
      </c>
      <c r="Y730" s="127">
        <v>0</v>
      </c>
      <c r="Z730" s="90">
        <v>2</v>
      </c>
    </row>
    <row r="731" spans="1:26" x14ac:dyDescent="0.4">
      <c r="A731" s="52">
        <v>730</v>
      </c>
      <c r="B731" s="51">
        <f t="shared" si="68"/>
        <v>25</v>
      </c>
      <c r="C731" s="50">
        <f t="shared" si="69"/>
        <v>10</v>
      </c>
      <c r="D731" s="64" t="e">
        <f t="shared" si="70"/>
        <v>#N/A</v>
      </c>
      <c r="E731" s="121" cm="1">
        <f t="array" ref="E731">INDEX(InputArea,B731,C731)</f>
        <v>0</v>
      </c>
      <c r="F731" s="59" t="str">
        <f t="shared" si="71"/>
        <v>;G</v>
      </c>
      <c r="G731" s="59" t="str">
        <f t="shared" si="72"/>
        <v>ーっ</v>
      </c>
      <c r="H731" s="134"/>
      <c r="I731" s="135"/>
      <c r="J731" s="84">
        <f t="shared" si="73"/>
        <v>2</v>
      </c>
      <c r="K731" s="83"/>
      <c r="L731" s="64" t="e">
        <v>#N/A</v>
      </c>
      <c r="M731" s="121">
        <v>0</v>
      </c>
      <c r="N731" s="59" t="str">
        <v>;G</v>
      </c>
      <c r="O731" s="126" t="str">
        <v>ーっ</v>
      </c>
      <c r="P731" s="126">
        <v>0</v>
      </c>
      <c r="Q731" s="127">
        <v>0</v>
      </c>
      <c r="R731" s="84">
        <v>2</v>
      </c>
      <c r="T731" s="100" t="e">
        <v>#N/A</v>
      </c>
      <c r="U731" s="121">
        <v>0</v>
      </c>
      <c r="V731" s="59" t="str">
        <v>;G</v>
      </c>
      <c r="W731" s="126" t="str">
        <v>ーっ</v>
      </c>
      <c r="X731" s="126">
        <v>0</v>
      </c>
      <c r="Y731" s="127">
        <v>0</v>
      </c>
      <c r="Z731" s="90">
        <v>2</v>
      </c>
    </row>
    <row r="732" spans="1:26" x14ac:dyDescent="0.4">
      <c r="A732" s="52">
        <v>731</v>
      </c>
      <c r="B732" s="51">
        <f t="shared" si="68"/>
        <v>25</v>
      </c>
      <c r="C732" s="50">
        <f t="shared" si="69"/>
        <v>11</v>
      </c>
      <c r="D732" s="64" t="e">
        <f t="shared" si="70"/>
        <v>#N/A</v>
      </c>
      <c r="E732" s="121" cm="1">
        <f t="array" ref="E732">INDEX(InputArea,B732,C732)</f>
        <v>0</v>
      </c>
      <c r="F732" s="59" t="str">
        <f t="shared" si="71"/>
        <v>;Z</v>
      </c>
      <c r="G732" s="59" t="str">
        <f t="shared" si="72"/>
        <v>ーほ</v>
      </c>
      <c r="H732" s="134"/>
      <c r="I732" s="135"/>
      <c r="J732" s="84">
        <f t="shared" si="73"/>
        <v>2</v>
      </c>
      <c r="K732" s="83"/>
      <c r="L732" s="64" t="e">
        <v>#N/A</v>
      </c>
      <c r="M732" s="121">
        <v>0</v>
      </c>
      <c r="N732" s="59" t="str">
        <v>;Z</v>
      </c>
      <c r="O732" s="126" t="str">
        <v>ーほ</v>
      </c>
      <c r="P732" s="126">
        <v>0</v>
      </c>
      <c r="Q732" s="127">
        <v>0</v>
      </c>
      <c r="R732" s="84">
        <v>2</v>
      </c>
      <c r="T732" s="100" t="e">
        <v>#N/A</v>
      </c>
      <c r="U732" s="121">
        <v>0</v>
      </c>
      <c r="V732" s="59" t="str">
        <v>;Z</v>
      </c>
      <c r="W732" s="126" t="str">
        <v>ーほ</v>
      </c>
      <c r="X732" s="126">
        <v>0</v>
      </c>
      <c r="Y732" s="127">
        <v>0</v>
      </c>
      <c r="Z732" s="90">
        <v>2</v>
      </c>
    </row>
    <row r="733" spans="1:26" x14ac:dyDescent="0.4">
      <c r="A733" s="52">
        <v>732</v>
      </c>
      <c r="B733" s="51">
        <f t="shared" si="68"/>
        <v>25</v>
      </c>
      <c r="C733" s="50">
        <f t="shared" si="69"/>
        <v>12</v>
      </c>
      <c r="D733" s="64" t="e">
        <f t="shared" si="70"/>
        <v>#N/A</v>
      </c>
      <c r="E733" s="121" cm="1">
        <f t="array" ref="E733">INDEX(InputArea,B733,C733)</f>
        <v>0</v>
      </c>
      <c r="F733" s="59" t="str">
        <f t="shared" si="71"/>
        <v>;X</v>
      </c>
      <c r="G733" s="59" t="str">
        <f t="shared" si="72"/>
        <v>ーひ</v>
      </c>
      <c r="H733" s="134"/>
      <c r="I733" s="135"/>
      <c r="J733" s="84">
        <f t="shared" si="73"/>
        <v>2</v>
      </c>
      <c r="K733" s="83"/>
      <c r="L733" s="64" t="e">
        <v>#N/A</v>
      </c>
      <c r="M733" s="121">
        <v>0</v>
      </c>
      <c r="N733" s="59" t="str">
        <v>;X</v>
      </c>
      <c r="O733" s="126" t="str">
        <v>ーひ</v>
      </c>
      <c r="P733" s="126">
        <v>0</v>
      </c>
      <c r="Q733" s="127">
        <v>0</v>
      </c>
      <c r="R733" s="84">
        <v>2</v>
      </c>
      <c r="T733" s="100" t="e">
        <v>#N/A</v>
      </c>
      <c r="U733" s="121">
        <v>0</v>
      </c>
      <c r="V733" s="59" t="str">
        <v>;X</v>
      </c>
      <c r="W733" s="126" t="str">
        <v>ーひ</v>
      </c>
      <c r="X733" s="126">
        <v>0</v>
      </c>
      <c r="Y733" s="127">
        <v>0</v>
      </c>
      <c r="Z733" s="90">
        <v>2</v>
      </c>
    </row>
    <row r="734" spans="1:26" x14ac:dyDescent="0.4">
      <c r="A734" s="52">
        <v>733</v>
      </c>
      <c r="B734" s="51">
        <f t="shared" si="68"/>
        <v>25</v>
      </c>
      <c r="C734" s="50">
        <f t="shared" si="69"/>
        <v>13</v>
      </c>
      <c r="D734" s="64" t="e">
        <f t="shared" si="70"/>
        <v>#N/A</v>
      </c>
      <c r="E734" s="121" cm="1">
        <f t="array" ref="E734">INDEX(InputArea,B734,C734)</f>
        <v>0</v>
      </c>
      <c r="F734" s="59" t="str">
        <f t="shared" si="71"/>
        <v>;C</v>
      </c>
      <c r="G734" s="59" t="str">
        <f t="shared" si="72"/>
        <v>ーは</v>
      </c>
      <c r="H734" s="134"/>
      <c r="I734" s="135"/>
      <c r="J734" s="84">
        <f t="shared" si="73"/>
        <v>2</v>
      </c>
      <c r="K734" s="83"/>
      <c r="L734" s="64" t="e">
        <v>#N/A</v>
      </c>
      <c r="M734" s="121">
        <v>0</v>
      </c>
      <c r="N734" s="59" t="str">
        <v>;C</v>
      </c>
      <c r="O734" s="126" t="str">
        <v>ーは</v>
      </c>
      <c r="P734" s="126">
        <v>0</v>
      </c>
      <c r="Q734" s="127">
        <v>0</v>
      </c>
      <c r="R734" s="84">
        <v>2</v>
      </c>
      <c r="T734" s="100" t="e">
        <v>#N/A</v>
      </c>
      <c r="U734" s="121">
        <v>0</v>
      </c>
      <c r="V734" s="59" t="str">
        <v>;C</v>
      </c>
      <c r="W734" s="126" t="str">
        <v>ーは</v>
      </c>
      <c r="X734" s="126">
        <v>0</v>
      </c>
      <c r="Y734" s="127">
        <v>0</v>
      </c>
      <c r="Z734" s="90">
        <v>2</v>
      </c>
    </row>
    <row r="735" spans="1:26" x14ac:dyDescent="0.4">
      <c r="A735" s="52">
        <v>734</v>
      </c>
      <c r="B735" s="51">
        <f t="shared" si="68"/>
        <v>25</v>
      </c>
      <c r="C735" s="50">
        <f t="shared" si="69"/>
        <v>14</v>
      </c>
      <c r="D735" s="64" t="e">
        <f t="shared" si="70"/>
        <v>#N/A</v>
      </c>
      <c r="E735" s="121" cm="1">
        <f t="array" ref="E735">INDEX(InputArea,B735,C735)</f>
        <v>0</v>
      </c>
      <c r="F735" s="59" t="str">
        <f t="shared" si="71"/>
        <v>;V</v>
      </c>
      <c r="G735" s="59" t="str">
        <f t="shared" si="72"/>
        <v>ーこ</v>
      </c>
      <c r="H735" s="134"/>
      <c r="I735" s="135"/>
      <c r="J735" s="84">
        <f t="shared" si="73"/>
        <v>2</v>
      </c>
      <c r="K735" s="83"/>
      <c r="L735" s="64" t="e">
        <v>#N/A</v>
      </c>
      <c r="M735" s="121">
        <v>0</v>
      </c>
      <c r="N735" s="59" t="str">
        <v>;V</v>
      </c>
      <c r="O735" s="126" t="str">
        <v>ーこ</v>
      </c>
      <c r="P735" s="126">
        <v>0</v>
      </c>
      <c r="Q735" s="127">
        <v>0</v>
      </c>
      <c r="R735" s="84">
        <v>2</v>
      </c>
      <c r="T735" s="100" t="e">
        <v>#N/A</v>
      </c>
      <c r="U735" s="121">
        <v>0</v>
      </c>
      <c r="V735" s="59" t="str">
        <v>;V</v>
      </c>
      <c r="W735" s="126" t="str">
        <v>ーこ</v>
      </c>
      <c r="X735" s="126">
        <v>0</v>
      </c>
      <c r="Y735" s="127">
        <v>0</v>
      </c>
      <c r="Z735" s="90">
        <v>2</v>
      </c>
    </row>
    <row r="736" spans="1:26" x14ac:dyDescent="0.4">
      <c r="A736" s="52">
        <v>735</v>
      </c>
      <c r="B736" s="51">
        <f t="shared" si="68"/>
        <v>25</v>
      </c>
      <c r="C736" s="50">
        <f t="shared" si="69"/>
        <v>15</v>
      </c>
      <c r="D736" s="64" t="e">
        <f t="shared" si="70"/>
        <v>#N/A</v>
      </c>
      <c r="E736" s="121" cm="1">
        <f t="array" ref="E736">INDEX(InputArea,B736,C736)</f>
        <v>0</v>
      </c>
      <c r="F736" s="59" t="str">
        <f t="shared" si="71"/>
        <v>;B</v>
      </c>
      <c r="G736" s="59" t="str">
        <f t="shared" si="72"/>
        <v>ーそ</v>
      </c>
      <c r="H736" s="134"/>
      <c r="I736" s="135"/>
      <c r="J736" s="84">
        <f t="shared" si="73"/>
        <v>2</v>
      </c>
      <c r="K736" s="83"/>
      <c r="L736" s="64" t="e">
        <v>#N/A</v>
      </c>
      <c r="M736" s="121">
        <v>0</v>
      </c>
      <c r="N736" s="59" t="str">
        <v>;B</v>
      </c>
      <c r="O736" s="126" t="str">
        <v>ーそ</v>
      </c>
      <c r="P736" s="126">
        <v>0</v>
      </c>
      <c r="Q736" s="127">
        <v>0</v>
      </c>
      <c r="R736" s="84">
        <v>2</v>
      </c>
      <c r="T736" s="100" t="e">
        <v>#N/A</v>
      </c>
      <c r="U736" s="121">
        <v>0</v>
      </c>
      <c r="V736" s="59" t="str">
        <v>;B</v>
      </c>
      <c r="W736" s="126" t="str">
        <v>ーそ</v>
      </c>
      <c r="X736" s="126">
        <v>0</v>
      </c>
      <c r="Y736" s="127">
        <v>0</v>
      </c>
      <c r="Z736" s="90">
        <v>2</v>
      </c>
    </row>
    <row r="737" spans="1:26" x14ac:dyDescent="0.4">
      <c r="A737" s="52">
        <v>736</v>
      </c>
      <c r="B737" s="51">
        <f t="shared" si="68"/>
        <v>25</v>
      </c>
      <c r="C737" s="50">
        <f t="shared" si="69"/>
        <v>16</v>
      </c>
      <c r="D737" s="64" t="e">
        <f t="shared" si="70"/>
        <v>#N/A</v>
      </c>
      <c r="E737" s="121" cm="1">
        <f t="array" ref="E737">INDEX(InputArea,B737,C737)</f>
        <v>0</v>
      </c>
      <c r="F737" s="59" t="str">
        <f t="shared" si="71"/>
        <v>;Y</v>
      </c>
      <c r="G737" s="59" t="str">
        <f t="shared" si="72"/>
        <v>ー→</v>
      </c>
      <c r="H737" s="134"/>
      <c r="I737" s="135"/>
      <c r="J737" s="84">
        <f t="shared" si="73"/>
        <v>3</v>
      </c>
      <c r="K737" s="83"/>
      <c r="L737" s="64" t="e">
        <v>#N/A</v>
      </c>
      <c r="M737" s="121">
        <v>0</v>
      </c>
      <c r="N737" s="59" t="str">
        <v>;Y</v>
      </c>
      <c r="O737" s="126" t="str">
        <v>ー→</v>
      </c>
      <c r="P737" s="126">
        <v>0</v>
      </c>
      <c r="Q737" s="127">
        <v>0</v>
      </c>
      <c r="R737" s="84">
        <v>3</v>
      </c>
      <c r="T737" s="100" t="e">
        <v>#N/A</v>
      </c>
      <c r="U737" s="121">
        <v>0</v>
      </c>
      <c r="V737" s="59" t="str">
        <v>;Y</v>
      </c>
      <c r="W737" s="126" t="str">
        <v>ー→</v>
      </c>
      <c r="X737" s="126">
        <v>0</v>
      </c>
      <c r="Y737" s="127">
        <v>0</v>
      </c>
      <c r="Z737" s="90">
        <v>3</v>
      </c>
    </row>
    <row r="738" spans="1:26" x14ac:dyDescent="0.4">
      <c r="A738" s="52">
        <v>737</v>
      </c>
      <c r="B738" s="51">
        <f t="shared" si="68"/>
        <v>25</v>
      </c>
      <c r="C738" s="50">
        <f t="shared" si="69"/>
        <v>17</v>
      </c>
      <c r="D738" s="64" t="e">
        <f t="shared" si="70"/>
        <v>#N/A</v>
      </c>
      <c r="E738" s="121" cm="1">
        <f t="array" ref="E738">INDEX(InputArea,B738,C738)</f>
        <v>0</v>
      </c>
      <c r="F738" s="59" t="str">
        <f t="shared" si="71"/>
        <v>;U</v>
      </c>
      <c r="G738" s="59" t="str">
        <f t="shared" si="72"/>
        <v>ーBS</v>
      </c>
      <c r="H738" s="134"/>
      <c r="I738" s="135"/>
      <c r="J738" s="84">
        <f t="shared" si="73"/>
        <v>3</v>
      </c>
      <c r="K738" s="83"/>
      <c r="L738" s="64" t="e">
        <v>#N/A</v>
      </c>
      <c r="M738" s="121">
        <v>0</v>
      </c>
      <c r="N738" s="59" t="str">
        <v>;U</v>
      </c>
      <c r="O738" s="126" t="str">
        <v>ーBS</v>
      </c>
      <c r="P738" s="126">
        <v>0</v>
      </c>
      <c r="Q738" s="127">
        <v>0</v>
      </c>
      <c r="R738" s="84">
        <v>3</v>
      </c>
      <c r="T738" s="100" t="e">
        <v>#N/A</v>
      </c>
      <c r="U738" s="121">
        <v>0</v>
      </c>
      <c r="V738" s="59" t="str">
        <v>;U</v>
      </c>
      <c r="W738" s="126" t="str">
        <v>ーBS</v>
      </c>
      <c r="X738" s="126">
        <v>0</v>
      </c>
      <c r="Y738" s="127">
        <v>0</v>
      </c>
      <c r="Z738" s="90">
        <v>3</v>
      </c>
    </row>
    <row r="739" spans="1:26" x14ac:dyDescent="0.4">
      <c r="A739" s="52">
        <v>738</v>
      </c>
      <c r="B739" s="51">
        <f t="shared" si="68"/>
        <v>25</v>
      </c>
      <c r="C739" s="50">
        <f t="shared" si="69"/>
        <v>18</v>
      </c>
      <c r="D739" s="64" t="e">
        <f t="shared" si="70"/>
        <v>#N/A</v>
      </c>
      <c r="E739" s="121" cm="1">
        <f t="array" ref="E739">INDEX(InputArea,B739,C739)</f>
        <v>0</v>
      </c>
      <c r="F739" s="59" t="str">
        <f t="shared" si="71"/>
        <v>;I</v>
      </c>
      <c r="G739" s="59" t="str">
        <f t="shared" si="72"/>
        <v>ーる</v>
      </c>
      <c r="H739" s="134"/>
      <c r="I739" s="135"/>
      <c r="J739" s="84">
        <f t="shared" si="73"/>
        <v>3</v>
      </c>
      <c r="K739" s="83"/>
      <c r="L739" s="64" t="e">
        <v>#N/A</v>
      </c>
      <c r="M739" s="121">
        <v>0</v>
      </c>
      <c r="N739" s="59" t="str">
        <v>;I</v>
      </c>
      <c r="O739" s="126" t="str">
        <v>ーる</v>
      </c>
      <c r="P739" s="126">
        <v>0</v>
      </c>
      <c r="Q739" s="127">
        <v>0</v>
      </c>
      <c r="R739" s="84">
        <v>3</v>
      </c>
      <c r="T739" s="100" t="e">
        <v>#N/A</v>
      </c>
      <c r="U739" s="121">
        <v>0</v>
      </c>
      <c r="V739" s="59" t="str">
        <v>;I</v>
      </c>
      <c r="W739" s="126" t="str">
        <v>ーる</v>
      </c>
      <c r="X739" s="126">
        <v>0</v>
      </c>
      <c r="Y739" s="127">
        <v>0</v>
      </c>
      <c r="Z739" s="90">
        <v>3</v>
      </c>
    </row>
    <row r="740" spans="1:26" x14ac:dyDescent="0.4">
      <c r="A740" s="52">
        <v>739</v>
      </c>
      <c r="B740" s="51">
        <f t="shared" si="68"/>
        <v>25</v>
      </c>
      <c r="C740" s="50">
        <f t="shared" si="69"/>
        <v>19</v>
      </c>
      <c r="D740" s="64" t="e">
        <f t="shared" si="70"/>
        <v>#N/A</v>
      </c>
      <c r="E740" s="121" cm="1">
        <f t="array" ref="E740">INDEX(InputArea,B740,C740)</f>
        <v>0</v>
      </c>
      <c r="F740" s="59" t="str">
        <f t="shared" si="71"/>
        <v>;O</v>
      </c>
      <c r="G740" s="59" t="str">
        <f t="shared" si="72"/>
        <v>ーす</v>
      </c>
      <c r="H740" s="134"/>
      <c r="I740" s="135"/>
      <c r="J740" s="84">
        <f t="shared" si="73"/>
        <v>3</v>
      </c>
      <c r="K740" s="83"/>
      <c r="L740" s="64" t="e">
        <v>#N/A</v>
      </c>
      <c r="M740" s="121">
        <v>0</v>
      </c>
      <c r="N740" s="59" t="str">
        <v>;O</v>
      </c>
      <c r="O740" s="126" t="str">
        <v>ーす</v>
      </c>
      <c r="P740" s="126">
        <v>0</v>
      </c>
      <c r="Q740" s="127">
        <v>0</v>
      </c>
      <c r="R740" s="84">
        <v>3</v>
      </c>
      <c r="T740" s="100" t="e">
        <v>#N/A</v>
      </c>
      <c r="U740" s="121">
        <v>0</v>
      </c>
      <c r="V740" s="59" t="str">
        <v>;O</v>
      </c>
      <c r="W740" s="126" t="str">
        <v>ーす</v>
      </c>
      <c r="X740" s="126">
        <v>0</v>
      </c>
      <c r="Y740" s="127">
        <v>0</v>
      </c>
      <c r="Z740" s="90">
        <v>3</v>
      </c>
    </row>
    <row r="741" spans="1:26" x14ac:dyDescent="0.4">
      <c r="A741" s="52">
        <v>740</v>
      </c>
      <c r="B741" s="51">
        <f t="shared" si="68"/>
        <v>25</v>
      </c>
      <c r="C741" s="50">
        <f t="shared" si="69"/>
        <v>20</v>
      </c>
      <c r="D741" s="64" t="e">
        <f t="shared" si="70"/>
        <v>#N/A</v>
      </c>
      <c r="E741" s="121" cm="1">
        <f t="array" ref="E741">INDEX(InputArea,B741,C741)</f>
        <v>0</v>
      </c>
      <c r="F741" s="59" t="str">
        <f t="shared" si="71"/>
        <v>;P</v>
      </c>
      <c r="G741" s="59" t="str">
        <f t="shared" si="72"/>
        <v>ーへ</v>
      </c>
      <c r="H741" s="134"/>
      <c r="I741" s="135"/>
      <c r="J741" s="84">
        <f t="shared" si="73"/>
        <v>3</v>
      </c>
      <c r="K741" s="83"/>
      <c r="L741" s="64" t="e">
        <v>#N/A</v>
      </c>
      <c r="M741" s="121">
        <v>0</v>
      </c>
      <c r="N741" s="59" t="str">
        <v>;P</v>
      </c>
      <c r="O741" s="126" t="str">
        <v>ーへ</v>
      </c>
      <c r="P741" s="126">
        <v>0</v>
      </c>
      <c r="Q741" s="127">
        <v>0</v>
      </c>
      <c r="R741" s="84">
        <v>3</v>
      </c>
      <c r="T741" s="100" t="e">
        <v>#N/A</v>
      </c>
      <c r="U741" s="121">
        <v>0</v>
      </c>
      <c r="V741" s="59" t="str">
        <v>;P</v>
      </c>
      <c r="W741" s="126" t="str">
        <v>ーへ</v>
      </c>
      <c r="X741" s="126">
        <v>0</v>
      </c>
      <c r="Y741" s="127">
        <v>0</v>
      </c>
      <c r="Z741" s="90">
        <v>3</v>
      </c>
    </row>
    <row r="742" spans="1:26" x14ac:dyDescent="0.4">
      <c r="A742" s="52">
        <v>741</v>
      </c>
      <c r="B742" s="51">
        <f t="shared" si="68"/>
        <v>25</v>
      </c>
      <c r="C742" s="50">
        <f t="shared" si="69"/>
        <v>21</v>
      </c>
      <c r="D742" s="64" t="e">
        <f t="shared" si="70"/>
        <v>#N/A</v>
      </c>
      <c r="E742" s="121" cm="1">
        <f t="array" ref="E742">INDEX(InputArea,B742,C742)</f>
        <v>0</v>
      </c>
      <c r="F742" s="59" t="str">
        <f t="shared" si="71"/>
        <v>;H</v>
      </c>
      <c r="G742" s="59" t="str">
        <f t="shared" si="72"/>
        <v>ーく</v>
      </c>
      <c r="H742" s="134"/>
      <c r="I742" s="135"/>
      <c r="J742" s="84">
        <f t="shared" si="73"/>
        <v>3</v>
      </c>
      <c r="K742" s="83"/>
      <c r="L742" s="64" t="e">
        <v>#N/A</v>
      </c>
      <c r="M742" s="121">
        <v>0</v>
      </c>
      <c r="N742" s="59" t="str">
        <v>;H</v>
      </c>
      <c r="O742" s="126" t="str">
        <v>ーく</v>
      </c>
      <c r="P742" s="126">
        <v>0</v>
      </c>
      <c r="Q742" s="127">
        <v>0</v>
      </c>
      <c r="R742" s="84">
        <v>3</v>
      </c>
      <c r="T742" s="100" t="e">
        <v>#N/A</v>
      </c>
      <c r="U742" s="121">
        <v>0</v>
      </c>
      <c r="V742" s="59" t="str">
        <v>;H</v>
      </c>
      <c r="W742" s="126" t="str">
        <v>ーく</v>
      </c>
      <c r="X742" s="126">
        <v>0</v>
      </c>
      <c r="Y742" s="127">
        <v>0</v>
      </c>
      <c r="Z742" s="90">
        <v>3</v>
      </c>
    </row>
    <row r="743" spans="1:26" x14ac:dyDescent="0.4">
      <c r="A743" s="52">
        <v>742</v>
      </c>
      <c r="B743" s="51">
        <f t="shared" si="68"/>
        <v>25</v>
      </c>
      <c r="C743" s="50">
        <f t="shared" si="69"/>
        <v>22</v>
      </c>
      <c r="D743" s="64" t="e">
        <f t="shared" si="70"/>
        <v>#N/A</v>
      </c>
      <c r="E743" s="121" cm="1">
        <f t="array" ref="E743">INDEX(InputArea,B743,C743)</f>
        <v>0</v>
      </c>
      <c r="F743" s="59" t="str">
        <f t="shared" si="71"/>
        <v>;J</v>
      </c>
      <c r="G743" s="59" t="str">
        <f t="shared" si="72"/>
        <v>ーあ</v>
      </c>
      <c r="H743" s="134"/>
      <c r="I743" s="135"/>
      <c r="J743" s="84">
        <f t="shared" si="73"/>
        <v>3</v>
      </c>
      <c r="K743" s="83"/>
      <c r="L743" s="64" t="e">
        <v>#N/A</v>
      </c>
      <c r="M743" s="121">
        <v>0</v>
      </c>
      <c r="N743" s="59" t="str">
        <v>;J</v>
      </c>
      <c r="O743" s="126" t="str">
        <v>ーあ</v>
      </c>
      <c r="P743" s="126">
        <v>0</v>
      </c>
      <c r="Q743" s="127">
        <v>0</v>
      </c>
      <c r="R743" s="84">
        <v>3</v>
      </c>
      <c r="T743" s="100" t="e">
        <v>#N/A</v>
      </c>
      <c r="U743" s="121">
        <v>0</v>
      </c>
      <c r="V743" s="59" t="str">
        <v>;J</v>
      </c>
      <c r="W743" s="126" t="str">
        <v>ーあ</v>
      </c>
      <c r="X743" s="126">
        <v>0</v>
      </c>
      <c r="Y743" s="127">
        <v>0</v>
      </c>
      <c r="Z743" s="90">
        <v>3</v>
      </c>
    </row>
    <row r="744" spans="1:26" x14ac:dyDescent="0.4">
      <c r="A744" s="52">
        <v>743</v>
      </c>
      <c r="B744" s="51">
        <f t="shared" si="68"/>
        <v>25</v>
      </c>
      <c r="C744" s="50">
        <f t="shared" si="69"/>
        <v>23</v>
      </c>
      <c r="D744" s="64" t="e">
        <f t="shared" si="70"/>
        <v>#N/A</v>
      </c>
      <c r="E744" s="121" cm="1">
        <f t="array" ref="E744">INDEX(InputArea,B744,C744)</f>
        <v>0</v>
      </c>
      <c r="F744" s="59" t="str">
        <f t="shared" si="71"/>
        <v>;K</v>
      </c>
      <c r="G744" s="59" t="str">
        <f t="shared" si="72"/>
        <v>ーい</v>
      </c>
      <c r="H744" s="134"/>
      <c r="I744" s="135"/>
      <c r="J744" s="84">
        <f t="shared" si="73"/>
        <v>3</v>
      </c>
      <c r="K744" s="83"/>
      <c r="L744" s="64" t="e">
        <v>#N/A</v>
      </c>
      <c r="M744" s="121">
        <v>0</v>
      </c>
      <c r="N744" s="59" t="str">
        <v>;K</v>
      </c>
      <c r="O744" s="126" t="str">
        <v>ーい</v>
      </c>
      <c r="P744" s="126">
        <v>0</v>
      </c>
      <c r="Q744" s="127">
        <v>0</v>
      </c>
      <c r="R744" s="84">
        <v>3</v>
      </c>
      <c r="T744" s="100" t="e">
        <v>#N/A</v>
      </c>
      <c r="U744" s="121">
        <v>0</v>
      </c>
      <c r="V744" s="59" t="str">
        <v>;K</v>
      </c>
      <c r="W744" s="126" t="str">
        <v>ーい</v>
      </c>
      <c r="X744" s="126">
        <v>0</v>
      </c>
      <c r="Y744" s="127">
        <v>0</v>
      </c>
      <c r="Z744" s="90">
        <v>3</v>
      </c>
    </row>
    <row r="745" spans="1:26" x14ac:dyDescent="0.4">
      <c r="A745" s="52">
        <v>744</v>
      </c>
      <c r="B745" s="51">
        <f t="shared" si="68"/>
        <v>25</v>
      </c>
      <c r="C745" s="50">
        <f t="shared" si="69"/>
        <v>24</v>
      </c>
      <c r="D745" s="64" t="e">
        <f t="shared" si="70"/>
        <v>#N/A</v>
      </c>
      <c r="E745" s="121" cm="1">
        <f t="array" ref="E745">INDEX(InputArea,B745,C745)</f>
        <v>0</v>
      </c>
      <c r="F745" s="59" t="str">
        <f t="shared" si="71"/>
        <v>;L</v>
      </c>
      <c r="G745" s="59" t="str">
        <f t="shared" si="72"/>
        <v>ーう</v>
      </c>
      <c r="H745" s="134"/>
      <c r="I745" s="135"/>
      <c r="J745" s="84">
        <f t="shared" si="73"/>
        <v>3</v>
      </c>
      <c r="K745" s="83"/>
      <c r="L745" s="64" t="e">
        <v>#N/A</v>
      </c>
      <c r="M745" s="121">
        <v>0</v>
      </c>
      <c r="N745" s="59" t="str">
        <v>;L</v>
      </c>
      <c r="O745" s="126" t="str">
        <v>ーう</v>
      </c>
      <c r="P745" s="126">
        <v>0</v>
      </c>
      <c r="Q745" s="127">
        <v>0</v>
      </c>
      <c r="R745" s="84">
        <v>3</v>
      </c>
      <c r="T745" s="100" t="e">
        <v>#N/A</v>
      </c>
      <c r="U745" s="121">
        <v>0</v>
      </c>
      <c r="V745" s="59" t="str">
        <v>;L</v>
      </c>
      <c r="W745" s="126" t="str">
        <v>ーう</v>
      </c>
      <c r="X745" s="126">
        <v>0</v>
      </c>
      <c r="Y745" s="127">
        <v>0</v>
      </c>
      <c r="Z745" s="90">
        <v>3</v>
      </c>
    </row>
    <row r="746" spans="1:26" x14ac:dyDescent="0.4">
      <c r="A746" s="52">
        <v>745</v>
      </c>
      <c r="B746" s="51">
        <f t="shared" si="68"/>
        <v>25</v>
      </c>
      <c r="C746" s="50">
        <f t="shared" si="69"/>
        <v>25</v>
      </c>
      <c r="D746" s="64" t="e">
        <f t="shared" si="70"/>
        <v>#N/A</v>
      </c>
      <c r="E746" s="121" cm="1">
        <f t="array" ref="E746">INDEX(InputArea,B746,C746)</f>
        <v>0</v>
      </c>
      <c r="F746" s="59" t="str">
        <f t="shared" si="71"/>
        <v>;;</v>
      </c>
      <c r="G746" s="59" t="str">
        <f t="shared" si="72"/>
        <v>ーー</v>
      </c>
      <c r="H746" s="134"/>
      <c r="I746" s="135"/>
      <c r="J746" s="84">
        <f t="shared" si="73"/>
        <v>3</v>
      </c>
      <c r="K746" s="83"/>
      <c r="L746" s="64" t="e">
        <v>#N/A</v>
      </c>
      <c r="M746" s="121">
        <v>0</v>
      </c>
      <c r="N746" s="59" t="str">
        <v>;;</v>
      </c>
      <c r="O746" s="126" t="str">
        <v>ーー</v>
      </c>
      <c r="P746" s="126">
        <v>0</v>
      </c>
      <c r="Q746" s="127">
        <v>0</v>
      </c>
      <c r="R746" s="84">
        <v>3</v>
      </c>
      <c r="T746" s="100" t="e">
        <v>#N/A</v>
      </c>
      <c r="U746" s="121">
        <v>0</v>
      </c>
      <c r="V746" s="59" t="str">
        <v>;;</v>
      </c>
      <c r="W746" s="126" t="str">
        <v>ーー</v>
      </c>
      <c r="X746" s="126">
        <v>0</v>
      </c>
      <c r="Y746" s="127">
        <v>0</v>
      </c>
      <c r="Z746" s="90">
        <v>3</v>
      </c>
    </row>
    <row r="747" spans="1:26" x14ac:dyDescent="0.4">
      <c r="A747" s="52">
        <v>746</v>
      </c>
      <c r="B747" s="51">
        <f t="shared" si="68"/>
        <v>25</v>
      </c>
      <c r="C747" s="50">
        <f t="shared" si="69"/>
        <v>26</v>
      </c>
      <c r="D747" s="64" t="e">
        <f t="shared" si="70"/>
        <v>#N/A</v>
      </c>
      <c r="E747" s="121" cm="1">
        <f t="array" ref="E747">INDEX(InputArea,B747,C747)</f>
        <v>0</v>
      </c>
      <c r="F747" s="59" t="str">
        <f t="shared" si="71"/>
        <v>;N</v>
      </c>
      <c r="G747" s="59" t="str">
        <f t="shared" si="72"/>
        <v>ーた</v>
      </c>
      <c r="H747" s="134"/>
      <c r="I747" s="135"/>
      <c r="J747" s="84">
        <f t="shared" si="73"/>
        <v>3</v>
      </c>
      <c r="K747" s="83"/>
      <c r="L747" s="64" t="e">
        <v>#N/A</v>
      </c>
      <c r="M747" s="121">
        <v>0</v>
      </c>
      <c r="N747" s="59" t="str">
        <v>;N</v>
      </c>
      <c r="O747" s="126" t="str">
        <v>ーた</v>
      </c>
      <c r="P747" s="126">
        <v>0</v>
      </c>
      <c r="Q747" s="127">
        <v>0</v>
      </c>
      <c r="R747" s="84">
        <v>3</v>
      </c>
      <c r="T747" s="100" t="e">
        <v>#N/A</v>
      </c>
      <c r="U747" s="121">
        <v>0</v>
      </c>
      <c r="V747" s="59" t="str">
        <v>;N</v>
      </c>
      <c r="W747" s="126" t="str">
        <v>ーた</v>
      </c>
      <c r="X747" s="126">
        <v>0</v>
      </c>
      <c r="Y747" s="127">
        <v>0</v>
      </c>
      <c r="Z747" s="90">
        <v>3</v>
      </c>
    </row>
    <row r="748" spans="1:26" x14ac:dyDescent="0.4">
      <c r="A748" s="52">
        <v>747</v>
      </c>
      <c r="B748" s="51">
        <f t="shared" si="68"/>
        <v>25</v>
      </c>
      <c r="C748" s="50">
        <f t="shared" si="69"/>
        <v>27</v>
      </c>
      <c r="D748" s="64" t="e">
        <f t="shared" si="70"/>
        <v>#N/A</v>
      </c>
      <c r="E748" s="121" cm="1">
        <f t="array" ref="E748">INDEX(InputArea,B748,C748)</f>
        <v>0</v>
      </c>
      <c r="F748" s="59" t="str">
        <f t="shared" si="71"/>
        <v>;M</v>
      </c>
      <c r="G748" s="59" t="str">
        <f t="shared" si="72"/>
        <v>ーな</v>
      </c>
      <c r="H748" s="134"/>
      <c r="I748" s="135"/>
      <c r="J748" s="84">
        <f t="shared" si="73"/>
        <v>3</v>
      </c>
      <c r="K748" s="83"/>
      <c r="L748" s="64" t="e">
        <v>#N/A</v>
      </c>
      <c r="M748" s="121">
        <v>0</v>
      </c>
      <c r="N748" s="59" t="str">
        <v>;M</v>
      </c>
      <c r="O748" s="126" t="str">
        <v>ーな</v>
      </c>
      <c r="P748" s="126">
        <v>0</v>
      </c>
      <c r="Q748" s="127">
        <v>0</v>
      </c>
      <c r="R748" s="84">
        <v>3</v>
      </c>
      <c r="T748" s="100" t="e">
        <v>#N/A</v>
      </c>
      <c r="U748" s="121">
        <v>0</v>
      </c>
      <c r="V748" s="59" t="str">
        <v>;M</v>
      </c>
      <c r="W748" s="126" t="str">
        <v>ーな</v>
      </c>
      <c r="X748" s="126">
        <v>0</v>
      </c>
      <c r="Y748" s="127">
        <v>0</v>
      </c>
      <c r="Z748" s="90">
        <v>3</v>
      </c>
    </row>
    <row r="749" spans="1:26" x14ac:dyDescent="0.4">
      <c r="A749" s="52">
        <v>748</v>
      </c>
      <c r="B749" s="51">
        <f t="shared" si="68"/>
        <v>25</v>
      </c>
      <c r="C749" s="50">
        <f t="shared" si="69"/>
        <v>28</v>
      </c>
      <c r="D749" s="64" t="e">
        <f t="shared" si="70"/>
        <v>#N/A</v>
      </c>
      <c r="E749" s="121" cm="1">
        <f t="array" ref="E749">INDEX(InputArea,B749,C749)</f>
        <v>0</v>
      </c>
      <c r="F749" s="59" t="str">
        <f t="shared" si="71"/>
        <v>;,</v>
      </c>
      <c r="G749" s="59" t="str">
        <f t="shared" si="72"/>
        <v>ーん</v>
      </c>
      <c r="H749" s="134"/>
      <c r="I749" s="135"/>
      <c r="J749" s="84">
        <f t="shared" si="73"/>
        <v>3</v>
      </c>
      <c r="K749" s="83"/>
      <c r="L749" s="64" t="e">
        <v>#N/A</v>
      </c>
      <c r="M749" s="121">
        <v>0</v>
      </c>
      <c r="N749" s="59" t="str">
        <v>;,</v>
      </c>
      <c r="O749" s="126" t="str">
        <v>ーん</v>
      </c>
      <c r="P749" s="126">
        <v>0</v>
      </c>
      <c r="Q749" s="127">
        <v>0</v>
      </c>
      <c r="R749" s="84">
        <v>3</v>
      </c>
      <c r="T749" s="100" t="e">
        <v>#N/A</v>
      </c>
      <c r="U749" s="121">
        <v>0</v>
      </c>
      <c r="V749" s="59" t="str">
        <v>;,</v>
      </c>
      <c r="W749" s="126" t="str">
        <v>ーん</v>
      </c>
      <c r="X749" s="126">
        <v>0</v>
      </c>
      <c r="Y749" s="127">
        <v>0</v>
      </c>
      <c r="Z749" s="90">
        <v>3</v>
      </c>
    </row>
    <row r="750" spans="1:26" x14ac:dyDescent="0.4">
      <c r="A750" s="52">
        <v>749</v>
      </c>
      <c r="B750" s="51">
        <f t="shared" si="68"/>
        <v>25</v>
      </c>
      <c r="C750" s="50">
        <f t="shared" si="69"/>
        <v>29</v>
      </c>
      <c r="D750" s="64" t="e">
        <f t="shared" si="70"/>
        <v>#N/A</v>
      </c>
      <c r="E750" s="121" cm="1">
        <f t="array" ref="E750">INDEX(InputArea,B750,C750)</f>
        <v>0</v>
      </c>
      <c r="F750" s="59" t="str">
        <f t="shared" si="71"/>
        <v>;.</v>
      </c>
      <c r="G750" s="59" t="str">
        <f t="shared" si="72"/>
        <v>ーら</v>
      </c>
      <c r="H750" s="134"/>
      <c r="I750" s="135"/>
      <c r="J750" s="84">
        <f t="shared" si="73"/>
        <v>3</v>
      </c>
      <c r="K750" s="83"/>
      <c r="L750" s="64" t="e">
        <v>#N/A</v>
      </c>
      <c r="M750" s="121">
        <v>0</v>
      </c>
      <c r="N750" s="59" t="str">
        <v>;.</v>
      </c>
      <c r="O750" s="126" t="str">
        <v>ーら</v>
      </c>
      <c r="P750" s="126">
        <v>0</v>
      </c>
      <c r="Q750" s="127">
        <v>0</v>
      </c>
      <c r="R750" s="84">
        <v>3</v>
      </c>
      <c r="T750" s="100" t="e">
        <v>#N/A</v>
      </c>
      <c r="U750" s="121">
        <v>0</v>
      </c>
      <c r="V750" s="59" t="str">
        <v>;.</v>
      </c>
      <c r="W750" s="126" t="str">
        <v>ーら</v>
      </c>
      <c r="X750" s="126">
        <v>0</v>
      </c>
      <c r="Y750" s="127">
        <v>0</v>
      </c>
      <c r="Z750" s="90">
        <v>3</v>
      </c>
    </row>
    <row r="751" spans="1:26" x14ac:dyDescent="0.4">
      <c r="A751" s="52">
        <v>750</v>
      </c>
      <c r="B751" s="51">
        <f t="shared" si="68"/>
        <v>25</v>
      </c>
      <c r="C751" s="50">
        <f t="shared" si="69"/>
        <v>30</v>
      </c>
      <c r="D751" s="64" t="e">
        <f t="shared" si="70"/>
        <v>#N/A</v>
      </c>
      <c r="E751" s="121" cm="1">
        <f t="array" ref="E751">INDEX(InputArea,B751,C751)</f>
        <v>0</v>
      </c>
      <c r="F751" s="59" t="str">
        <f t="shared" si="71"/>
        <v>;/</v>
      </c>
      <c r="G751" s="59" t="str">
        <f t="shared" si="72"/>
        <v>ーれ</v>
      </c>
      <c r="H751" s="134"/>
      <c r="I751" s="135"/>
      <c r="J751" s="84">
        <f t="shared" si="73"/>
        <v>3</v>
      </c>
      <c r="K751" s="83"/>
      <c r="L751" s="64" t="e">
        <v>#N/A</v>
      </c>
      <c r="M751" s="121">
        <v>0</v>
      </c>
      <c r="N751" s="59" t="str">
        <v>;/</v>
      </c>
      <c r="O751" s="126" t="str">
        <v>ーれ</v>
      </c>
      <c r="P751" s="126">
        <v>0</v>
      </c>
      <c r="Q751" s="127">
        <v>0</v>
      </c>
      <c r="R751" s="84">
        <v>3</v>
      </c>
      <c r="T751" s="100" t="e">
        <v>#N/A</v>
      </c>
      <c r="U751" s="121">
        <v>0</v>
      </c>
      <c r="V751" s="59" t="str">
        <v>;/</v>
      </c>
      <c r="W751" s="126" t="str">
        <v>ーれ</v>
      </c>
      <c r="X751" s="126">
        <v>0</v>
      </c>
      <c r="Y751" s="127">
        <v>0</v>
      </c>
      <c r="Z751" s="90">
        <v>3</v>
      </c>
    </row>
    <row r="752" spans="1:26" x14ac:dyDescent="0.4">
      <c r="A752" s="52">
        <v>751</v>
      </c>
      <c r="B752" s="51">
        <f t="shared" si="68"/>
        <v>26</v>
      </c>
      <c r="C752" s="50">
        <f t="shared" si="69"/>
        <v>1</v>
      </c>
      <c r="D752" s="64" t="e">
        <f t="shared" si="70"/>
        <v>#N/A</v>
      </c>
      <c r="E752" s="121" cm="1">
        <f t="array" ref="E752">INDEX(InputArea,B752,C752)</f>
        <v>0</v>
      </c>
      <c r="F752" s="59" t="str">
        <f t="shared" si="71"/>
        <v>NQ</v>
      </c>
      <c r="G752" s="59" t="str">
        <f t="shared" si="72"/>
        <v>たヴ</v>
      </c>
      <c r="H752" s="137" t="s">
        <v>243</v>
      </c>
      <c r="I752" s="136" t="s">
        <v>529</v>
      </c>
      <c r="J752" s="84">
        <f t="shared" si="73"/>
        <v>2</v>
      </c>
      <c r="K752" s="83"/>
      <c r="L752" s="64" t="e">
        <v>#N/A</v>
      </c>
      <c r="M752" s="121">
        <v>0</v>
      </c>
      <c r="N752" s="59" t="str">
        <v>NQ</v>
      </c>
      <c r="O752" s="126" t="str">
        <v>たヴ</v>
      </c>
      <c r="P752" s="126" t="str">
        <v>ぉ</v>
      </c>
      <c r="Q752" s="127" t="str">
        <v>んｑ</v>
      </c>
      <c r="R752" s="84">
        <v>2</v>
      </c>
      <c r="T752" s="100" t="e">
        <v>#N/A</v>
      </c>
      <c r="U752" s="121">
        <v>0</v>
      </c>
      <c r="V752" s="59" t="str">
        <v>NQ</v>
      </c>
      <c r="W752" s="126" t="str">
        <v>たヴ</v>
      </c>
      <c r="X752" s="126" t="str">
        <v>ぉ</v>
      </c>
      <c r="Y752" s="127" t="str">
        <v>んｑ</v>
      </c>
      <c r="Z752" s="90">
        <v>2</v>
      </c>
    </row>
    <row r="753" spans="1:26" x14ac:dyDescent="0.4">
      <c r="A753" s="52">
        <v>752</v>
      </c>
      <c r="B753" s="51">
        <f t="shared" si="68"/>
        <v>26</v>
      </c>
      <c r="C753" s="50">
        <f t="shared" si="69"/>
        <v>2</v>
      </c>
      <c r="D753" s="64" t="e">
        <f t="shared" si="70"/>
        <v>#N/A</v>
      </c>
      <c r="E753" s="121" cm="1">
        <f t="array" ref="E753">INDEX(InputArea,B753,C753)</f>
        <v>0</v>
      </c>
      <c r="F753" s="59" t="str">
        <f t="shared" si="71"/>
        <v>NW</v>
      </c>
      <c r="G753" s="59" t="str">
        <f t="shared" si="72"/>
        <v>たき</v>
      </c>
      <c r="H753" s="134"/>
      <c r="I753" s="136" t="s">
        <v>530</v>
      </c>
      <c r="J753" s="84">
        <f t="shared" si="73"/>
        <v>2</v>
      </c>
      <c r="K753" s="83"/>
      <c r="L753" s="64" t="e">
        <v>#N/A</v>
      </c>
      <c r="M753" s="121">
        <v>0</v>
      </c>
      <c r="N753" s="59" t="str">
        <v>NW</v>
      </c>
      <c r="O753" s="126" t="str">
        <v>たき</v>
      </c>
      <c r="P753" s="126">
        <v>0</v>
      </c>
      <c r="Q753" s="127" t="str">
        <v>んｗ</v>
      </c>
      <c r="R753" s="84">
        <v>2</v>
      </c>
      <c r="T753" s="100" t="e">
        <v>#N/A</v>
      </c>
      <c r="U753" s="121">
        <v>0</v>
      </c>
      <c r="V753" s="59" t="str">
        <v>NW</v>
      </c>
      <c r="W753" s="126" t="str">
        <v>たき</v>
      </c>
      <c r="X753" s="126">
        <v>0</v>
      </c>
      <c r="Y753" s="127" t="str">
        <v>んｗ</v>
      </c>
      <c r="Z753" s="90">
        <v>2</v>
      </c>
    </row>
    <row r="754" spans="1:26" x14ac:dyDescent="0.4">
      <c r="A754" s="52">
        <v>753</v>
      </c>
      <c r="B754" s="51">
        <f t="shared" si="68"/>
        <v>26</v>
      </c>
      <c r="C754" s="50">
        <f t="shared" si="69"/>
        <v>3</v>
      </c>
      <c r="D754" s="64" t="e">
        <f t="shared" si="70"/>
        <v>#N/A</v>
      </c>
      <c r="E754" s="121" cm="1">
        <f t="array" ref="E754">INDEX(InputArea,B754,C754)</f>
        <v>0</v>
      </c>
      <c r="F754" s="59" t="str">
        <f t="shared" si="71"/>
        <v>NE</v>
      </c>
      <c r="G754" s="59" t="str">
        <f t="shared" si="72"/>
        <v>たて</v>
      </c>
      <c r="H754" s="134"/>
      <c r="I754" s="136" t="s">
        <v>531</v>
      </c>
      <c r="J754" s="84">
        <f t="shared" si="73"/>
        <v>2</v>
      </c>
      <c r="K754" s="83"/>
      <c r="L754" s="64" t="e">
        <v>#N/A</v>
      </c>
      <c r="M754" s="121">
        <v>0</v>
      </c>
      <c r="N754" s="59" t="str">
        <v>NE</v>
      </c>
      <c r="O754" s="126" t="str">
        <v>たて</v>
      </c>
      <c r="P754" s="126">
        <v>0</v>
      </c>
      <c r="Q754" s="127" t="str">
        <v>ね</v>
      </c>
      <c r="R754" s="84">
        <v>2</v>
      </c>
      <c r="T754" s="100" t="e">
        <v>#N/A</v>
      </c>
      <c r="U754" s="121">
        <v>0</v>
      </c>
      <c r="V754" s="59" t="str">
        <v>NE</v>
      </c>
      <c r="W754" s="126" t="str">
        <v>たて</v>
      </c>
      <c r="X754" s="126">
        <v>0</v>
      </c>
      <c r="Y754" s="127" t="str">
        <v>ね</v>
      </c>
      <c r="Z754" s="90">
        <v>2</v>
      </c>
    </row>
    <row r="755" spans="1:26" x14ac:dyDescent="0.4">
      <c r="A755" s="52">
        <v>754</v>
      </c>
      <c r="B755" s="51">
        <f t="shared" si="68"/>
        <v>26</v>
      </c>
      <c r="C755" s="50">
        <f t="shared" si="69"/>
        <v>4</v>
      </c>
      <c r="D755" s="64" t="e">
        <f t="shared" si="70"/>
        <v>#N/A</v>
      </c>
      <c r="E755" s="121" cm="1">
        <f t="array" ref="E755">INDEX(InputArea,B755,C755)</f>
        <v>0</v>
      </c>
      <c r="F755" s="59" t="str">
        <f t="shared" si="71"/>
        <v>NR</v>
      </c>
      <c r="G755" s="59" t="str">
        <f t="shared" si="72"/>
        <v>たし</v>
      </c>
      <c r="H755" s="134"/>
      <c r="I755" s="136" t="s">
        <v>532</v>
      </c>
      <c r="J755" s="84">
        <f t="shared" si="73"/>
        <v>2</v>
      </c>
      <c r="K755" s="83"/>
      <c r="L755" s="64" t="e">
        <v>#N/A</v>
      </c>
      <c r="M755" s="121">
        <v>0</v>
      </c>
      <c r="N755" s="59" t="str">
        <v>NR</v>
      </c>
      <c r="O755" s="126" t="str">
        <v>たし</v>
      </c>
      <c r="P755" s="126">
        <v>0</v>
      </c>
      <c r="Q755" s="127" t="str">
        <v>んｒ</v>
      </c>
      <c r="R755" s="84">
        <v>2</v>
      </c>
      <c r="T755" s="100" t="e">
        <v>#N/A</v>
      </c>
      <c r="U755" s="121">
        <v>0</v>
      </c>
      <c r="V755" s="59" t="str">
        <v>NR</v>
      </c>
      <c r="W755" s="126" t="str">
        <v>たし</v>
      </c>
      <c r="X755" s="126">
        <v>0</v>
      </c>
      <c r="Y755" s="127" t="str">
        <v>んｒ</v>
      </c>
      <c r="Z755" s="90">
        <v>2</v>
      </c>
    </row>
    <row r="756" spans="1:26" x14ac:dyDescent="0.4">
      <c r="A756" s="52">
        <v>755</v>
      </c>
      <c r="B756" s="51">
        <f t="shared" si="68"/>
        <v>26</v>
      </c>
      <c r="C756" s="50">
        <f t="shared" si="69"/>
        <v>5</v>
      </c>
      <c r="D756" s="64" t="e">
        <f t="shared" si="70"/>
        <v>#N/A</v>
      </c>
      <c r="E756" s="121" cm="1">
        <f t="array" ref="E756">INDEX(InputArea,B756,C756)</f>
        <v>0</v>
      </c>
      <c r="F756" s="59" t="str">
        <f t="shared" si="71"/>
        <v>NT</v>
      </c>
      <c r="G756" s="59" t="str">
        <f t="shared" si="72"/>
        <v>た←</v>
      </c>
      <c r="H756" s="134"/>
      <c r="I756" s="136" t="s">
        <v>533</v>
      </c>
      <c r="J756" s="84">
        <f t="shared" si="73"/>
        <v>2</v>
      </c>
      <c r="K756" s="83"/>
      <c r="L756" s="64" t="e">
        <v>#N/A</v>
      </c>
      <c r="M756" s="121">
        <v>0</v>
      </c>
      <c r="N756" s="59" t="str">
        <v>NT</v>
      </c>
      <c r="O756" s="126" t="str">
        <v>た←</v>
      </c>
      <c r="P756" s="126">
        <v>0</v>
      </c>
      <c r="Q756" s="127" t="str">
        <v>んｔ</v>
      </c>
      <c r="R756" s="84">
        <v>2</v>
      </c>
      <c r="T756" s="100" t="e">
        <v>#N/A</v>
      </c>
      <c r="U756" s="121">
        <v>0</v>
      </c>
      <c r="V756" s="59" t="str">
        <v>NT</v>
      </c>
      <c r="W756" s="126" t="str">
        <v>た←</v>
      </c>
      <c r="X756" s="126">
        <v>0</v>
      </c>
      <c r="Y756" s="127" t="str">
        <v>んｔ</v>
      </c>
      <c r="Z756" s="90">
        <v>2</v>
      </c>
    </row>
    <row r="757" spans="1:26" x14ac:dyDescent="0.4">
      <c r="A757" s="52">
        <v>756</v>
      </c>
      <c r="B757" s="51">
        <f t="shared" si="68"/>
        <v>26</v>
      </c>
      <c r="C757" s="50">
        <f t="shared" si="69"/>
        <v>6</v>
      </c>
      <c r="D757" s="64" t="e">
        <f t="shared" si="70"/>
        <v>#N/A</v>
      </c>
      <c r="E757" s="121" cm="1">
        <f t="array" ref="E757">INDEX(InputArea,B757,C757)</f>
        <v>0</v>
      </c>
      <c r="F757" s="59" t="str">
        <f t="shared" si="71"/>
        <v>NA</v>
      </c>
      <c r="G757" s="59" t="str">
        <f t="shared" si="72"/>
        <v>たろ</v>
      </c>
      <c r="H757" s="134"/>
      <c r="I757" s="136" t="s">
        <v>534</v>
      </c>
      <c r="J757" s="84">
        <f t="shared" si="73"/>
        <v>2</v>
      </c>
      <c r="K757" s="83"/>
      <c r="L757" s="64" t="e">
        <v>#N/A</v>
      </c>
      <c r="M757" s="121">
        <v>0</v>
      </c>
      <c r="N757" s="59" t="str">
        <v>NA</v>
      </c>
      <c r="O757" s="126" t="str">
        <v>たろ</v>
      </c>
      <c r="P757" s="126">
        <v>0</v>
      </c>
      <c r="Q757" s="127" t="str">
        <v>な</v>
      </c>
      <c r="R757" s="84">
        <v>2</v>
      </c>
      <c r="T757" s="100" t="e">
        <v>#N/A</v>
      </c>
      <c r="U757" s="121">
        <v>0</v>
      </c>
      <c r="V757" s="59" t="str">
        <v>NA</v>
      </c>
      <c r="W757" s="126" t="str">
        <v>たろ</v>
      </c>
      <c r="X757" s="126">
        <v>0</v>
      </c>
      <c r="Y757" s="127" t="str">
        <v>な</v>
      </c>
      <c r="Z757" s="90">
        <v>2</v>
      </c>
    </row>
    <row r="758" spans="1:26" x14ac:dyDescent="0.4">
      <c r="A758" s="52">
        <v>757</v>
      </c>
      <c r="B758" s="51">
        <f t="shared" si="68"/>
        <v>26</v>
      </c>
      <c r="C758" s="50">
        <f t="shared" si="69"/>
        <v>7</v>
      </c>
      <c r="D758" s="64" t="e">
        <f t="shared" si="70"/>
        <v>#N/A</v>
      </c>
      <c r="E758" s="121" cm="1">
        <f t="array" ref="E758">INDEX(InputArea,B758,C758)</f>
        <v>0</v>
      </c>
      <c r="F758" s="59" t="str">
        <f t="shared" si="71"/>
        <v>NS</v>
      </c>
      <c r="G758" s="59" t="str">
        <f t="shared" si="72"/>
        <v>たけ</v>
      </c>
      <c r="H758" s="134"/>
      <c r="I758" s="136" t="s">
        <v>535</v>
      </c>
      <c r="J758" s="84">
        <f t="shared" si="73"/>
        <v>2</v>
      </c>
      <c r="K758" s="83"/>
      <c r="L758" s="64" t="e">
        <v>#N/A</v>
      </c>
      <c r="M758" s="121">
        <v>0</v>
      </c>
      <c r="N758" s="59" t="str">
        <v>NS</v>
      </c>
      <c r="O758" s="126" t="str">
        <v>たけ</v>
      </c>
      <c r="P758" s="126">
        <v>0</v>
      </c>
      <c r="Q758" s="127" t="str">
        <v>んｓ</v>
      </c>
      <c r="R758" s="84">
        <v>2</v>
      </c>
      <c r="T758" s="100" t="e">
        <v>#N/A</v>
      </c>
      <c r="U758" s="121">
        <v>0</v>
      </c>
      <c r="V758" s="59" t="str">
        <v>NS</v>
      </c>
      <c r="W758" s="126" t="str">
        <v>たけ</v>
      </c>
      <c r="X758" s="126">
        <v>0</v>
      </c>
      <c r="Y758" s="127" t="str">
        <v>んｓ</v>
      </c>
      <c r="Z758" s="90">
        <v>2</v>
      </c>
    </row>
    <row r="759" spans="1:26" x14ac:dyDescent="0.4">
      <c r="A759" s="52">
        <v>758</v>
      </c>
      <c r="B759" s="51">
        <f t="shared" si="68"/>
        <v>26</v>
      </c>
      <c r="C759" s="50">
        <f t="shared" si="69"/>
        <v>8</v>
      </c>
      <c r="D759" s="64" t="e">
        <f t="shared" si="70"/>
        <v>#N/A</v>
      </c>
      <c r="E759" s="121" cm="1">
        <f t="array" ref="E759">INDEX(InputArea,B759,C759)</f>
        <v>0</v>
      </c>
      <c r="F759" s="59" t="str">
        <f t="shared" si="71"/>
        <v>ND</v>
      </c>
      <c r="G759" s="59" t="str">
        <f t="shared" si="72"/>
        <v>たと</v>
      </c>
      <c r="H759" s="134"/>
      <c r="I759" s="136" t="s">
        <v>536</v>
      </c>
      <c r="J759" s="84">
        <f t="shared" si="73"/>
        <v>2</v>
      </c>
      <c r="K759" s="83"/>
      <c r="L759" s="64" t="e">
        <v>#N/A</v>
      </c>
      <c r="M759" s="121">
        <v>0</v>
      </c>
      <c r="N759" s="59" t="str">
        <v>ND</v>
      </c>
      <c r="O759" s="126" t="str">
        <v>たと</v>
      </c>
      <c r="P759" s="126">
        <v>0</v>
      </c>
      <c r="Q759" s="127" t="str">
        <v>んｄ</v>
      </c>
      <c r="R759" s="84">
        <v>2</v>
      </c>
      <c r="T759" s="100" t="e">
        <v>#N/A</v>
      </c>
      <c r="U759" s="121">
        <v>0</v>
      </c>
      <c r="V759" s="59" t="str">
        <v>ND</v>
      </c>
      <c r="W759" s="126" t="str">
        <v>たと</v>
      </c>
      <c r="X759" s="126">
        <v>0</v>
      </c>
      <c r="Y759" s="127" t="str">
        <v>んｄ</v>
      </c>
      <c r="Z759" s="90">
        <v>2</v>
      </c>
    </row>
    <row r="760" spans="1:26" x14ac:dyDescent="0.4">
      <c r="A760" s="52">
        <v>759</v>
      </c>
      <c r="B760" s="51">
        <f t="shared" si="68"/>
        <v>26</v>
      </c>
      <c r="C760" s="50">
        <f t="shared" si="69"/>
        <v>9</v>
      </c>
      <c r="D760" s="64" t="e">
        <f t="shared" si="70"/>
        <v>#N/A</v>
      </c>
      <c r="E760" s="121" cm="1">
        <f t="array" ref="E760">INDEX(InputArea,B760,C760)</f>
        <v>0</v>
      </c>
      <c r="F760" s="59" t="str">
        <f t="shared" si="71"/>
        <v>NF</v>
      </c>
      <c r="G760" s="59" t="str">
        <f t="shared" si="72"/>
        <v>たか</v>
      </c>
      <c r="H760" s="137" t="s">
        <v>269</v>
      </c>
      <c r="I760" s="136" t="s">
        <v>537</v>
      </c>
      <c r="J760" s="84">
        <f t="shared" si="73"/>
        <v>2</v>
      </c>
      <c r="K760" s="83"/>
      <c r="L760" s="64" t="e">
        <v>#N/A</v>
      </c>
      <c r="M760" s="121">
        <v>0</v>
      </c>
      <c r="N760" s="59" t="str">
        <v>NF</v>
      </c>
      <c r="O760" s="126" t="str">
        <v>たか</v>
      </c>
      <c r="P760" s="126" t="str">
        <v>だ</v>
      </c>
      <c r="Q760" s="127" t="str">
        <v>んｆ</v>
      </c>
      <c r="R760" s="84">
        <v>2</v>
      </c>
      <c r="T760" s="100" t="e">
        <v>#N/A</v>
      </c>
      <c r="U760" s="121">
        <v>0</v>
      </c>
      <c r="V760" s="59" t="str">
        <v>NF</v>
      </c>
      <c r="W760" s="126" t="str">
        <v>たか</v>
      </c>
      <c r="X760" s="126" t="str">
        <v>だ</v>
      </c>
      <c r="Y760" s="127" t="str">
        <v>んｆ</v>
      </c>
      <c r="Z760" s="90">
        <v>2</v>
      </c>
    </row>
    <row r="761" spans="1:26" x14ac:dyDescent="0.4">
      <c r="A761" s="52">
        <v>760</v>
      </c>
      <c r="B761" s="51">
        <f t="shared" si="68"/>
        <v>26</v>
      </c>
      <c r="C761" s="50">
        <f t="shared" si="69"/>
        <v>10</v>
      </c>
      <c r="D761" s="64" t="e">
        <f t="shared" si="70"/>
        <v>#N/A</v>
      </c>
      <c r="E761" s="121" cm="1">
        <f t="array" ref="E761">INDEX(InputArea,B761,C761)</f>
        <v>0</v>
      </c>
      <c r="F761" s="59" t="str">
        <f t="shared" si="71"/>
        <v>NG</v>
      </c>
      <c r="G761" s="59" t="str">
        <f t="shared" si="72"/>
        <v>たっ</v>
      </c>
      <c r="H761" s="134"/>
      <c r="I761" s="136" t="s">
        <v>538</v>
      </c>
      <c r="J761" s="84">
        <f t="shared" si="73"/>
        <v>2</v>
      </c>
      <c r="K761" s="83"/>
      <c r="L761" s="64" t="e">
        <v>#N/A</v>
      </c>
      <c r="M761" s="121">
        <v>0</v>
      </c>
      <c r="N761" s="59" t="str">
        <v>NG</v>
      </c>
      <c r="O761" s="126" t="str">
        <v>たっ</v>
      </c>
      <c r="P761" s="126">
        <v>0</v>
      </c>
      <c r="Q761" s="127" t="str">
        <v>んｇ</v>
      </c>
      <c r="R761" s="84">
        <v>2</v>
      </c>
      <c r="T761" s="100" t="e">
        <v>#N/A</v>
      </c>
      <c r="U761" s="121">
        <v>0</v>
      </c>
      <c r="V761" s="59" t="str">
        <v>NG</v>
      </c>
      <c r="W761" s="126" t="str">
        <v>たっ</v>
      </c>
      <c r="X761" s="126">
        <v>0</v>
      </c>
      <c r="Y761" s="127" t="str">
        <v>んｇ</v>
      </c>
      <c r="Z761" s="90">
        <v>2</v>
      </c>
    </row>
    <row r="762" spans="1:26" x14ac:dyDescent="0.4">
      <c r="A762" s="52">
        <v>761</v>
      </c>
      <c r="B762" s="51">
        <f t="shared" si="68"/>
        <v>26</v>
      </c>
      <c r="C762" s="50">
        <f t="shared" si="69"/>
        <v>11</v>
      </c>
      <c r="D762" s="64" t="e">
        <f t="shared" si="70"/>
        <v>#N/A</v>
      </c>
      <c r="E762" s="121" cm="1">
        <f t="array" ref="E762">INDEX(InputArea,B762,C762)</f>
        <v>0</v>
      </c>
      <c r="F762" s="59" t="str">
        <f t="shared" si="71"/>
        <v>NZ</v>
      </c>
      <c r="G762" s="59" t="str">
        <f t="shared" si="72"/>
        <v>たほ</v>
      </c>
      <c r="H762" s="134"/>
      <c r="I762" s="136" t="s">
        <v>539</v>
      </c>
      <c r="J762" s="84">
        <f t="shared" si="73"/>
        <v>2</v>
      </c>
      <c r="K762" s="83"/>
      <c r="L762" s="64" t="e">
        <v>#N/A</v>
      </c>
      <c r="M762" s="121">
        <v>0</v>
      </c>
      <c r="N762" s="59" t="str">
        <v>NZ</v>
      </c>
      <c r="O762" s="126" t="str">
        <v>たほ</v>
      </c>
      <c r="P762" s="126">
        <v>0</v>
      </c>
      <c r="Q762" s="127" t="str">
        <v>んｚ</v>
      </c>
      <c r="R762" s="84">
        <v>2</v>
      </c>
      <c r="T762" s="100" t="e">
        <v>#N/A</v>
      </c>
      <c r="U762" s="121">
        <v>0</v>
      </c>
      <c r="V762" s="59" t="str">
        <v>NZ</v>
      </c>
      <c r="W762" s="126" t="str">
        <v>たほ</v>
      </c>
      <c r="X762" s="126">
        <v>0</v>
      </c>
      <c r="Y762" s="127" t="str">
        <v>んｚ</v>
      </c>
      <c r="Z762" s="90">
        <v>2</v>
      </c>
    </row>
    <row r="763" spans="1:26" x14ac:dyDescent="0.4">
      <c r="A763" s="52">
        <v>762</v>
      </c>
      <c r="B763" s="51">
        <f t="shared" si="68"/>
        <v>26</v>
      </c>
      <c r="C763" s="50">
        <f t="shared" si="69"/>
        <v>12</v>
      </c>
      <c r="D763" s="64" t="e">
        <f t="shared" si="70"/>
        <v>#N/A</v>
      </c>
      <c r="E763" s="121" cm="1">
        <f t="array" ref="E763">INDEX(InputArea,B763,C763)</f>
        <v>0</v>
      </c>
      <c r="F763" s="59" t="str">
        <f t="shared" si="71"/>
        <v>NX</v>
      </c>
      <c r="G763" s="59" t="str">
        <f t="shared" si="72"/>
        <v>たひ</v>
      </c>
      <c r="H763" s="134"/>
      <c r="I763" s="136" t="s">
        <v>540</v>
      </c>
      <c r="J763" s="84">
        <f t="shared" si="73"/>
        <v>2</v>
      </c>
      <c r="K763" s="83"/>
      <c r="L763" s="64" t="e">
        <v>#N/A</v>
      </c>
      <c r="M763" s="121">
        <v>0</v>
      </c>
      <c r="N763" s="59" t="str">
        <v>NX</v>
      </c>
      <c r="O763" s="126" t="str">
        <v>たひ</v>
      </c>
      <c r="P763" s="126">
        <v>0</v>
      </c>
      <c r="Q763" s="127" t="str">
        <v>んｘ</v>
      </c>
      <c r="R763" s="84">
        <v>2</v>
      </c>
      <c r="T763" s="100" t="e">
        <v>#N/A</v>
      </c>
      <c r="U763" s="121">
        <v>0</v>
      </c>
      <c r="V763" s="59" t="str">
        <v>NX</v>
      </c>
      <c r="W763" s="126" t="str">
        <v>たひ</v>
      </c>
      <c r="X763" s="126">
        <v>0</v>
      </c>
      <c r="Y763" s="127" t="str">
        <v>んｘ</v>
      </c>
      <c r="Z763" s="90">
        <v>2</v>
      </c>
    </row>
    <row r="764" spans="1:26" x14ac:dyDescent="0.4">
      <c r="A764" s="52">
        <v>763</v>
      </c>
      <c r="B764" s="51">
        <f t="shared" si="68"/>
        <v>26</v>
      </c>
      <c r="C764" s="50">
        <f t="shared" si="69"/>
        <v>13</v>
      </c>
      <c r="D764" s="64" t="e">
        <f t="shared" si="70"/>
        <v>#N/A</v>
      </c>
      <c r="E764" s="121" cm="1">
        <f t="array" ref="E764">INDEX(InputArea,B764,C764)</f>
        <v>0</v>
      </c>
      <c r="F764" s="59" t="str">
        <f t="shared" si="71"/>
        <v>NC</v>
      </c>
      <c r="G764" s="59" t="str">
        <f t="shared" si="72"/>
        <v>たは</v>
      </c>
      <c r="H764" s="134"/>
      <c r="I764" s="136" t="s">
        <v>541</v>
      </c>
      <c r="J764" s="84">
        <f t="shared" si="73"/>
        <v>2</v>
      </c>
      <c r="K764" s="83"/>
      <c r="L764" s="64" t="e">
        <v>#N/A</v>
      </c>
      <c r="M764" s="121">
        <v>0</v>
      </c>
      <c r="N764" s="59" t="str">
        <v>NC</v>
      </c>
      <c r="O764" s="126" t="str">
        <v>たは</v>
      </c>
      <c r="P764" s="126">
        <v>0</v>
      </c>
      <c r="Q764" s="127" t="str">
        <v>んｃ</v>
      </c>
      <c r="R764" s="84">
        <v>2</v>
      </c>
      <c r="T764" s="100" t="e">
        <v>#N/A</v>
      </c>
      <c r="U764" s="121">
        <v>0</v>
      </c>
      <c r="V764" s="59" t="str">
        <v>NC</v>
      </c>
      <c r="W764" s="126" t="str">
        <v>たは</v>
      </c>
      <c r="X764" s="126">
        <v>0</v>
      </c>
      <c r="Y764" s="127" t="str">
        <v>んｃ</v>
      </c>
      <c r="Z764" s="90">
        <v>2</v>
      </c>
    </row>
    <row r="765" spans="1:26" x14ac:dyDescent="0.4">
      <c r="A765" s="52">
        <v>764</v>
      </c>
      <c r="B765" s="51">
        <f t="shared" si="68"/>
        <v>26</v>
      </c>
      <c r="C765" s="50">
        <f t="shared" si="69"/>
        <v>14</v>
      </c>
      <c r="D765" s="64" t="e">
        <f t="shared" si="70"/>
        <v>#N/A</v>
      </c>
      <c r="E765" s="121" cm="1">
        <f t="array" ref="E765">INDEX(InputArea,B765,C765)</f>
        <v>0</v>
      </c>
      <c r="F765" s="59" t="str">
        <f t="shared" si="71"/>
        <v>NV</v>
      </c>
      <c r="G765" s="59" t="str">
        <f t="shared" si="72"/>
        <v>たこ</v>
      </c>
      <c r="H765" s="134"/>
      <c r="I765" s="136" t="s">
        <v>542</v>
      </c>
      <c r="J765" s="84">
        <f t="shared" si="73"/>
        <v>2</v>
      </c>
      <c r="K765" s="83"/>
      <c r="L765" s="64" t="e">
        <v>#N/A</v>
      </c>
      <c r="M765" s="121">
        <v>0</v>
      </c>
      <c r="N765" s="59" t="str">
        <v>NV</v>
      </c>
      <c r="O765" s="126" t="str">
        <v>たこ</v>
      </c>
      <c r="P765" s="126">
        <v>0</v>
      </c>
      <c r="Q765" s="127" t="str">
        <v>んｖ</v>
      </c>
      <c r="R765" s="84">
        <v>2</v>
      </c>
      <c r="T765" s="100" t="e">
        <v>#N/A</v>
      </c>
      <c r="U765" s="121">
        <v>0</v>
      </c>
      <c r="V765" s="59" t="str">
        <v>NV</v>
      </c>
      <c r="W765" s="126" t="str">
        <v>たこ</v>
      </c>
      <c r="X765" s="126">
        <v>0</v>
      </c>
      <c r="Y765" s="127" t="str">
        <v>んｖ</v>
      </c>
      <c r="Z765" s="90">
        <v>2</v>
      </c>
    </row>
    <row r="766" spans="1:26" x14ac:dyDescent="0.4">
      <c r="A766" s="52">
        <v>765</v>
      </c>
      <c r="B766" s="51">
        <f t="shared" si="68"/>
        <v>26</v>
      </c>
      <c r="C766" s="50">
        <f t="shared" si="69"/>
        <v>15</v>
      </c>
      <c r="D766" s="64" t="e">
        <f t="shared" si="70"/>
        <v>#N/A</v>
      </c>
      <c r="E766" s="121" cm="1">
        <f t="array" ref="E766">INDEX(InputArea,B766,C766)</f>
        <v>0</v>
      </c>
      <c r="F766" s="59" t="str">
        <f t="shared" si="71"/>
        <v>NB</v>
      </c>
      <c r="G766" s="59" t="str">
        <f t="shared" si="72"/>
        <v>たそ</v>
      </c>
      <c r="H766" s="134"/>
      <c r="I766" s="136" t="s">
        <v>543</v>
      </c>
      <c r="J766" s="84">
        <f t="shared" si="73"/>
        <v>2</v>
      </c>
      <c r="K766" s="83"/>
      <c r="L766" s="64" t="e">
        <v>#N/A</v>
      </c>
      <c r="M766" s="121">
        <v>0</v>
      </c>
      <c r="N766" s="59" t="str">
        <v>NB</v>
      </c>
      <c r="O766" s="126" t="str">
        <v>たそ</v>
      </c>
      <c r="P766" s="126">
        <v>0</v>
      </c>
      <c r="Q766" s="127" t="str">
        <v>んｂ</v>
      </c>
      <c r="R766" s="84">
        <v>2</v>
      </c>
      <c r="T766" s="100" t="e">
        <v>#N/A</v>
      </c>
      <c r="U766" s="121">
        <v>0</v>
      </c>
      <c r="V766" s="59" t="str">
        <v>NB</v>
      </c>
      <c r="W766" s="126" t="str">
        <v>たそ</v>
      </c>
      <c r="X766" s="126">
        <v>0</v>
      </c>
      <c r="Y766" s="127" t="str">
        <v>んｂ</v>
      </c>
      <c r="Z766" s="90">
        <v>2</v>
      </c>
    </row>
    <row r="767" spans="1:26" x14ac:dyDescent="0.4">
      <c r="A767" s="52">
        <v>766</v>
      </c>
      <c r="B767" s="51">
        <f t="shared" si="68"/>
        <v>26</v>
      </c>
      <c r="C767" s="50">
        <f t="shared" si="69"/>
        <v>16</v>
      </c>
      <c r="D767" s="64" t="e">
        <f t="shared" si="70"/>
        <v>#N/A</v>
      </c>
      <c r="E767" s="121" cm="1">
        <f t="array" ref="E767">INDEX(InputArea,B767,C767)</f>
        <v>0</v>
      </c>
      <c r="F767" s="59" t="str">
        <f t="shared" si="71"/>
        <v>NY</v>
      </c>
      <c r="G767" s="59" t="str">
        <f t="shared" si="72"/>
        <v>た→</v>
      </c>
      <c r="H767" s="134"/>
      <c r="I767" s="136" t="s">
        <v>544</v>
      </c>
      <c r="J767" s="84">
        <f t="shared" si="73"/>
        <v>3</v>
      </c>
      <c r="K767" s="83"/>
      <c r="L767" s="64" t="e">
        <v>#N/A</v>
      </c>
      <c r="M767" s="121">
        <v>0</v>
      </c>
      <c r="N767" s="59" t="str">
        <v>NY</v>
      </c>
      <c r="O767" s="126" t="str">
        <v>た→</v>
      </c>
      <c r="P767" s="126">
        <v>0</v>
      </c>
      <c r="Q767" s="127" t="str">
        <v>ｎｙ</v>
      </c>
      <c r="R767" s="84">
        <v>3</v>
      </c>
      <c r="T767" s="100" t="e">
        <v>#N/A</v>
      </c>
      <c r="U767" s="121">
        <v>0</v>
      </c>
      <c r="V767" s="59" t="str">
        <v>NY</v>
      </c>
      <c r="W767" s="126" t="str">
        <v>た→</v>
      </c>
      <c r="X767" s="126">
        <v>0</v>
      </c>
      <c r="Y767" s="127" t="str">
        <v>ｎｙ</v>
      </c>
      <c r="Z767" s="90">
        <v>3</v>
      </c>
    </row>
    <row r="768" spans="1:26" x14ac:dyDescent="0.4">
      <c r="A768" s="52">
        <v>767</v>
      </c>
      <c r="B768" s="51">
        <f t="shared" si="68"/>
        <v>26</v>
      </c>
      <c r="C768" s="50">
        <f t="shared" si="69"/>
        <v>17</v>
      </c>
      <c r="D768" s="64" t="e">
        <f t="shared" si="70"/>
        <v>#N/A</v>
      </c>
      <c r="E768" s="121" cm="1">
        <f t="array" ref="E768">INDEX(InputArea,B768,C768)</f>
        <v>0</v>
      </c>
      <c r="F768" s="59" t="str">
        <f t="shared" si="71"/>
        <v>NU</v>
      </c>
      <c r="G768" s="59" t="str">
        <f t="shared" si="72"/>
        <v>たBS</v>
      </c>
      <c r="H768" s="134"/>
      <c r="I768" s="136" t="s">
        <v>545</v>
      </c>
      <c r="J768" s="84">
        <f t="shared" si="73"/>
        <v>3</v>
      </c>
      <c r="K768" s="83"/>
      <c r="L768" s="64" t="e">
        <v>#N/A</v>
      </c>
      <c r="M768" s="121">
        <v>0</v>
      </c>
      <c r="N768" s="59" t="str">
        <v>NU</v>
      </c>
      <c r="O768" s="126" t="str">
        <v>たBS</v>
      </c>
      <c r="P768" s="126">
        <v>0</v>
      </c>
      <c r="Q768" s="127" t="str">
        <v>ぬ</v>
      </c>
      <c r="R768" s="84">
        <v>3</v>
      </c>
      <c r="T768" s="100" t="e">
        <v>#N/A</v>
      </c>
      <c r="U768" s="121">
        <v>0</v>
      </c>
      <c r="V768" s="59" t="str">
        <v>NU</v>
      </c>
      <c r="W768" s="126" t="str">
        <v>たBS</v>
      </c>
      <c r="X768" s="126">
        <v>0</v>
      </c>
      <c r="Y768" s="127" t="str">
        <v>ぬ</v>
      </c>
      <c r="Z768" s="90">
        <v>3</v>
      </c>
    </row>
    <row r="769" spans="1:26" x14ac:dyDescent="0.4">
      <c r="A769" s="52">
        <v>768</v>
      </c>
      <c r="B769" s="51">
        <f t="shared" si="68"/>
        <v>26</v>
      </c>
      <c r="C769" s="50">
        <f t="shared" si="69"/>
        <v>18</v>
      </c>
      <c r="D769" s="64" t="e">
        <f t="shared" si="70"/>
        <v>#N/A</v>
      </c>
      <c r="E769" s="121" cm="1">
        <f t="array" ref="E769">INDEX(InputArea,B769,C769)</f>
        <v>0</v>
      </c>
      <c r="F769" s="59" t="str">
        <f t="shared" si="71"/>
        <v>NI</v>
      </c>
      <c r="G769" s="59" t="str">
        <f t="shared" si="72"/>
        <v>たる</v>
      </c>
      <c r="H769" s="134"/>
      <c r="I769" s="136" t="s">
        <v>546</v>
      </c>
      <c r="J769" s="84">
        <f t="shared" si="73"/>
        <v>3</v>
      </c>
      <c r="K769" s="83"/>
      <c r="L769" s="64" t="e">
        <v>#N/A</v>
      </c>
      <c r="M769" s="121">
        <v>0</v>
      </c>
      <c r="N769" s="59" t="str">
        <v>NI</v>
      </c>
      <c r="O769" s="126" t="str">
        <v>たる</v>
      </c>
      <c r="P769" s="126">
        <v>0</v>
      </c>
      <c r="Q769" s="127" t="str">
        <v>に</v>
      </c>
      <c r="R769" s="84">
        <v>3</v>
      </c>
      <c r="T769" s="100" t="e">
        <v>#N/A</v>
      </c>
      <c r="U769" s="121">
        <v>0</v>
      </c>
      <c r="V769" s="59" t="str">
        <v>NI</v>
      </c>
      <c r="W769" s="126" t="str">
        <v>たる</v>
      </c>
      <c r="X769" s="126">
        <v>0</v>
      </c>
      <c r="Y769" s="127" t="str">
        <v>に</v>
      </c>
      <c r="Z769" s="90">
        <v>3</v>
      </c>
    </row>
    <row r="770" spans="1:26" x14ac:dyDescent="0.4">
      <c r="A770" s="52">
        <v>769</v>
      </c>
      <c r="B770" s="51">
        <f t="shared" ref="B770:B833" si="74">_xlfn.CEILING.MATH(A770/COLUMNS(InputArea))</f>
        <v>26</v>
      </c>
      <c r="C770" s="50">
        <f t="shared" ref="C770:C833" si="75">MOD(A770-1,COLUMNS(InputArea))+1</f>
        <v>19</v>
      </c>
      <c r="D770" s="64" t="e">
        <f t="shared" ref="D770:D833" si="76">_xlfn.RANK.EQ(E770,InputArea,1)</f>
        <v>#N/A</v>
      </c>
      <c r="E770" s="121" cm="1">
        <f t="array" ref="E770">INDEX(InputArea,B770,C770)</f>
        <v>0</v>
      </c>
      <c r="F770" s="59" t="str">
        <f t="shared" ref="F770:F833" si="77">_xlfn.CONCAT(INDEX(RowName,B770),INDEX(ColName,,C770))</f>
        <v>NO</v>
      </c>
      <c r="G770" s="59" t="str">
        <f t="shared" ref="G770:G833" si="78">_xlfn.CONCAT(INDEX(RowKana,B770),INDEX(ColKana,,C770))</f>
        <v>たす</v>
      </c>
      <c r="H770" s="134"/>
      <c r="I770" s="136" t="s">
        <v>547</v>
      </c>
      <c r="J770" s="84">
        <f t="shared" si="73"/>
        <v>3</v>
      </c>
      <c r="K770" s="83"/>
      <c r="L770" s="64" t="e">
        <v>#N/A</v>
      </c>
      <c r="M770" s="121">
        <v>0</v>
      </c>
      <c r="N770" s="59" t="str">
        <v>NO</v>
      </c>
      <c r="O770" s="126" t="str">
        <v>たす</v>
      </c>
      <c r="P770" s="126">
        <v>0</v>
      </c>
      <c r="Q770" s="127" t="str">
        <v>の</v>
      </c>
      <c r="R770" s="84">
        <v>3</v>
      </c>
      <c r="T770" s="100" t="e">
        <v>#N/A</v>
      </c>
      <c r="U770" s="121">
        <v>0</v>
      </c>
      <c r="V770" s="59" t="str">
        <v>NO</v>
      </c>
      <c r="W770" s="126" t="str">
        <v>たす</v>
      </c>
      <c r="X770" s="126">
        <v>0</v>
      </c>
      <c r="Y770" s="127" t="str">
        <v>の</v>
      </c>
      <c r="Z770" s="90">
        <v>3</v>
      </c>
    </row>
    <row r="771" spans="1:26" x14ac:dyDescent="0.4">
      <c r="A771" s="52">
        <v>770</v>
      </c>
      <c r="B771" s="51">
        <f t="shared" si="74"/>
        <v>26</v>
      </c>
      <c r="C771" s="50">
        <f t="shared" si="75"/>
        <v>20</v>
      </c>
      <c r="D771" s="64" t="e">
        <f t="shared" si="76"/>
        <v>#N/A</v>
      </c>
      <c r="E771" s="121" cm="1">
        <f t="array" ref="E771">INDEX(InputArea,B771,C771)</f>
        <v>0</v>
      </c>
      <c r="F771" s="59" t="str">
        <f t="shared" si="77"/>
        <v>NP</v>
      </c>
      <c r="G771" s="59" t="str">
        <f t="shared" si="78"/>
        <v>たへ</v>
      </c>
      <c r="H771" s="134"/>
      <c r="I771" s="136" t="s">
        <v>548</v>
      </c>
      <c r="J771" s="84">
        <f t="shared" ref="J771:J834" si="79">(_xlfn.CEILING.MATH(B771/15)-1)*2+_xlfn.CEILING.MATH(C771/15)-1</f>
        <v>3</v>
      </c>
      <c r="K771" s="83"/>
      <c r="L771" s="64" t="e">
        <v>#N/A</v>
      </c>
      <c r="M771" s="121">
        <v>0</v>
      </c>
      <c r="N771" s="59" t="str">
        <v>NP</v>
      </c>
      <c r="O771" s="126" t="str">
        <v>たへ</v>
      </c>
      <c r="P771" s="126">
        <v>0</v>
      </c>
      <c r="Q771" s="127" t="str">
        <v>んｐ</v>
      </c>
      <c r="R771" s="84">
        <v>3</v>
      </c>
      <c r="T771" s="100" t="e">
        <v>#N/A</v>
      </c>
      <c r="U771" s="121">
        <v>0</v>
      </c>
      <c r="V771" s="59" t="str">
        <v>NP</v>
      </c>
      <c r="W771" s="126" t="str">
        <v>たへ</v>
      </c>
      <c r="X771" s="126">
        <v>0</v>
      </c>
      <c r="Y771" s="127" t="str">
        <v>んｐ</v>
      </c>
      <c r="Z771" s="90">
        <v>3</v>
      </c>
    </row>
    <row r="772" spans="1:26" x14ac:dyDescent="0.4">
      <c r="A772" s="52">
        <v>771</v>
      </c>
      <c r="B772" s="51">
        <f t="shared" si="74"/>
        <v>26</v>
      </c>
      <c r="C772" s="50">
        <f t="shared" si="75"/>
        <v>21</v>
      </c>
      <c r="D772" s="64" t="e">
        <f t="shared" si="76"/>
        <v>#N/A</v>
      </c>
      <c r="E772" s="121" cm="1">
        <f t="array" ref="E772">INDEX(InputArea,B772,C772)</f>
        <v>0</v>
      </c>
      <c r="F772" s="59" t="str">
        <f t="shared" si="77"/>
        <v>NH</v>
      </c>
      <c r="G772" s="59" t="str">
        <f t="shared" si="78"/>
        <v>たく</v>
      </c>
      <c r="H772" s="134"/>
      <c r="I772" s="136" t="s">
        <v>549</v>
      </c>
      <c r="J772" s="84">
        <f t="shared" si="79"/>
        <v>3</v>
      </c>
      <c r="K772" s="83"/>
      <c r="L772" s="64" t="e">
        <v>#N/A</v>
      </c>
      <c r="M772" s="121">
        <v>0</v>
      </c>
      <c r="N772" s="59" t="str">
        <v>NH</v>
      </c>
      <c r="O772" s="126" t="str">
        <v>たく</v>
      </c>
      <c r="P772" s="126">
        <v>0</v>
      </c>
      <c r="Q772" s="127" t="str">
        <v>んｈ</v>
      </c>
      <c r="R772" s="84">
        <v>3</v>
      </c>
      <c r="T772" s="100" t="e">
        <v>#N/A</v>
      </c>
      <c r="U772" s="121">
        <v>0</v>
      </c>
      <c r="V772" s="59" t="str">
        <v>NH</v>
      </c>
      <c r="W772" s="126" t="str">
        <v>たく</v>
      </c>
      <c r="X772" s="126">
        <v>0</v>
      </c>
      <c r="Y772" s="127" t="str">
        <v>んｈ</v>
      </c>
      <c r="Z772" s="90">
        <v>3</v>
      </c>
    </row>
    <row r="773" spans="1:26" x14ac:dyDescent="0.4">
      <c r="A773" s="52">
        <v>772</v>
      </c>
      <c r="B773" s="51">
        <f t="shared" si="74"/>
        <v>26</v>
      </c>
      <c r="C773" s="50">
        <f t="shared" si="75"/>
        <v>22</v>
      </c>
      <c r="D773" s="64" t="e">
        <f t="shared" si="76"/>
        <v>#N/A</v>
      </c>
      <c r="E773" s="121" cm="1">
        <f t="array" ref="E773">INDEX(InputArea,B773,C773)</f>
        <v>0</v>
      </c>
      <c r="F773" s="59" t="str">
        <f t="shared" si="77"/>
        <v>NJ</v>
      </c>
      <c r="G773" s="59" t="str">
        <f t="shared" si="78"/>
        <v>たあ</v>
      </c>
      <c r="H773" s="134"/>
      <c r="I773" s="136" t="s">
        <v>550</v>
      </c>
      <c r="J773" s="84">
        <f t="shared" si="79"/>
        <v>3</v>
      </c>
      <c r="K773" s="83"/>
      <c r="L773" s="64" t="e">
        <v>#N/A</v>
      </c>
      <c r="M773" s="121">
        <v>0</v>
      </c>
      <c r="N773" s="59" t="str">
        <v>NJ</v>
      </c>
      <c r="O773" s="126" t="str">
        <v>たあ</v>
      </c>
      <c r="P773" s="126">
        <v>0</v>
      </c>
      <c r="Q773" s="127" t="str">
        <v>んｊ</v>
      </c>
      <c r="R773" s="84">
        <v>3</v>
      </c>
      <c r="T773" s="100" t="e">
        <v>#N/A</v>
      </c>
      <c r="U773" s="121">
        <v>0</v>
      </c>
      <c r="V773" s="59" t="str">
        <v>NJ</v>
      </c>
      <c r="W773" s="126" t="str">
        <v>たあ</v>
      </c>
      <c r="X773" s="126">
        <v>0</v>
      </c>
      <c r="Y773" s="127" t="str">
        <v>んｊ</v>
      </c>
      <c r="Z773" s="90">
        <v>3</v>
      </c>
    </row>
    <row r="774" spans="1:26" x14ac:dyDescent="0.4">
      <c r="A774" s="52">
        <v>773</v>
      </c>
      <c r="B774" s="51">
        <f t="shared" si="74"/>
        <v>26</v>
      </c>
      <c r="C774" s="50">
        <f t="shared" si="75"/>
        <v>23</v>
      </c>
      <c r="D774" s="64" t="e">
        <f t="shared" si="76"/>
        <v>#N/A</v>
      </c>
      <c r="E774" s="121" cm="1">
        <f t="array" ref="E774">INDEX(InputArea,B774,C774)</f>
        <v>0</v>
      </c>
      <c r="F774" s="59" t="str">
        <f t="shared" si="77"/>
        <v>NK</v>
      </c>
      <c r="G774" s="59" t="str">
        <f t="shared" si="78"/>
        <v>たい</v>
      </c>
      <c r="H774" s="134"/>
      <c r="I774" s="136" t="s">
        <v>551</v>
      </c>
      <c r="J774" s="84">
        <f t="shared" si="79"/>
        <v>3</v>
      </c>
      <c r="K774" s="83"/>
      <c r="L774" s="64" t="e">
        <v>#N/A</v>
      </c>
      <c r="M774" s="121">
        <v>0</v>
      </c>
      <c r="N774" s="59" t="str">
        <v>NK</v>
      </c>
      <c r="O774" s="126" t="str">
        <v>たい</v>
      </c>
      <c r="P774" s="126">
        <v>0</v>
      </c>
      <c r="Q774" s="127" t="str">
        <v>んｋ</v>
      </c>
      <c r="R774" s="84">
        <v>3</v>
      </c>
      <c r="T774" s="100" t="e">
        <v>#N/A</v>
      </c>
      <c r="U774" s="121">
        <v>0</v>
      </c>
      <c r="V774" s="59" t="str">
        <v>NK</v>
      </c>
      <c r="W774" s="126" t="str">
        <v>たい</v>
      </c>
      <c r="X774" s="126">
        <v>0</v>
      </c>
      <c r="Y774" s="127" t="str">
        <v>んｋ</v>
      </c>
      <c r="Z774" s="90">
        <v>3</v>
      </c>
    </row>
    <row r="775" spans="1:26" x14ac:dyDescent="0.4">
      <c r="A775" s="52">
        <v>774</v>
      </c>
      <c r="B775" s="51">
        <f t="shared" si="74"/>
        <v>26</v>
      </c>
      <c r="C775" s="50">
        <f t="shared" si="75"/>
        <v>24</v>
      </c>
      <c r="D775" s="64" t="e">
        <f t="shared" si="76"/>
        <v>#N/A</v>
      </c>
      <c r="E775" s="121" cm="1">
        <f t="array" ref="E775">INDEX(InputArea,B775,C775)</f>
        <v>0</v>
      </c>
      <c r="F775" s="59" t="str">
        <f t="shared" si="77"/>
        <v>NL</v>
      </c>
      <c r="G775" s="59" t="str">
        <f t="shared" si="78"/>
        <v>たう</v>
      </c>
      <c r="H775" s="134"/>
      <c r="I775" s="136" t="s">
        <v>552</v>
      </c>
      <c r="J775" s="84">
        <f t="shared" si="79"/>
        <v>3</v>
      </c>
      <c r="K775" s="83"/>
      <c r="L775" s="64" t="e">
        <v>#N/A</v>
      </c>
      <c r="M775" s="121">
        <v>0</v>
      </c>
      <c r="N775" s="59" t="str">
        <v>NL</v>
      </c>
      <c r="O775" s="126" t="str">
        <v>たう</v>
      </c>
      <c r="P775" s="126">
        <v>0</v>
      </c>
      <c r="Q775" s="127" t="str">
        <v>んｌ</v>
      </c>
      <c r="R775" s="84">
        <v>3</v>
      </c>
      <c r="T775" s="100" t="e">
        <v>#N/A</v>
      </c>
      <c r="U775" s="121">
        <v>0</v>
      </c>
      <c r="V775" s="59" t="str">
        <v>NL</v>
      </c>
      <c r="W775" s="126" t="str">
        <v>たう</v>
      </c>
      <c r="X775" s="126">
        <v>0</v>
      </c>
      <c r="Y775" s="127" t="str">
        <v>んｌ</v>
      </c>
      <c r="Z775" s="90">
        <v>3</v>
      </c>
    </row>
    <row r="776" spans="1:26" x14ac:dyDescent="0.4">
      <c r="A776" s="52">
        <v>775</v>
      </c>
      <c r="B776" s="51">
        <f t="shared" si="74"/>
        <v>26</v>
      </c>
      <c r="C776" s="50">
        <f t="shared" si="75"/>
        <v>25</v>
      </c>
      <c r="D776" s="64" t="e">
        <f t="shared" si="76"/>
        <v>#N/A</v>
      </c>
      <c r="E776" s="121" cm="1">
        <f t="array" ref="E776">INDEX(InputArea,B776,C776)</f>
        <v>0</v>
      </c>
      <c r="F776" s="59" t="str">
        <f t="shared" si="77"/>
        <v>N;</v>
      </c>
      <c r="G776" s="59" t="str">
        <f t="shared" si="78"/>
        <v>たー</v>
      </c>
      <c r="H776" s="134"/>
      <c r="I776" s="135"/>
      <c r="J776" s="84">
        <f t="shared" si="79"/>
        <v>3</v>
      </c>
      <c r="K776" s="83"/>
      <c r="L776" s="64" t="e">
        <v>#N/A</v>
      </c>
      <c r="M776" s="121">
        <v>0</v>
      </c>
      <c r="N776" s="59" t="str">
        <v>N;</v>
      </c>
      <c r="O776" s="126" t="str">
        <v>たー</v>
      </c>
      <c r="P776" s="126">
        <v>0</v>
      </c>
      <c r="Q776" s="127">
        <v>0</v>
      </c>
      <c r="R776" s="84">
        <v>3</v>
      </c>
      <c r="T776" s="100" t="e">
        <v>#N/A</v>
      </c>
      <c r="U776" s="121">
        <v>0</v>
      </c>
      <c r="V776" s="59" t="str">
        <v>N;</v>
      </c>
      <c r="W776" s="126" t="str">
        <v>たー</v>
      </c>
      <c r="X776" s="126">
        <v>0</v>
      </c>
      <c r="Y776" s="127">
        <v>0</v>
      </c>
      <c r="Z776" s="90">
        <v>3</v>
      </c>
    </row>
    <row r="777" spans="1:26" x14ac:dyDescent="0.4">
      <c r="A777" s="52">
        <v>776</v>
      </c>
      <c r="B777" s="51">
        <f t="shared" si="74"/>
        <v>26</v>
      </c>
      <c r="C777" s="50">
        <f t="shared" si="75"/>
        <v>26</v>
      </c>
      <c r="D777" s="64" t="e">
        <f t="shared" si="76"/>
        <v>#N/A</v>
      </c>
      <c r="E777" s="121" cm="1">
        <f t="array" ref="E777">INDEX(InputArea,B777,C777)</f>
        <v>0</v>
      </c>
      <c r="F777" s="59" t="str">
        <f t="shared" si="77"/>
        <v>NN</v>
      </c>
      <c r="G777" s="59" t="str">
        <f t="shared" si="78"/>
        <v>たた</v>
      </c>
      <c r="H777" s="134"/>
      <c r="I777" s="136" t="s">
        <v>553</v>
      </c>
      <c r="J777" s="84">
        <f t="shared" si="79"/>
        <v>3</v>
      </c>
      <c r="K777" s="83"/>
      <c r="L777" s="64" t="e">
        <v>#N/A</v>
      </c>
      <c r="M777" s="121">
        <v>0</v>
      </c>
      <c r="N777" s="59" t="str">
        <v>NN</v>
      </c>
      <c r="O777" s="126" t="str">
        <v>たた</v>
      </c>
      <c r="P777" s="126">
        <v>0</v>
      </c>
      <c r="Q777" s="127" t="str">
        <v>ん</v>
      </c>
      <c r="R777" s="84">
        <v>3</v>
      </c>
      <c r="T777" s="100" t="e">
        <v>#N/A</v>
      </c>
      <c r="U777" s="121">
        <v>0</v>
      </c>
      <c r="V777" s="59" t="str">
        <v>NN</v>
      </c>
      <c r="W777" s="126" t="str">
        <v>たた</v>
      </c>
      <c r="X777" s="126">
        <v>0</v>
      </c>
      <c r="Y777" s="127" t="str">
        <v>ん</v>
      </c>
      <c r="Z777" s="90">
        <v>3</v>
      </c>
    </row>
    <row r="778" spans="1:26" x14ac:dyDescent="0.4">
      <c r="A778" s="52">
        <v>777</v>
      </c>
      <c r="B778" s="51">
        <f t="shared" si="74"/>
        <v>26</v>
      </c>
      <c r="C778" s="50">
        <f t="shared" si="75"/>
        <v>27</v>
      </c>
      <c r="D778" s="64" t="e">
        <f t="shared" si="76"/>
        <v>#N/A</v>
      </c>
      <c r="E778" s="121" cm="1">
        <f t="array" ref="E778">INDEX(InputArea,B778,C778)</f>
        <v>0</v>
      </c>
      <c r="F778" s="59" t="str">
        <f t="shared" si="77"/>
        <v>NM</v>
      </c>
      <c r="G778" s="59" t="str">
        <f t="shared" si="78"/>
        <v>たな</v>
      </c>
      <c r="H778" s="134"/>
      <c r="I778" s="136" t="s">
        <v>554</v>
      </c>
      <c r="J778" s="84">
        <f t="shared" si="79"/>
        <v>3</v>
      </c>
      <c r="K778" s="83"/>
      <c r="L778" s="64" t="e">
        <v>#N/A</v>
      </c>
      <c r="M778" s="121">
        <v>0</v>
      </c>
      <c r="N778" s="59" t="str">
        <v>NM</v>
      </c>
      <c r="O778" s="126" t="str">
        <v>たな</v>
      </c>
      <c r="P778" s="126">
        <v>0</v>
      </c>
      <c r="Q778" s="127" t="str">
        <v>んｍ</v>
      </c>
      <c r="R778" s="84">
        <v>3</v>
      </c>
      <c r="T778" s="100" t="e">
        <v>#N/A</v>
      </c>
      <c r="U778" s="121">
        <v>0</v>
      </c>
      <c r="V778" s="59" t="str">
        <v>NM</v>
      </c>
      <c r="W778" s="126" t="str">
        <v>たな</v>
      </c>
      <c r="X778" s="126">
        <v>0</v>
      </c>
      <c r="Y778" s="127" t="str">
        <v>んｍ</v>
      </c>
      <c r="Z778" s="90">
        <v>3</v>
      </c>
    </row>
    <row r="779" spans="1:26" x14ac:dyDescent="0.4">
      <c r="A779" s="52">
        <v>778</v>
      </c>
      <c r="B779" s="51">
        <f t="shared" si="74"/>
        <v>26</v>
      </c>
      <c r="C779" s="50">
        <f t="shared" si="75"/>
        <v>28</v>
      </c>
      <c r="D779" s="64" t="e">
        <f t="shared" si="76"/>
        <v>#N/A</v>
      </c>
      <c r="E779" s="121" cm="1">
        <f t="array" ref="E779">INDEX(InputArea,B779,C779)</f>
        <v>0</v>
      </c>
      <c r="F779" s="59" t="str">
        <f t="shared" si="77"/>
        <v>N,</v>
      </c>
      <c r="G779" s="59" t="str">
        <f t="shared" si="78"/>
        <v>たん</v>
      </c>
      <c r="H779" s="134"/>
      <c r="I779" s="136" t="s">
        <v>555</v>
      </c>
      <c r="J779" s="84">
        <f t="shared" si="79"/>
        <v>3</v>
      </c>
      <c r="K779" s="83"/>
      <c r="L779" s="64" t="e">
        <v>#N/A</v>
      </c>
      <c r="M779" s="121">
        <v>0</v>
      </c>
      <c r="N779" s="59" t="str">
        <v>N,</v>
      </c>
      <c r="O779" s="126" t="str">
        <v>たん</v>
      </c>
      <c r="P779" s="126">
        <v>0</v>
      </c>
      <c r="Q779" s="127" t="str">
        <v>ん、</v>
      </c>
      <c r="R779" s="84">
        <v>3</v>
      </c>
      <c r="T779" s="100" t="e">
        <v>#N/A</v>
      </c>
      <c r="U779" s="121">
        <v>0</v>
      </c>
      <c r="V779" s="59" t="str">
        <v>N,</v>
      </c>
      <c r="W779" s="126" t="str">
        <v>たん</v>
      </c>
      <c r="X779" s="126">
        <v>0</v>
      </c>
      <c r="Y779" s="127" t="str">
        <v>ん、</v>
      </c>
      <c r="Z779" s="90">
        <v>3</v>
      </c>
    </row>
    <row r="780" spans="1:26" x14ac:dyDescent="0.4">
      <c r="A780" s="52">
        <v>779</v>
      </c>
      <c r="B780" s="51">
        <f t="shared" si="74"/>
        <v>26</v>
      </c>
      <c r="C780" s="50">
        <f t="shared" si="75"/>
        <v>29</v>
      </c>
      <c r="D780" s="64" t="e">
        <f t="shared" si="76"/>
        <v>#N/A</v>
      </c>
      <c r="E780" s="121" cm="1">
        <f t="array" ref="E780">INDEX(InputArea,B780,C780)</f>
        <v>0</v>
      </c>
      <c r="F780" s="59" t="str">
        <f t="shared" si="77"/>
        <v>N.</v>
      </c>
      <c r="G780" s="59" t="str">
        <f t="shared" si="78"/>
        <v>たら</v>
      </c>
      <c r="H780" s="134"/>
      <c r="I780" s="136" t="s">
        <v>556</v>
      </c>
      <c r="J780" s="84">
        <f t="shared" si="79"/>
        <v>3</v>
      </c>
      <c r="K780" s="83"/>
      <c r="L780" s="64" t="e">
        <v>#N/A</v>
      </c>
      <c r="M780" s="121">
        <v>0</v>
      </c>
      <c r="N780" s="59" t="str">
        <v>N.</v>
      </c>
      <c r="O780" s="126" t="str">
        <v>たら</v>
      </c>
      <c r="P780" s="126">
        <v>0</v>
      </c>
      <c r="Q780" s="127" t="str">
        <v>ん。</v>
      </c>
      <c r="R780" s="84">
        <v>3</v>
      </c>
      <c r="T780" s="100" t="e">
        <v>#N/A</v>
      </c>
      <c r="U780" s="121">
        <v>0</v>
      </c>
      <c r="V780" s="59" t="str">
        <v>N.</v>
      </c>
      <c r="W780" s="126" t="str">
        <v>たら</v>
      </c>
      <c r="X780" s="126">
        <v>0</v>
      </c>
      <c r="Y780" s="127" t="str">
        <v>ん。</v>
      </c>
      <c r="Z780" s="90">
        <v>3</v>
      </c>
    </row>
    <row r="781" spans="1:26" x14ac:dyDescent="0.4">
      <c r="A781" s="52">
        <v>780</v>
      </c>
      <c r="B781" s="51">
        <f t="shared" si="74"/>
        <v>26</v>
      </c>
      <c r="C781" s="50">
        <f t="shared" si="75"/>
        <v>30</v>
      </c>
      <c r="D781" s="64" t="e">
        <f t="shared" si="76"/>
        <v>#N/A</v>
      </c>
      <c r="E781" s="121" cm="1">
        <f t="array" ref="E781">INDEX(InputArea,B781,C781)</f>
        <v>0</v>
      </c>
      <c r="F781" s="59" t="str">
        <f t="shared" si="77"/>
        <v>N/</v>
      </c>
      <c r="G781" s="59" t="str">
        <f t="shared" si="78"/>
        <v>たれ</v>
      </c>
      <c r="H781" s="134"/>
      <c r="I781" s="135"/>
      <c r="J781" s="84">
        <f t="shared" si="79"/>
        <v>3</v>
      </c>
      <c r="K781" s="83"/>
      <c r="L781" s="64" t="e">
        <v>#N/A</v>
      </c>
      <c r="M781" s="121">
        <v>0</v>
      </c>
      <c r="N781" s="59" t="str">
        <v>N/</v>
      </c>
      <c r="O781" s="126" t="str">
        <v>たれ</v>
      </c>
      <c r="P781" s="126">
        <v>0</v>
      </c>
      <c r="Q781" s="127">
        <v>0</v>
      </c>
      <c r="R781" s="84">
        <v>3</v>
      </c>
      <c r="T781" s="100" t="e">
        <v>#N/A</v>
      </c>
      <c r="U781" s="121">
        <v>0</v>
      </c>
      <c r="V781" s="59" t="str">
        <v>N/</v>
      </c>
      <c r="W781" s="126" t="str">
        <v>たれ</v>
      </c>
      <c r="X781" s="126">
        <v>0</v>
      </c>
      <c r="Y781" s="127">
        <v>0</v>
      </c>
      <c r="Z781" s="90">
        <v>3</v>
      </c>
    </row>
    <row r="782" spans="1:26" x14ac:dyDescent="0.4">
      <c r="A782" s="52">
        <v>781</v>
      </c>
      <c r="B782" s="51">
        <f t="shared" si="74"/>
        <v>27</v>
      </c>
      <c r="C782" s="50">
        <f t="shared" si="75"/>
        <v>1</v>
      </c>
      <c r="D782" s="64" t="e">
        <f t="shared" si="76"/>
        <v>#N/A</v>
      </c>
      <c r="E782" s="121" cm="1">
        <f t="array" ref="E782">INDEX(InputArea,B782,C782)</f>
        <v>0</v>
      </c>
      <c r="F782" s="59" t="str">
        <f t="shared" si="77"/>
        <v>MQ</v>
      </c>
      <c r="G782" s="59" t="str">
        <f t="shared" si="78"/>
        <v>なヴ</v>
      </c>
      <c r="H782" s="134"/>
      <c r="I782" s="135"/>
      <c r="J782" s="84">
        <f t="shared" si="79"/>
        <v>2</v>
      </c>
      <c r="K782" s="83"/>
      <c r="L782" s="64" t="e">
        <v>#N/A</v>
      </c>
      <c r="M782" s="121">
        <v>0</v>
      </c>
      <c r="N782" s="59" t="str">
        <v>MQ</v>
      </c>
      <c r="O782" s="126" t="str">
        <v>なヴ</v>
      </c>
      <c r="P782" s="126">
        <v>0</v>
      </c>
      <c r="Q782" s="127">
        <v>0</v>
      </c>
      <c r="R782" s="84">
        <v>2</v>
      </c>
      <c r="T782" s="100" t="e">
        <v>#N/A</v>
      </c>
      <c r="U782" s="121">
        <v>0</v>
      </c>
      <c r="V782" s="59" t="str">
        <v>MQ</v>
      </c>
      <c r="W782" s="126" t="str">
        <v>なヴ</v>
      </c>
      <c r="X782" s="126">
        <v>0</v>
      </c>
      <c r="Y782" s="127">
        <v>0</v>
      </c>
      <c r="Z782" s="90">
        <v>2</v>
      </c>
    </row>
    <row r="783" spans="1:26" x14ac:dyDescent="0.4">
      <c r="A783" s="52">
        <v>782</v>
      </c>
      <c r="B783" s="51">
        <f t="shared" si="74"/>
        <v>27</v>
      </c>
      <c r="C783" s="50">
        <f t="shared" si="75"/>
        <v>2</v>
      </c>
      <c r="D783" s="64" t="e">
        <f t="shared" si="76"/>
        <v>#N/A</v>
      </c>
      <c r="E783" s="121" cm="1">
        <f t="array" ref="E783">INDEX(InputArea,B783,C783)</f>
        <v>0</v>
      </c>
      <c r="F783" s="59" t="str">
        <f t="shared" si="77"/>
        <v>MW</v>
      </c>
      <c r="G783" s="59" t="str">
        <f t="shared" si="78"/>
        <v>なき</v>
      </c>
      <c r="H783" s="134"/>
      <c r="I783" s="135"/>
      <c r="J783" s="84">
        <f t="shared" si="79"/>
        <v>2</v>
      </c>
      <c r="K783" s="83"/>
      <c r="L783" s="64" t="e">
        <v>#N/A</v>
      </c>
      <c r="M783" s="121">
        <v>0</v>
      </c>
      <c r="N783" s="59" t="str">
        <v>MW</v>
      </c>
      <c r="O783" s="126" t="str">
        <v>なき</v>
      </c>
      <c r="P783" s="126">
        <v>0</v>
      </c>
      <c r="Q783" s="127">
        <v>0</v>
      </c>
      <c r="R783" s="84">
        <v>2</v>
      </c>
      <c r="T783" s="100" t="e">
        <v>#N/A</v>
      </c>
      <c r="U783" s="121">
        <v>0</v>
      </c>
      <c r="V783" s="59" t="str">
        <v>MW</v>
      </c>
      <c r="W783" s="126" t="str">
        <v>なき</v>
      </c>
      <c r="X783" s="126">
        <v>0</v>
      </c>
      <c r="Y783" s="127">
        <v>0</v>
      </c>
      <c r="Z783" s="90">
        <v>2</v>
      </c>
    </row>
    <row r="784" spans="1:26" x14ac:dyDescent="0.4">
      <c r="A784" s="52">
        <v>783</v>
      </c>
      <c r="B784" s="51">
        <f t="shared" si="74"/>
        <v>27</v>
      </c>
      <c r="C784" s="50">
        <f t="shared" si="75"/>
        <v>3</v>
      </c>
      <c r="D784" s="64" t="e">
        <f t="shared" si="76"/>
        <v>#N/A</v>
      </c>
      <c r="E784" s="121" cm="1">
        <f t="array" ref="E784">INDEX(InputArea,B784,C784)</f>
        <v>0</v>
      </c>
      <c r="F784" s="59" t="str">
        <f t="shared" si="77"/>
        <v>ME</v>
      </c>
      <c r="G784" s="59" t="str">
        <f t="shared" si="78"/>
        <v>なて</v>
      </c>
      <c r="H784" s="134"/>
      <c r="I784" s="136" t="s">
        <v>557</v>
      </c>
      <c r="J784" s="84">
        <f t="shared" si="79"/>
        <v>2</v>
      </c>
      <c r="K784" s="83"/>
      <c r="L784" s="64" t="e">
        <v>#N/A</v>
      </c>
      <c r="M784" s="121">
        <v>0</v>
      </c>
      <c r="N784" s="59" t="str">
        <v>ME</v>
      </c>
      <c r="O784" s="126" t="str">
        <v>なて</v>
      </c>
      <c r="P784" s="126">
        <v>0</v>
      </c>
      <c r="Q784" s="127" t="str">
        <v>め</v>
      </c>
      <c r="R784" s="84">
        <v>2</v>
      </c>
      <c r="T784" s="100" t="e">
        <v>#N/A</v>
      </c>
      <c r="U784" s="121">
        <v>0</v>
      </c>
      <c r="V784" s="59" t="str">
        <v>ME</v>
      </c>
      <c r="W784" s="126" t="str">
        <v>なて</v>
      </c>
      <c r="X784" s="126">
        <v>0</v>
      </c>
      <c r="Y784" s="127" t="str">
        <v>め</v>
      </c>
      <c r="Z784" s="90">
        <v>2</v>
      </c>
    </row>
    <row r="785" spans="1:26" x14ac:dyDescent="0.4">
      <c r="A785" s="52">
        <v>784</v>
      </c>
      <c r="B785" s="51">
        <f t="shared" si="74"/>
        <v>27</v>
      </c>
      <c r="C785" s="50">
        <f t="shared" si="75"/>
        <v>4</v>
      </c>
      <c r="D785" s="64" t="e">
        <f t="shared" si="76"/>
        <v>#N/A</v>
      </c>
      <c r="E785" s="121" cm="1">
        <f t="array" ref="E785">INDEX(InputArea,B785,C785)</f>
        <v>0</v>
      </c>
      <c r="F785" s="59" t="str">
        <f t="shared" si="77"/>
        <v>MR</v>
      </c>
      <c r="G785" s="59" t="str">
        <f t="shared" si="78"/>
        <v>なし</v>
      </c>
      <c r="H785" s="134"/>
      <c r="I785" s="135"/>
      <c r="J785" s="84">
        <f t="shared" si="79"/>
        <v>2</v>
      </c>
      <c r="K785" s="83"/>
      <c r="L785" s="64" t="e">
        <v>#N/A</v>
      </c>
      <c r="M785" s="121">
        <v>0</v>
      </c>
      <c r="N785" s="59" t="str">
        <v>MR</v>
      </c>
      <c r="O785" s="126" t="str">
        <v>なし</v>
      </c>
      <c r="P785" s="126">
        <v>0</v>
      </c>
      <c r="Q785" s="127">
        <v>0</v>
      </c>
      <c r="R785" s="84">
        <v>2</v>
      </c>
      <c r="T785" s="100" t="e">
        <v>#N/A</v>
      </c>
      <c r="U785" s="121">
        <v>0</v>
      </c>
      <c r="V785" s="59" t="str">
        <v>MR</v>
      </c>
      <c r="W785" s="126" t="str">
        <v>なし</v>
      </c>
      <c r="X785" s="126">
        <v>0</v>
      </c>
      <c r="Y785" s="127">
        <v>0</v>
      </c>
      <c r="Z785" s="90">
        <v>2</v>
      </c>
    </row>
    <row r="786" spans="1:26" x14ac:dyDescent="0.4">
      <c r="A786" s="52">
        <v>785</v>
      </c>
      <c r="B786" s="51">
        <f t="shared" si="74"/>
        <v>27</v>
      </c>
      <c r="C786" s="50">
        <f t="shared" si="75"/>
        <v>5</v>
      </c>
      <c r="D786" s="64" t="e">
        <f t="shared" si="76"/>
        <v>#N/A</v>
      </c>
      <c r="E786" s="121" cm="1">
        <f t="array" ref="E786">INDEX(InputArea,B786,C786)</f>
        <v>0</v>
      </c>
      <c r="F786" s="59" t="str">
        <f t="shared" si="77"/>
        <v>MT</v>
      </c>
      <c r="G786" s="59" t="str">
        <f t="shared" si="78"/>
        <v>な←</v>
      </c>
      <c r="H786" s="134"/>
      <c r="I786" s="135"/>
      <c r="J786" s="84">
        <f t="shared" si="79"/>
        <v>2</v>
      </c>
      <c r="K786" s="83"/>
      <c r="L786" s="64" t="e">
        <v>#N/A</v>
      </c>
      <c r="M786" s="121">
        <v>0</v>
      </c>
      <c r="N786" s="59" t="str">
        <v>MT</v>
      </c>
      <c r="O786" s="126" t="str">
        <v>な←</v>
      </c>
      <c r="P786" s="126">
        <v>0</v>
      </c>
      <c r="Q786" s="127">
        <v>0</v>
      </c>
      <c r="R786" s="84">
        <v>2</v>
      </c>
      <c r="T786" s="100" t="e">
        <v>#N/A</v>
      </c>
      <c r="U786" s="121">
        <v>0</v>
      </c>
      <c r="V786" s="59" t="str">
        <v>MT</v>
      </c>
      <c r="W786" s="126" t="str">
        <v>な←</v>
      </c>
      <c r="X786" s="126">
        <v>0</v>
      </c>
      <c r="Y786" s="127">
        <v>0</v>
      </c>
      <c r="Z786" s="90">
        <v>2</v>
      </c>
    </row>
    <row r="787" spans="1:26" x14ac:dyDescent="0.4">
      <c r="A787" s="52">
        <v>786</v>
      </c>
      <c r="B787" s="51">
        <f t="shared" si="74"/>
        <v>27</v>
      </c>
      <c r="C787" s="50">
        <f t="shared" si="75"/>
        <v>6</v>
      </c>
      <c r="D787" s="64" t="e">
        <f t="shared" si="76"/>
        <v>#N/A</v>
      </c>
      <c r="E787" s="121" cm="1">
        <f t="array" ref="E787">INDEX(InputArea,B787,C787)</f>
        <v>0</v>
      </c>
      <c r="F787" s="59" t="str">
        <f t="shared" si="77"/>
        <v>MA</v>
      </c>
      <c r="G787" s="59" t="str">
        <f t="shared" si="78"/>
        <v>なろ</v>
      </c>
      <c r="H787" s="137" t="s">
        <v>294</v>
      </c>
      <c r="I787" s="136" t="s">
        <v>558</v>
      </c>
      <c r="J787" s="84">
        <f t="shared" si="79"/>
        <v>2</v>
      </c>
      <c r="K787" s="83"/>
      <c r="L787" s="64" t="e">
        <v>#N/A</v>
      </c>
      <c r="M787" s="121">
        <v>0</v>
      </c>
      <c r="N787" s="59" t="str">
        <v>MA</v>
      </c>
      <c r="O787" s="126" t="str">
        <v>なろ</v>
      </c>
      <c r="P787" s="126" t="str">
        <v>ぷ</v>
      </c>
      <c r="Q787" s="127" t="str">
        <v>ま</v>
      </c>
      <c r="R787" s="84">
        <v>2</v>
      </c>
      <c r="T787" s="100" t="e">
        <v>#N/A</v>
      </c>
      <c r="U787" s="121">
        <v>0</v>
      </c>
      <c r="V787" s="59" t="str">
        <v>MA</v>
      </c>
      <c r="W787" s="126" t="str">
        <v>なろ</v>
      </c>
      <c r="X787" s="126" t="str">
        <v>ぷ</v>
      </c>
      <c r="Y787" s="127" t="str">
        <v>ま</v>
      </c>
      <c r="Z787" s="90">
        <v>2</v>
      </c>
    </row>
    <row r="788" spans="1:26" x14ac:dyDescent="0.4">
      <c r="A788" s="52">
        <v>787</v>
      </c>
      <c r="B788" s="51">
        <f t="shared" si="74"/>
        <v>27</v>
      </c>
      <c r="C788" s="50">
        <f t="shared" si="75"/>
        <v>7</v>
      </c>
      <c r="D788" s="64" t="e">
        <f t="shared" si="76"/>
        <v>#N/A</v>
      </c>
      <c r="E788" s="121" cm="1">
        <f t="array" ref="E788">INDEX(InputArea,B788,C788)</f>
        <v>0</v>
      </c>
      <c r="F788" s="59" t="str">
        <f t="shared" si="77"/>
        <v>MS</v>
      </c>
      <c r="G788" s="59" t="str">
        <f t="shared" si="78"/>
        <v>なけ</v>
      </c>
      <c r="H788" s="134"/>
      <c r="I788" s="135"/>
      <c r="J788" s="84">
        <f t="shared" si="79"/>
        <v>2</v>
      </c>
      <c r="K788" s="83"/>
      <c r="L788" s="64" t="e">
        <v>#N/A</v>
      </c>
      <c r="M788" s="121">
        <v>0</v>
      </c>
      <c r="N788" s="59" t="str">
        <v>MS</v>
      </c>
      <c r="O788" s="126" t="str">
        <v>なけ</v>
      </c>
      <c r="P788" s="126">
        <v>0</v>
      </c>
      <c r="Q788" s="127">
        <v>0</v>
      </c>
      <c r="R788" s="84">
        <v>2</v>
      </c>
      <c r="T788" s="100" t="e">
        <v>#N/A</v>
      </c>
      <c r="U788" s="121">
        <v>0</v>
      </c>
      <c r="V788" s="59" t="str">
        <v>MS</v>
      </c>
      <c r="W788" s="126" t="str">
        <v>なけ</v>
      </c>
      <c r="X788" s="126">
        <v>0</v>
      </c>
      <c r="Y788" s="127">
        <v>0</v>
      </c>
      <c r="Z788" s="90">
        <v>2</v>
      </c>
    </row>
    <row r="789" spans="1:26" x14ac:dyDescent="0.4">
      <c r="A789" s="52">
        <v>788</v>
      </c>
      <c r="B789" s="51">
        <f t="shared" si="74"/>
        <v>27</v>
      </c>
      <c r="C789" s="50">
        <f t="shared" si="75"/>
        <v>8</v>
      </c>
      <c r="D789" s="64" t="e">
        <f t="shared" si="76"/>
        <v>#N/A</v>
      </c>
      <c r="E789" s="121" cm="1">
        <f t="array" ref="E789">INDEX(InputArea,B789,C789)</f>
        <v>0</v>
      </c>
      <c r="F789" s="59" t="str">
        <f t="shared" si="77"/>
        <v>MD</v>
      </c>
      <c r="G789" s="59" t="str">
        <f t="shared" si="78"/>
        <v>なと</v>
      </c>
      <c r="H789" s="134"/>
      <c r="I789" s="135"/>
      <c r="J789" s="84">
        <f t="shared" si="79"/>
        <v>2</v>
      </c>
      <c r="K789" s="83"/>
      <c r="L789" s="64" t="e">
        <v>#N/A</v>
      </c>
      <c r="M789" s="121">
        <v>0</v>
      </c>
      <c r="N789" s="59" t="str">
        <v>MD</v>
      </c>
      <c r="O789" s="126" t="str">
        <v>なと</v>
      </c>
      <c r="P789" s="126">
        <v>0</v>
      </c>
      <c r="Q789" s="127">
        <v>0</v>
      </c>
      <c r="R789" s="84">
        <v>2</v>
      </c>
      <c r="T789" s="100" t="e">
        <v>#N/A</v>
      </c>
      <c r="U789" s="121">
        <v>0</v>
      </c>
      <c r="V789" s="59" t="str">
        <v>MD</v>
      </c>
      <c r="W789" s="126" t="str">
        <v>なと</v>
      </c>
      <c r="X789" s="126">
        <v>0</v>
      </c>
      <c r="Y789" s="127">
        <v>0</v>
      </c>
      <c r="Z789" s="90">
        <v>2</v>
      </c>
    </row>
    <row r="790" spans="1:26" x14ac:dyDescent="0.4">
      <c r="A790" s="52">
        <v>789</v>
      </c>
      <c r="B790" s="51">
        <f t="shared" si="74"/>
        <v>27</v>
      </c>
      <c r="C790" s="50">
        <f t="shared" si="75"/>
        <v>9</v>
      </c>
      <c r="D790" s="64" t="e">
        <f t="shared" si="76"/>
        <v>#N/A</v>
      </c>
      <c r="E790" s="121" cm="1">
        <f t="array" ref="E790">INDEX(InputArea,B790,C790)</f>
        <v>0</v>
      </c>
      <c r="F790" s="59" t="str">
        <f t="shared" si="77"/>
        <v>MF</v>
      </c>
      <c r="G790" s="59" t="str">
        <f t="shared" si="78"/>
        <v>なか</v>
      </c>
      <c r="H790" s="134"/>
      <c r="I790" s="135"/>
      <c r="J790" s="84">
        <f t="shared" si="79"/>
        <v>2</v>
      </c>
      <c r="K790" s="83"/>
      <c r="L790" s="64" t="e">
        <v>#N/A</v>
      </c>
      <c r="M790" s="121">
        <v>0</v>
      </c>
      <c r="N790" s="59" t="str">
        <v>MF</v>
      </c>
      <c r="O790" s="126" t="str">
        <v>なか</v>
      </c>
      <c r="P790" s="126">
        <v>0</v>
      </c>
      <c r="Q790" s="127">
        <v>0</v>
      </c>
      <c r="R790" s="84">
        <v>2</v>
      </c>
      <c r="T790" s="100" t="e">
        <v>#N/A</v>
      </c>
      <c r="U790" s="121">
        <v>0</v>
      </c>
      <c r="V790" s="59" t="str">
        <v>MF</v>
      </c>
      <c r="W790" s="126" t="str">
        <v>なか</v>
      </c>
      <c r="X790" s="126">
        <v>0</v>
      </c>
      <c r="Y790" s="127">
        <v>0</v>
      </c>
      <c r="Z790" s="90">
        <v>2</v>
      </c>
    </row>
    <row r="791" spans="1:26" x14ac:dyDescent="0.4">
      <c r="A791" s="52">
        <v>790</v>
      </c>
      <c r="B791" s="51">
        <f t="shared" si="74"/>
        <v>27</v>
      </c>
      <c r="C791" s="50">
        <f t="shared" si="75"/>
        <v>10</v>
      </c>
      <c r="D791" s="64" t="e">
        <f t="shared" si="76"/>
        <v>#N/A</v>
      </c>
      <c r="E791" s="121" cm="1">
        <f t="array" ref="E791">INDEX(InputArea,B791,C791)</f>
        <v>0</v>
      </c>
      <c r="F791" s="59" t="str">
        <f t="shared" si="77"/>
        <v>MG</v>
      </c>
      <c r="G791" s="59" t="str">
        <f t="shared" si="78"/>
        <v>なっ</v>
      </c>
      <c r="H791" s="134"/>
      <c r="I791" s="135"/>
      <c r="J791" s="84">
        <f t="shared" si="79"/>
        <v>2</v>
      </c>
      <c r="K791" s="83"/>
      <c r="L791" s="64" t="e">
        <v>#N/A</v>
      </c>
      <c r="M791" s="121">
        <v>0</v>
      </c>
      <c r="N791" s="59" t="str">
        <v>MG</v>
      </c>
      <c r="O791" s="126" t="str">
        <v>なっ</v>
      </c>
      <c r="P791" s="126">
        <v>0</v>
      </c>
      <c r="Q791" s="127">
        <v>0</v>
      </c>
      <c r="R791" s="84">
        <v>2</v>
      </c>
      <c r="T791" s="100" t="e">
        <v>#N/A</v>
      </c>
      <c r="U791" s="121">
        <v>0</v>
      </c>
      <c r="V791" s="59" t="str">
        <v>MG</v>
      </c>
      <c r="W791" s="126" t="str">
        <v>なっ</v>
      </c>
      <c r="X791" s="126">
        <v>0</v>
      </c>
      <c r="Y791" s="127">
        <v>0</v>
      </c>
      <c r="Z791" s="90">
        <v>2</v>
      </c>
    </row>
    <row r="792" spans="1:26" x14ac:dyDescent="0.4">
      <c r="A792" s="52">
        <v>791</v>
      </c>
      <c r="B792" s="51">
        <f t="shared" si="74"/>
        <v>27</v>
      </c>
      <c r="C792" s="50">
        <f t="shared" si="75"/>
        <v>11</v>
      </c>
      <c r="D792" s="64" t="e">
        <f t="shared" si="76"/>
        <v>#N/A</v>
      </c>
      <c r="E792" s="121" cm="1">
        <f t="array" ref="E792">INDEX(InputArea,B792,C792)</f>
        <v>0</v>
      </c>
      <c r="F792" s="59" t="str">
        <f t="shared" si="77"/>
        <v>MZ</v>
      </c>
      <c r="G792" s="59" t="str">
        <f t="shared" si="78"/>
        <v>なほ</v>
      </c>
      <c r="H792" s="137" t="s">
        <v>291</v>
      </c>
      <c r="I792" s="135"/>
      <c r="J792" s="84">
        <f t="shared" si="79"/>
        <v>2</v>
      </c>
      <c r="K792" s="83"/>
      <c r="L792" s="64" t="e">
        <v>#N/A</v>
      </c>
      <c r="M792" s="121">
        <v>0</v>
      </c>
      <c r="N792" s="59" t="str">
        <v>MZ</v>
      </c>
      <c r="O792" s="126" t="str">
        <v>なほ</v>
      </c>
      <c r="P792" s="126" t="str">
        <v>ぽ</v>
      </c>
      <c r="Q792" s="127">
        <v>0</v>
      </c>
      <c r="R792" s="84">
        <v>2</v>
      </c>
      <c r="T792" s="100" t="e">
        <v>#N/A</v>
      </c>
      <c r="U792" s="121">
        <v>0</v>
      </c>
      <c r="V792" s="59" t="str">
        <v>MZ</v>
      </c>
      <c r="W792" s="126" t="str">
        <v>なほ</v>
      </c>
      <c r="X792" s="126" t="str">
        <v>ぽ</v>
      </c>
      <c r="Y792" s="127">
        <v>0</v>
      </c>
      <c r="Z792" s="90">
        <v>2</v>
      </c>
    </row>
    <row r="793" spans="1:26" x14ac:dyDescent="0.4">
      <c r="A793" s="52">
        <v>792</v>
      </c>
      <c r="B793" s="51">
        <f t="shared" si="74"/>
        <v>27</v>
      </c>
      <c r="C793" s="50">
        <f t="shared" si="75"/>
        <v>12</v>
      </c>
      <c r="D793" s="64" t="e">
        <f t="shared" si="76"/>
        <v>#N/A</v>
      </c>
      <c r="E793" s="121" cm="1">
        <f t="array" ref="E793">INDEX(InputArea,B793,C793)</f>
        <v>0</v>
      </c>
      <c r="F793" s="59" t="str">
        <f t="shared" si="77"/>
        <v>MX</v>
      </c>
      <c r="G793" s="59" t="str">
        <f t="shared" si="78"/>
        <v>なひ</v>
      </c>
      <c r="H793" s="137" t="s">
        <v>292</v>
      </c>
      <c r="I793" s="135"/>
      <c r="J793" s="84">
        <f t="shared" si="79"/>
        <v>2</v>
      </c>
      <c r="K793" s="83"/>
      <c r="L793" s="64" t="e">
        <v>#N/A</v>
      </c>
      <c r="M793" s="121">
        <v>0</v>
      </c>
      <c r="N793" s="59" t="str">
        <v>MX</v>
      </c>
      <c r="O793" s="126" t="str">
        <v>なひ</v>
      </c>
      <c r="P793" s="126" t="str">
        <v>ぴ</v>
      </c>
      <c r="Q793" s="127">
        <v>0</v>
      </c>
      <c r="R793" s="84">
        <v>2</v>
      </c>
      <c r="T793" s="100" t="e">
        <v>#N/A</v>
      </c>
      <c r="U793" s="121">
        <v>0</v>
      </c>
      <c r="V793" s="59" t="str">
        <v>MX</v>
      </c>
      <c r="W793" s="126" t="str">
        <v>なひ</v>
      </c>
      <c r="X793" s="126" t="str">
        <v>ぴ</v>
      </c>
      <c r="Y793" s="127">
        <v>0</v>
      </c>
      <c r="Z793" s="90">
        <v>2</v>
      </c>
    </row>
    <row r="794" spans="1:26" x14ac:dyDescent="0.4">
      <c r="A794" s="52">
        <v>793</v>
      </c>
      <c r="B794" s="51">
        <f t="shared" si="74"/>
        <v>27</v>
      </c>
      <c r="C794" s="50">
        <f t="shared" si="75"/>
        <v>13</v>
      </c>
      <c r="D794" s="64" t="e">
        <f t="shared" si="76"/>
        <v>#N/A</v>
      </c>
      <c r="E794" s="121" cm="1">
        <f t="array" ref="E794">INDEX(InputArea,B794,C794)</f>
        <v>0</v>
      </c>
      <c r="F794" s="59" t="str">
        <f t="shared" si="77"/>
        <v>MC</v>
      </c>
      <c r="G794" s="59" t="str">
        <f t="shared" si="78"/>
        <v>なは</v>
      </c>
      <c r="H794" s="137" t="s">
        <v>293</v>
      </c>
      <c r="I794" s="135"/>
      <c r="J794" s="84">
        <f t="shared" si="79"/>
        <v>2</v>
      </c>
      <c r="K794" s="83"/>
      <c r="L794" s="64" t="e">
        <v>#N/A</v>
      </c>
      <c r="M794" s="121">
        <v>0</v>
      </c>
      <c r="N794" s="59" t="str">
        <v>MC</v>
      </c>
      <c r="O794" s="126" t="str">
        <v>なは</v>
      </c>
      <c r="P794" s="126" t="str">
        <v>ぱ</v>
      </c>
      <c r="Q794" s="127">
        <v>0</v>
      </c>
      <c r="R794" s="84">
        <v>2</v>
      </c>
      <c r="T794" s="100" t="e">
        <v>#N/A</v>
      </c>
      <c r="U794" s="121">
        <v>0</v>
      </c>
      <c r="V794" s="59" t="str">
        <v>MC</v>
      </c>
      <c r="W794" s="126" t="str">
        <v>なは</v>
      </c>
      <c r="X794" s="126" t="str">
        <v>ぱ</v>
      </c>
      <c r="Y794" s="127">
        <v>0</v>
      </c>
      <c r="Z794" s="90">
        <v>2</v>
      </c>
    </row>
    <row r="795" spans="1:26" x14ac:dyDescent="0.4">
      <c r="A795" s="52">
        <v>794</v>
      </c>
      <c r="B795" s="51">
        <f t="shared" si="74"/>
        <v>27</v>
      </c>
      <c r="C795" s="50">
        <f t="shared" si="75"/>
        <v>14</v>
      </c>
      <c r="D795" s="64" t="e">
        <f t="shared" si="76"/>
        <v>#N/A</v>
      </c>
      <c r="E795" s="121" cm="1">
        <f t="array" ref="E795">INDEX(InputArea,B795,C795)</f>
        <v>0</v>
      </c>
      <c r="F795" s="59" t="str">
        <f t="shared" si="77"/>
        <v>MV</v>
      </c>
      <c r="G795" s="59" t="str">
        <f t="shared" si="78"/>
        <v>なこ</v>
      </c>
      <c r="H795" s="137" t="s">
        <v>282</v>
      </c>
      <c r="I795" s="135"/>
      <c r="J795" s="84">
        <f t="shared" si="79"/>
        <v>2</v>
      </c>
      <c r="K795" s="83"/>
      <c r="L795" s="64" t="e">
        <v>#N/A</v>
      </c>
      <c r="M795" s="121">
        <v>0</v>
      </c>
      <c r="N795" s="59" t="str">
        <v>MV</v>
      </c>
      <c r="O795" s="126" t="str">
        <v>なこ</v>
      </c>
      <c r="P795" s="126" t="str">
        <v>改行</v>
      </c>
      <c r="Q795" s="127">
        <v>0</v>
      </c>
      <c r="R795" s="84">
        <v>2</v>
      </c>
      <c r="T795" s="100" t="e">
        <v>#N/A</v>
      </c>
      <c r="U795" s="121">
        <v>0</v>
      </c>
      <c r="V795" s="59" t="str">
        <v>MV</v>
      </c>
      <c r="W795" s="126" t="str">
        <v>なこ</v>
      </c>
      <c r="X795" s="126" t="str">
        <v>改行</v>
      </c>
      <c r="Y795" s="127">
        <v>0</v>
      </c>
      <c r="Z795" s="90">
        <v>2</v>
      </c>
    </row>
    <row r="796" spans="1:26" x14ac:dyDescent="0.4">
      <c r="A796" s="52">
        <v>795</v>
      </c>
      <c r="B796" s="51">
        <f t="shared" si="74"/>
        <v>27</v>
      </c>
      <c r="C796" s="50">
        <f t="shared" si="75"/>
        <v>15</v>
      </c>
      <c r="D796" s="64" t="e">
        <f t="shared" si="76"/>
        <v>#N/A</v>
      </c>
      <c r="E796" s="121" cm="1">
        <f t="array" ref="E796">INDEX(InputArea,B796,C796)</f>
        <v>0</v>
      </c>
      <c r="F796" s="59" t="str">
        <f t="shared" si="77"/>
        <v>MB</v>
      </c>
      <c r="G796" s="59" t="str">
        <f t="shared" si="78"/>
        <v>なそ</v>
      </c>
      <c r="H796" s="134"/>
      <c r="I796" s="135"/>
      <c r="J796" s="84">
        <f t="shared" si="79"/>
        <v>2</v>
      </c>
      <c r="K796" s="83"/>
      <c r="L796" s="64" t="e">
        <v>#N/A</v>
      </c>
      <c r="M796" s="121">
        <v>0</v>
      </c>
      <c r="N796" s="59" t="str">
        <v>MB</v>
      </c>
      <c r="O796" s="126" t="str">
        <v>なそ</v>
      </c>
      <c r="P796" s="126">
        <v>0</v>
      </c>
      <c r="Q796" s="127">
        <v>0</v>
      </c>
      <c r="R796" s="84">
        <v>2</v>
      </c>
      <c r="T796" s="100" t="e">
        <v>#N/A</v>
      </c>
      <c r="U796" s="121">
        <v>0</v>
      </c>
      <c r="V796" s="59" t="str">
        <v>MB</v>
      </c>
      <c r="W796" s="126" t="str">
        <v>なそ</v>
      </c>
      <c r="X796" s="126">
        <v>0</v>
      </c>
      <c r="Y796" s="127">
        <v>0</v>
      </c>
      <c r="Z796" s="90">
        <v>2</v>
      </c>
    </row>
    <row r="797" spans="1:26" x14ac:dyDescent="0.4">
      <c r="A797" s="52">
        <v>796</v>
      </c>
      <c r="B797" s="51">
        <f t="shared" si="74"/>
        <v>27</v>
      </c>
      <c r="C797" s="50">
        <f t="shared" si="75"/>
        <v>16</v>
      </c>
      <c r="D797" s="64" t="e">
        <f t="shared" si="76"/>
        <v>#N/A</v>
      </c>
      <c r="E797" s="121" cm="1">
        <f t="array" ref="E797">INDEX(InputArea,B797,C797)</f>
        <v>0</v>
      </c>
      <c r="F797" s="59" t="str">
        <f t="shared" si="77"/>
        <v>MY</v>
      </c>
      <c r="G797" s="59" t="str">
        <f t="shared" si="78"/>
        <v>な→</v>
      </c>
      <c r="H797" s="134"/>
      <c r="I797" s="136" t="s">
        <v>559</v>
      </c>
      <c r="J797" s="84">
        <f t="shared" si="79"/>
        <v>3</v>
      </c>
      <c r="K797" s="83"/>
      <c r="L797" s="64" t="e">
        <v>#N/A</v>
      </c>
      <c r="M797" s="121">
        <v>0</v>
      </c>
      <c r="N797" s="59" t="str">
        <v>MY</v>
      </c>
      <c r="O797" s="126" t="str">
        <v>な→</v>
      </c>
      <c r="P797" s="126">
        <v>0</v>
      </c>
      <c r="Q797" s="127" t="str">
        <v>ｍｙ</v>
      </c>
      <c r="R797" s="84">
        <v>3</v>
      </c>
      <c r="T797" s="100" t="e">
        <v>#N/A</v>
      </c>
      <c r="U797" s="121">
        <v>0</v>
      </c>
      <c r="V797" s="59" t="str">
        <v>MY</v>
      </c>
      <c r="W797" s="126" t="str">
        <v>な→</v>
      </c>
      <c r="X797" s="126">
        <v>0</v>
      </c>
      <c r="Y797" s="127" t="str">
        <v>ｍｙ</v>
      </c>
      <c r="Z797" s="90">
        <v>3</v>
      </c>
    </row>
    <row r="798" spans="1:26" x14ac:dyDescent="0.4">
      <c r="A798" s="52">
        <v>797</v>
      </c>
      <c r="B798" s="51">
        <f t="shared" si="74"/>
        <v>27</v>
      </c>
      <c r="C798" s="50">
        <f t="shared" si="75"/>
        <v>17</v>
      </c>
      <c r="D798" s="64" t="e">
        <f t="shared" si="76"/>
        <v>#N/A</v>
      </c>
      <c r="E798" s="121" cm="1">
        <f t="array" ref="E798">INDEX(InputArea,B798,C798)</f>
        <v>0</v>
      </c>
      <c r="F798" s="59" t="str">
        <f t="shared" si="77"/>
        <v>MU</v>
      </c>
      <c r="G798" s="59" t="str">
        <f t="shared" si="78"/>
        <v>なBS</v>
      </c>
      <c r="H798" s="134"/>
      <c r="I798" s="136" t="s">
        <v>560</v>
      </c>
      <c r="J798" s="84">
        <f t="shared" si="79"/>
        <v>3</v>
      </c>
      <c r="K798" s="83"/>
      <c r="L798" s="64" t="e">
        <v>#N/A</v>
      </c>
      <c r="M798" s="121">
        <v>0</v>
      </c>
      <c r="N798" s="59" t="str">
        <v>MU</v>
      </c>
      <c r="O798" s="126" t="str">
        <v>なBS</v>
      </c>
      <c r="P798" s="126">
        <v>0</v>
      </c>
      <c r="Q798" s="127" t="str">
        <v>む</v>
      </c>
      <c r="R798" s="84">
        <v>3</v>
      </c>
      <c r="T798" s="100" t="e">
        <v>#N/A</v>
      </c>
      <c r="U798" s="121">
        <v>0</v>
      </c>
      <c r="V798" s="59" t="str">
        <v>MU</v>
      </c>
      <c r="W798" s="126" t="str">
        <v>なBS</v>
      </c>
      <c r="X798" s="126">
        <v>0</v>
      </c>
      <c r="Y798" s="127" t="str">
        <v>む</v>
      </c>
      <c r="Z798" s="90">
        <v>3</v>
      </c>
    </row>
    <row r="799" spans="1:26" x14ac:dyDescent="0.4">
      <c r="A799" s="52">
        <v>798</v>
      </c>
      <c r="B799" s="51">
        <f t="shared" si="74"/>
        <v>27</v>
      </c>
      <c r="C799" s="50">
        <f t="shared" si="75"/>
        <v>18</v>
      </c>
      <c r="D799" s="64" t="e">
        <f t="shared" si="76"/>
        <v>#N/A</v>
      </c>
      <c r="E799" s="121" cm="1">
        <f t="array" ref="E799">INDEX(InputArea,B799,C799)</f>
        <v>0</v>
      </c>
      <c r="F799" s="59" t="str">
        <f t="shared" si="77"/>
        <v>MI</v>
      </c>
      <c r="G799" s="59" t="str">
        <f t="shared" si="78"/>
        <v>なる</v>
      </c>
      <c r="H799" s="137" t="s">
        <v>618</v>
      </c>
      <c r="I799" s="136" t="s">
        <v>561</v>
      </c>
      <c r="J799" s="84">
        <f t="shared" si="79"/>
        <v>3</v>
      </c>
      <c r="K799" s="83"/>
      <c r="L799" s="64" t="e">
        <v>#N/A</v>
      </c>
      <c r="M799" s="121">
        <v>0</v>
      </c>
      <c r="N799" s="59" t="str">
        <v>MI</v>
      </c>
      <c r="O799" s="126" t="str">
        <v>なる</v>
      </c>
      <c r="P799" s="126" t="str">
        <v>゜ょ</v>
      </c>
      <c r="Q799" s="127" t="str">
        <v>み</v>
      </c>
      <c r="R799" s="84">
        <v>3</v>
      </c>
      <c r="T799" s="100" t="e">
        <v>#N/A</v>
      </c>
      <c r="U799" s="121">
        <v>0</v>
      </c>
      <c r="V799" s="59" t="str">
        <v>MI</v>
      </c>
      <c r="W799" s="126" t="str">
        <v>なる</v>
      </c>
      <c r="X799" s="126" t="str">
        <v>゜ょ</v>
      </c>
      <c r="Y799" s="127" t="str">
        <v>み</v>
      </c>
      <c r="Z799" s="90">
        <v>3</v>
      </c>
    </row>
    <row r="800" spans="1:26" x14ac:dyDescent="0.4">
      <c r="A800" s="52">
        <v>799</v>
      </c>
      <c r="B800" s="51">
        <f t="shared" si="74"/>
        <v>27</v>
      </c>
      <c r="C800" s="50">
        <f t="shared" si="75"/>
        <v>19</v>
      </c>
      <c r="D800" s="64" t="e">
        <f t="shared" si="76"/>
        <v>#N/A</v>
      </c>
      <c r="E800" s="121" cm="1">
        <f t="array" ref="E800">INDEX(InputArea,B800,C800)</f>
        <v>0</v>
      </c>
      <c r="F800" s="59" t="str">
        <f t="shared" si="77"/>
        <v>MO</v>
      </c>
      <c r="G800" s="59" t="str">
        <f t="shared" si="78"/>
        <v>なす</v>
      </c>
      <c r="H800" s="134"/>
      <c r="I800" s="136" t="s">
        <v>562</v>
      </c>
      <c r="J800" s="84">
        <f t="shared" si="79"/>
        <v>3</v>
      </c>
      <c r="K800" s="83"/>
      <c r="L800" s="64" t="e">
        <v>#N/A</v>
      </c>
      <c r="M800" s="121">
        <v>0</v>
      </c>
      <c r="N800" s="59" t="str">
        <v>MO</v>
      </c>
      <c r="O800" s="126" t="str">
        <v>なす</v>
      </c>
      <c r="P800" s="126">
        <v>0</v>
      </c>
      <c r="Q800" s="127" t="str">
        <v>も</v>
      </c>
      <c r="R800" s="84">
        <v>3</v>
      </c>
      <c r="T800" s="100" t="e">
        <v>#N/A</v>
      </c>
      <c r="U800" s="121">
        <v>0</v>
      </c>
      <c r="V800" s="59" t="str">
        <v>MO</v>
      </c>
      <c r="W800" s="126" t="str">
        <v>なす</v>
      </c>
      <c r="X800" s="126">
        <v>0</v>
      </c>
      <c r="Y800" s="127" t="str">
        <v>も</v>
      </c>
      <c r="Z800" s="90">
        <v>3</v>
      </c>
    </row>
    <row r="801" spans="1:26" x14ac:dyDescent="0.4">
      <c r="A801" s="52">
        <v>800</v>
      </c>
      <c r="B801" s="51">
        <f t="shared" si="74"/>
        <v>27</v>
      </c>
      <c r="C801" s="50">
        <f t="shared" si="75"/>
        <v>20</v>
      </c>
      <c r="D801" s="64" t="e">
        <f t="shared" si="76"/>
        <v>#N/A</v>
      </c>
      <c r="E801" s="121" cm="1">
        <f t="array" ref="E801">INDEX(InputArea,B801,C801)</f>
        <v>0</v>
      </c>
      <c r="F801" s="59" t="str">
        <f t="shared" si="77"/>
        <v>MP</v>
      </c>
      <c r="G801" s="59" t="str">
        <f t="shared" si="78"/>
        <v>なへ</v>
      </c>
      <c r="H801" s="137" t="s">
        <v>620</v>
      </c>
      <c r="I801" s="135"/>
      <c r="J801" s="84">
        <f t="shared" si="79"/>
        <v>3</v>
      </c>
      <c r="K801" s="83"/>
      <c r="L801" s="64" t="e">
        <v>#N/A</v>
      </c>
      <c r="M801" s="121">
        <v>0</v>
      </c>
      <c r="N801" s="59" t="str">
        <v>MP</v>
      </c>
      <c r="O801" s="126" t="str">
        <v>なへ</v>
      </c>
      <c r="P801" s="126" t="str">
        <v>゜ゅ</v>
      </c>
      <c r="Q801" s="127">
        <v>0</v>
      </c>
      <c r="R801" s="84">
        <v>3</v>
      </c>
      <c r="T801" s="100" t="e">
        <v>#N/A</v>
      </c>
      <c r="U801" s="121">
        <v>0</v>
      </c>
      <c r="V801" s="59" t="str">
        <v>MP</v>
      </c>
      <c r="W801" s="126" t="str">
        <v>なへ</v>
      </c>
      <c r="X801" s="126" t="str">
        <v>゜ゅ</v>
      </c>
      <c r="Y801" s="127">
        <v>0</v>
      </c>
      <c r="Z801" s="90">
        <v>3</v>
      </c>
    </row>
    <row r="802" spans="1:26" x14ac:dyDescent="0.4">
      <c r="A802" s="52">
        <v>801</v>
      </c>
      <c r="B802" s="51">
        <f t="shared" si="74"/>
        <v>27</v>
      </c>
      <c r="C802" s="50">
        <f t="shared" si="75"/>
        <v>21</v>
      </c>
      <c r="D802" s="64" t="e">
        <f t="shared" si="76"/>
        <v>#N/A</v>
      </c>
      <c r="E802" s="121" cm="1">
        <f t="array" ref="E802">INDEX(InputArea,B802,C802)</f>
        <v>0</v>
      </c>
      <c r="F802" s="59" t="str">
        <f t="shared" si="77"/>
        <v>MH</v>
      </c>
      <c r="G802" s="59" t="str">
        <f t="shared" si="78"/>
        <v>なく</v>
      </c>
      <c r="H802" s="137" t="s">
        <v>621</v>
      </c>
      <c r="I802" s="135"/>
      <c r="J802" s="84">
        <f t="shared" si="79"/>
        <v>3</v>
      </c>
      <c r="K802" s="83"/>
      <c r="L802" s="64" t="e">
        <v>#N/A</v>
      </c>
      <c r="M802" s="121">
        <v>0</v>
      </c>
      <c r="N802" s="59" t="str">
        <v>MH</v>
      </c>
      <c r="O802" s="126" t="str">
        <v>なく</v>
      </c>
      <c r="P802" s="126" t="str">
        <v>゜ゃ</v>
      </c>
      <c r="Q802" s="127">
        <v>0</v>
      </c>
      <c r="R802" s="84">
        <v>3</v>
      </c>
      <c r="T802" s="100" t="e">
        <v>#N/A</v>
      </c>
      <c r="U802" s="121">
        <v>0</v>
      </c>
      <c r="V802" s="59" t="str">
        <v>MH</v>
      </c>
      <c r="W802" s="126" t="str">
        <v>なく</v>
      </c>
      <c r="X802" s="126" t="str">
        <v>゜ゃ</v>
      </c>
      <c r="Y802" s="127">
        <v>0</v>
      </c>
      <c r="Z802" s="90">
        <v>3</v>
      </c>
    </row>
    <row r="803" spans="1:26" x14ac:dyDescent="0.4">
      <c r="A803" s="52">
        <v>802</v>
      </c>
      <c r="B803" s="51">
        <f t="shared" si="74"/>
        <v>27</v>
      </c>
      <c r="C803" s="50">
        <f t="shared" si="75"/>
        <v>22</v>
      </c>
      <c r="D803" s="64" t="e">
        <f t="shared" si="76"/>
        <v>#N/A</v>
      </c>
      <c r="E803" s="121" cm="1">
        <f t="array" ref="E803">INDEX(InputArea,B803,C803)</f>
        <v>0</v>
      </c>
      <c r="F803" s="59" t="str">
        <f t="shared" si="77"/>
        <v>MJ</v>
      </c>
      <c r="G803" s="59" t="str">
        <f t="shared" si="78"/>
        <v>なあ</v>
      </c>
      <c r="H803" s="134"/>
      <c r="I803" s="135"/>
      <c r="J803" s="84">
        <f t="shared" si="79"/>
        <v>3</v>
      </c>
      <c r="K803" s="83"/>
      <c r="L803" s="64" t="e">
        <v>#N/A</v>
      </c>
      <c r="M803" s="121">
        <v>0</v>
      </c>
      <c r="N803" s="59" t="str">
        <v>MJ</v>
      </c>
      <c r="O803" s="126" t="str">
        <v>なあ</v>
      </c>
      <c r="P803" s="126">
        <v>0</v>
      </c>
      <c r="Q803" s="127">
        <v>0</v>
      </c>
      <c r="R803" s="84">
        <v>3</v>
      </c>
      <c r="T803" s="100" t="e">
        <v>#N/A</v>
      </c>
      <c r="U803" s="121">
        <v>0</v>
      </c>
      <c r="V803" s="59" t="str">
        <v>MJ</v>
      </c>
      <c r="W803" s="126" t="str">
        <v>なあ</v>
      </c>
      <c r="X803" s="126">
        <v>0</v>
      </c>
      <c r="Y803" s="127">
        <v>0</v>
      </c>
      <c r="Z803" s="90">
        <v>3</v>
      </c>
    </row>
    <row r="804" spans="1:26" x14ac:dyDescent="0.4">
      <c r="A804" s="52">
        <v>803</v>
      </c>
      <c r="B804" s="51">
        <f t="shared" si="74"/>
        <v>27</v>
      </c>
      <c r="C804" s="50">
        <f t="shared" si="75"/>
        <v>23</v>
      </c>
      <c r="D804" s="64" t="e">
        <f t="shared" si="76"/>
        <v>#N/A</v>
      </c>
      <c r="E804" s="121" cm="1">
        <f t="array" ref="E804">INDEX(InputArea,B804,C804)</f>
        <v>0</v>
      </c>
      <c r="F804" s="59" t="str">
        <f t="shared" si="77"/>
        <v>MK</v>
      </c>
      <c r="G804" s="59" t="str">
        <f t="shared" si="78"/>
        <v>ない</v>
      </c>
      <c r="H804" s="134"/>
      <c r="I804" s="135"/>
      <c r="J804" s="84">
        <f t="shared" si="79"/>
        <v>3</v>
      </c>
      <c r="K804" s="83"/>
      <c r="L804" s="64" t="e">
        <v>#N/A</v>
      </c>
      <c r="M804" s="121">
        <v>0</v>
      </c>
      <c r="N804" s="59" t="str">
        <v>MK</v>
      </c>
      <c r="O804" s="126" t="str">
        <v>ない</v>
      </c>
      <c r="P804" s="126">
        <v>0</v>
      </c>
      <c r="Q804" s="127">
        <v>0</v>
      </c>
      <c r="R804" s="84">
        <v>3</v>
      </c>
      <c r="T804" s="100" t="e">
        <v>#N/A</v>
      </c>
      <c r="U804" s="121">
        <v>0</v>
      </c>
      <c r="V804" s="59" t="str">
        <v>MK</v>
      </c>
      <c r="W804" s="126" t="str">
        <v>ない</v>
      </c>
      <c r="X804" s="126">
        <v>0</v>
      </c>
      <c r="Y804" s="127">
        <v>0</v>
      </c>
      <c r="Z804" s="90">
        <v>3</v>
      </c>
    </row>
    <row r="805" spans="1:26" x14ac:dyDescent="0.4">
      <c r="A805" s="52">
        <v>804</v>
      </c>
      <c r="B805" s="51">
        <f t="shared" si="74"/>
        <v>27</v>
      </c>
      <c r="C805" s="50">
        <f t="shared" si="75"/>
        <v>24</v>
      </c>
      <c r="D805" s="64" t="e">
        <f t="shared" si="76"/>
        <v>#N/A</v>
      </c>
      <c r="E805" s="121" cm="1">
        <f t="array" ref="E805">INDEX(InputArea,B805,C805)</f>
        <v>0</v>
      </c>
      <c r="F805" s="59" t="str">
        <f t="shared" si="77"/>
        <v>ML</v>
      </c>
      <c r="G805" s="59" t="str">
        <f t="shared" si="78"/>
        <v>なう</v>
      </c>
      <c r="H805" s="134"/>
      <c r="I805" s="135"/>
      <c r="J805" s="84">
        <f t="shared" si="79"/>
        <v>3</v>
      </c>
      <c r="K805" s="83"/>
      <c r="L805" s="64" t="e">
        <v>#N/A</v>
      </c>
      <c r="M805" s="121">
        <v>0</v>
      </c>
      <c r="N805" s="59" t="str">
        <v>ML</v>
      </c>
      <c r="O805" s="126" t="str">
        <v>なう</v>
      </c>
      <c r="P805" s="126">
        <v>0</v>
      </c>
      <c r="Q805" s="127">
        <v>0</v>
      </c>
      <c r="R805" s="84">
        <v>3</v>
      </c>
      <c r="T805" s="100" t="e">
        <v>#N/A</v>
      </c>
      <c r="U805" s="121">
        <v>0</v>
      </c>
      <c r="V805" s="59" t="str">
        <v>ML</v>
      </c>
      <c r="W805" s="126" t="str">
        <v>なう</v>
      </c>
      <c r="X805" s="126">
        <v>0</v>
      </c>
      <c r="Y805" s="127">
        <v>0</v>
      </c>
      <c r="Z805" s="90">
        <v>3</v>
      </c>
    </row>
    <row r="806" spans="1:26" x14ac:dyDescent="0.4">
      <c r="A806" s="52">
        <v>805</v>
      </c>
      <c r="B806" s="51">
        <f t="shared" si="74"/>
        <v>27</v>
      </c>
      <c r="C806" s="50">
        <f t="shared" si="75"/>
        <v>25</v>
      </c>
      <c r="D806" s="64" t="e">
        <f t="shared" si="76"/>
        <v>#N/A</v>
      </c>
      <c r="E806" s="121" cm="1">
        <f t="array" ref="E806">INDEX(InputArea,B806,C806)</f>
        <v>0</v>
      </c>
      <c r="F806" s="59" t="str">
        <f t="shared" si="77"/>
        <v>M;</v>
      </c>
      <c r="G806" s="59" t="str">
        <f t="shared" si="78"/>
        <v>なー</v>
      </c>
      <c r="H806" s="134"/>
      <c r="I806" s="135"/>
      <c r="J806" s="84">
        <f t="shared" si="79"/>
        <v>3</v>
      </c>
      <c r="K806" s="83"/>
      <c r="L806" s="64" t="e">
        <v>#N/A</v>
      </c>
      <c r="M806" s="121">
        <v>0</v>
      </c>
      <c r="N806" s="59" t="str">
        <v>M;</v>
      </c>
      <c r="O806" s="126" t="str">
        <v>なー</v>
      </c>
      <c r="P806" s="126">
        <v>0</v>
      </c>
      <c r="Q806" s="127">
        <v>0</v>
      </c>
      <c r="R806" s="84">
        <v>3</v>
      </c>
      <c r="T806" s="100" t="e">
        <v>#N/A</v>
      </c>
      <c r="U806" s="121">
        <v>0</v>
      </c>
      <c r="V806" s="59" t="str">
        <v>M;</v>
      </c>
      <c r="W806" s="126" t="str">
        <v>なー</v>
      </c>
      <c r="X806" s="126">
        <v>0</v>
      </c>
      <c r="Y806" s="127">
        <v>0</v>
      </c>
      <c r="Z806" s="90">
        <v>3</v>
      </c>
    </row>
    <row r="807" spans="1:26" x14ac:dyDescent="0.4">
      <c r="A807" s="52">
        <v>806</v>
      </c>
      <c r="B807" s="51">
        <f t="shared" si="74"/>
        <v>27</v>
      </c>
      <c r="C807" s="50">
        <f t="shared" si="75"/>
        <v>26</v>
      </c>
      <c r="D807" s="64" t="e">
        <f t="shared" si="76"/>
        <v>#N/A</v>
      </c>
      <c r="E807" s="121" cm="1">
        <f t="array" ref="E807">INDEX(InputArea,B807,C807)</f>
        <v>0</v>
      </c>
      <c r="F807" s="59" t="str">
        <f t="shared" si="77"/>
        <v>MN</v>
      </c>
      <c r="G807" s="59" t="str">
        <f t="shared" si="78"/>
        <v>なた</v>
      </c>
      <c r="H807" s="134"/>
      <c r="I807" s="135"/>
      <c r="J807" s="84">
        <f t="shared" si="79"/>
        <v>3</v>
      </c>
      <c r="K807" s="83"/>
      <c r="L807" s="64" t="e">
        <v>#N/A</v>
      </c>
      <c r="M807" s="121">
        <v>0</v>
      </c>
      <c r="N807" s="59" t="str">
        <v>MN</v>
      </c>
      <c r="O807" s="126" t="str">
        <v>なた</v>
      </c>
      <c r="P807" s="126">
        <v>0</v>
      </c>
      <c r="Q807" s="127">
        <v>0</v>
      </c>
      <c r="R807" s="84">
        <v>3</v>
      </c>
      <c r="T807" s="100" t="e">
        <v>#N/A</v>
      </c>
      <c r="U807" s="121">
        <v>0</v>
      </c>
      <c r="V807" s="59" t="str">
        <v>MN</v>
      </c>
      <c r="W807" s="126" t="str">
        <v>なた</v>
      </c>
      <c r="X807" s="126">
        <v>0</v>
      </c>
      <c r="Y807" s="127">
        <v>0</v>
      </c>
      <c r="Z807" s="90">
        <v>3</v>
      </c>
    </row>
    <row r="808" spans="1:26" x14ac:dyDescent="0.4">
      <c r="A808" s="52">
        <v>807</v>
      </c>
      <c r="B808" s="51">
        <f t="shared" si="74"/>
        <v>27</v>
      </c>
      <c r="C808" s="50">
        <f t="shared" si="75"/>
        <v>27</v>
      </c>
      <c r="D808" s="64" t="e">
        <f t="shared" si="76"/>
        <v>#N/A</v>
      </c>
      <c r="E808" s="121" cm="1">
        <f t="array" ref="E808">INDEX(InputArea,B808,C808)</f>
        <v>0</v>
      </c>
      <c r="F808" s="59" t="str">
        <f t="shared" si="77"/>
        <v>MM</v>
      </c>
      <c r="G808" s="59" t="str">
        <f t="shared" si="78"/>
        <v>なな</v>
      </c>
      <c r="H808" s="134"/>
      <c r="I808" s="136" t="s">
        <v>554</v>
      </c>
      <c r="J808" s="84">
        <f t="shared" si="79"/>
        <v>3</v>
      </c>
      <c r="K808" s="83"/>
      <c r="L808" s="64" t="e">
        <v>#N/A</v>
      </c>
      <c r="M808" s="121">
        <v>0</v>
      </c>
      <c r="N808" s="59" t="str">
        <v>MM</v>
      </c>
      <c r="O808" s="126" t="str">
        <v>なな</v>
      </c>
      <c r="P808" s="126">
        <v>0</v>
      </c>
      <c r="Q808" s="127" t="str">
        <v>んｍ</v>
      </c>
      <c r="R808" s="84">
        <v>3</v>
      </c>
      <c r="T808" s="100" t="e">
        <v>#N/A</v>
      </c>
      <c r="U808" s="121">
        <v>0</v>
      </c>
      <c r="V808" s="59" t="str">
        <v>MM</v>
      </c>
      <c r="W808" s="126" t="str">
        <v>なな</v>
      </c>
      <c r="X808" s="126">
        <v>0</v>
      </c>
      <c r="Y808" s="127" t="str">
        <v>んｍ</v>
      </c>
      <c r="Z808" s="90">
        <v>3</v>
      </c>
    </row>
    <row r="809" spans="1:26" x14ac:dyDescent="0.4">
      <c r="A809" s="52">
        <v>808</v>
      </c>
      <c r="B809" s="51">
        <f t="shared" si="74"/>
        <v>27</v>
      </c>
      <c r="C809" s="50">
        <f t="shared" si="75"/>
        <v>28</v>
      </c>
      <c r="D809" s="64" t="e">
        <f t="shared" si="76"/>
        <v>#N/A</v>
      </c>
      <c r="E809" s="121" cm="1">
        <f t="array" ref="E809">INDEX(InputArea,B809,C809)</f>
        <v>0</v>
      </c>
      <c r="F809" s="59" t="str">
        <f t="shared" si="77"/>
        <v>M,</v>
      </c>
      <c r="G809" s="59" t="str">
        <f t="shared" si="78"/>
        <v>なん</v>
      </c>
      <c r="H809" s="137" t="s">
        <v>615</v>
      </c>
      <c r="I809" s="135"/>
      <c r="J809" s="84">
        <f t="shared" si="79"/>
        <v>3</v>
      </c>
      <c r="K809" s="83"/>
      <c r="L809" s="64" t="e">
        <v>#N/A</v>
      </c>
      <c r="M809" s="121">
        <v>0</v>
      </c>
      <c r="N809" s="59" t="str">
        <v>M,</v>
      </c>
      <c r="O809" s="126" t="str">
        <v>なん</v>
      </c>
      <c r="P809" s="126" t="str">
        <v>編集</v>
      </c>
      <c r="Q809" s="127">
        <v>0</v>
      </c>
      <c r="R809" s="84">
        <v>3</v>
      </c>
      <c r="T809" s="100" t="e">
        <v>#N/A</v>
      </c>
      <c r="U809" s="121">
        <v>0</v>
      </c>
      <c r="V809" s="59" t="str">
        <v>M,</v>
      </c>
      <c r="W809" s="126" t="str">
        <v>なん</v>
      </c>
      <c r="X809" s="126" t="str">
        <v>編集</v>
      </c>
      <c r="Y809" s="127">
        <v>0</v>
      </c>
      <c r="Z809" s="90">
        <v>3</v>
      </c>
    </row>
    <row r="810" spans="1:26" x14ac:dyDescent="0.4">
      <c r="A810" s="52">
        <v>809</v>
      </c>
      <c r="B810" s="51">
        <f t="shared" si="74"/>
        <v>27</v>
      </c>
      <c r="C810" s="50">
        <f t="shared" si="75"/>
        <v>29</v>
      </c>
      <c r="D810" s="64" t="e">
        <f t="shared" si="76"/>
        <v>#N/A</v>
      </c>
      <c r="E810" s="121" cm="1">
        <f t="array" ref="E810">INDEX(InputArea,B810,C810)</f>
        <v>0</v>
      </c>
      <c r="F810" s="59" t="str">
        <f t="shared" si="77"/>
        <v>M.</v>
      </c>
      <c r="G810" s="59" t="str">
        <f t="shared" si="78"/>
        <v>なら</v>
      </c>
      <c r="H810" s="134"/>
      <c r="I810" s="135"/>
      <c r="J810" s="84">
        <f t="shared" si="79"/>
        <v>3</v>
      </c>
      <c r="K810" s="83"/>
      <c r="L810" s="64" t="e">
        <v>#N/A</v>
      </c>
      <c r="M810" s="121">
        <v>0</v>
      </c>
      <c r="N810" s="59" t="str">
        <v>M.</v>
      </c>
      <c r="O810" s="126" t="str">
        <v>なら</v>
      </c>
      <c r="P810" s="126">
        <v>0</v>
      </c>
      <c r="Q810" s="127">
        <v>0</v>
      </c>
      <c r="R810" s="84">
        <v>3</v>
      </c>
      <c r="T810" s="100" t="e">
        <v>#N/A</v>
      </c>
      <c r="U810" s="121">
        <v>0</v>
      </c>
      <c r="V810" s="59" t="str">
        <v>M.</v>
      </c>
      <c r="W810" s="126" t="str">
        <v>なら</v>
      </c>
      <c r="X810" s="126">
        <v>0</v>
      </c>
      <c r="Y810" s="127">
        <v>0</v>
      </c>
      <c r="Z810" s="90">
        <v>3</v>
      </c>
    </row>
    <row r="811" spans="1:26" x14ac:dyDescent="0.4">
      <c r="A811" s="52">
        <v>810</v>
      </c>
      <c r="B811" s="51">
        <f t="shared" si="74"/>
        <v>27</v>
      </c>
      <c r="C811" s="50">
        <f t="shared" si="75"/>
        <v>30</v>
      </c>
      <c r="D811" s="64" t="e">
        <f t="shared" si="76"/>
        <v>#N/A</v>
      </c>
      <c r="E811" s="121" cm="1">
        <f t="array" ref="E811">INDEX(InputArea,B811,C811)</f>
        <v>0</v>
      </c>
      <c r="F811" s="59" t="str">
        <f t="shared" si="77"/>
        <v>M/</v>
      </c>
      <c r="G811" s="59" t="str">
        <f t="shared" si="78"/>
        <v>なれ</v>
      </c>
      <c r="H811" s="134"/>
      <c r="I811" s="135"/>
      <c r="J811" s="84">
        <f t="shared" si="79"/>
        <v>3</v>
      </c>
      <c r="K811" s="83"/>
      <c r="L811" s="64" t="e">
        <v>#N/A</v>
      </c>
      <c r="M811" s="121">
        <v>0</v>
      </c>
      <c r="N811" s="59" t="str">
        <v>M/</v>
      </c>
      <c r="O811" s="126" t="str">
        <v>なれ</v>
      </c>
      <c r="P811" s="126">
        <v>0</v>
      </c>
      <c r="Q811" s="127">
        <v>0</v>
      </c>
      <c r="R811" s="84">
        <v>3</v>
      </c>
      <c r="T811" s="100" t="e">
        <v>#N/A</v>
      </c>
      <c r="U811" s="121">
        <v>0</v>
      </c>
      <c r="V811" s="59" t="str">
        <v>M/</v>
      </c>
      <c r="W811" s="126" t="str">
        <v>なれ</v>
      </c>
      <c r="X811" s="126">
        <v>0</v>
      </c>
      <c r="Y811" s="127">
        <v>0</v>
      </c>
      <c r="Z811" s="90">
        <v>3</v>
      </c>
    </row>
    <row r="812" spans="1:26" x14ac:dyDescent="0.4">
      <c r="A812" s="52">
        <v>811</v>
      </c>
      <c r="B812" s="51">
        <f t="shared" si="74"/>
        <v>28</v>
      </c>
      <c r="C812" s="50">
        <f t="shared" si="75"/>
        <v>1</v>
      </c>
      <c r="D812" s="64" t="e">
        <f t="shared" si="76"/>
        <v>#N/A</v>
      </c>
      <c r="E812" s="121" cm="1">
        <f t="array" ref="E812">INDEX(InputArea,B812,C812)</f>
        <v>0</v>
      </c>
      <c r="F812" s="59" t="str">
        <f t="shared" si="77"/>
        <v>,Q</v>
      </c>
      <c r="G812" s="59" t="str">
        <f t="shared" si="78"/>
        <v>んヴ</v>
      </c>
      <c r="H812" s="134"/>
      <c r="I812" s="136" t="s">
        <v>564</v>
      </c>
      <c r="J812" s="84">
        <f t="shared" si="79"/>
        <v>2</v>
      </c>
      <c r="K812" s="83"/>
      <c r="L812" s="64" t="e">
        <v>#N/A</v>
      </c>
      <c r="M812" s="121">
        <v>0</v>
      </c>
      <c r="N812" s="59" t="str">
        <v>,Q</v>
      </c>
      <c r="O812" s="126" t="str">
        <v>んヴ</v>
      </c>
      <c r="P812" s="126">
        <v>0</v>
      </c>
      <c r="Q812" s="127" t="str">
        <v>、ｑ</v>
      </c>
      <c r="R812" s="84">
        <v>2</v>
      </c>
      <c r="T812" s="100" t="e">
        <v>#N/A</v>
      </c>
      <c r="U812" s="121">
        <v>0</v>
      </c>
      <c r="V812" s="59" t="str">
        <v>,Q</v>
      </c>
      <c r="W812" s="126" t="str">
        <v>んヴ</v>
      </c>
      <c r="X812" s="126">
        <v>0</v>
      </c>
      <c r="Y812" s="127" t="str">
        <v>、ｑ</v>
      </c>
      <c r="Z812" s="90">
        <v>2</v>
      </c>
    </row>
    <row r="813" spans="1:26" x14ac:dyDescent="0.4">
      <c r="A813" s="52">
        <v>812</v>
      </c>
      <c r="B813" s="51">
        <f t="shared" si="74"/>
        <v>28</v>
      </c>
      <c r="C813" s="50">
        <f t="shared" si="75"/>
        <v>2</v>
      </c>
      <c r="D813" s="64" t="e">
        <f t="shared" si="76"/>
        <v>#N/A</v>
      </c>
      <c r="E813" s="121" cm="1">
        <f t="array" ref="E813">INDEX(InputArea,B813,C813)</f>
        <v>0</v>
      </c>
      <c r="F813" s="59" t="str">
        <f t="shared" si="77"/>
        <v>,W</v>
      </c>
      <c r="G813" s="59" t="str">
        <f t="shared" si="78"/>
        <v>んき</v>
      </c>
      <c r="H813" s="134"/>
      <c r="I813" s="136" t="s">
        <v>565</v>
      </c>
      <c r="J813" s="84">
        <f t="shared" si="79"/>
        <v>2</v>
      </c>
      <c r="K813" s="83"/>
      <c r="L813" s="64" t="e">
        <v>#N/A</v>
      </c>
      <c r="M813" s="121">
        <v>0</v>
      </c>
      <c r="N813" s="59" t="str">
        <v>,W</v>
      </c>
      <c r="O813" s="126" t="str">
        <v>んき</v>
      </c>
      <c r="P813" s="126">
        <v>0</v>
      </c>
      <c r="Q813" s="127" t="str">
        <v>、ｗ</v>
      </c>
      <c r="R813" s="84">
        <v>2</v>
      </c>
      <c r="T813" s="100" t="e">
        <v>#N/A</v>
      </c>
      <c r="U813" s="121">
        <v>0</v>
      </c>
      <c r="V813" s="59" t="str">
        <v>,W</v>
      </c>
      <c r="W813" s="126" t="str">
        <v>んき</v>
      </c>
      <c r="X813" s="126">
        <v>0</v>
      </c>
      <c r="Y813" s="127" t="str">
        <v>、ｗ</v>
      </c>
      <c r="Z813" s="90">
        <v>2</v>
      </c>
    </row>
    <row r="814" spans="1:26" x14ac:dyDescent="0.4">
      <c r="A814" s="52">
        <v>813</v>
      </c>
      <c r="B814" s="51">
        <f t="shared" si="74"/>
        <v>28</v>
      </c>
      <c r="C814" s="50">
        <f t="shared" si="75"/>
        <v>3</v>
      </c>
      <c r="D814" s="64" t="e">
        <f t="shared" si="76"/>
        <v>#N/A</v>
      </c>
      <c r="E814" s="121" cm="1">
        <f t="array" ref="E814">INDEX(InputArea,B814,C814)</f>
        <v>0</v>
      </c>
      <c r="F814" s="59" t="str">
        <f t="shared" si="77"/>
        <v>,E</v>
      </c>
      <c r="G814" s="59" t="str">
        <f t="shared" si="78"/>
        <v>んて</v>
      </c>
      <c r="H814" s="134"/>
      <c r="I814" s="136" t="s">
        <v>563</v>
      </c>
      <c r="J814" s="84">
        <f t="shared" si="79"/>
        <v>2</v>
      </c>
      <c r="K814" s="83"/>
      <c r="L814" s="64" t="e">
        <v>#N/A</v>
      </c>
      <c r="M814" s="121">
        <v>0</v>
      </c>
      <c r="N814" s="59" t="str">
        <v>,E</v>
      </c>
      <c r="O814" s="126" t="str">
        <v>んて</v>
      </c>
      <c r="P814" s="126">
        <v>0</v>
      </c>
      <c r="Q814" s="127" t="str">
        <v>、え</v>
      </c>
      <c r="R814" s="84">
        <v>2</v>
      </c>
      <c r="T814" s="100" t="e">
        <v>#N/A</v>
      </c>
      <c r="U814" s="121">
        <v>0</v>
      </c>
      <c r="V814" s="59" t="str">
        <v>,E</v>
      </c>
      <c r="W814" s="126" t="str">
        <v>んて</v>
      </c>
      <c r="X814" s="126">
        <v>0</v>
      </c>
      <c r="Y814" s="127" t="str">
        <v>、え</v>
      </c>
      <c r="Z814" s="90">
        <v>2</v>
      </c>
    </row>
    <row r="815" spans="1:26" x14ac:dyDescent="0.4">
      <c r="A815" s="52">
        <v>814</v>
      </c>
      <c r="B815" s="51">
        <f t="shared" si="74"/>
        <v>28</v>
      </c>
      <c r="C815" s="50">
        <f t="shared" si="75"/>
        <v>4</v>
      </c>
      <c r="D815" s="64" t="e">
        <f t="shared" si="76"/>
        <v>#N/A</v>
      </c>
      <c r="E815" s="121" cm="1">
        <f t="array" ref="E815">INDEX(InputArea,B815,C815)</f>
        <v>0</v>
      </c>
      <c r="F815" s="59" t="str">
        <f t="shared" si="77"/>
        <v>,R</v>
      </c>
      <c r="G815" s="59" t="str">
        <f t="shared" si="78"/>
        <v>んし</v>
      </c>
      <c r="H815" s="134"/>
      <c r="I815" s="136" t="s">
        <v>566</v>
      </c>
      <c r="J815" s="84">
        <f t="shared" si="79"/>
        <v>2</v>
      </c>
      <c r="K815" s="83"/>
      <c r="L815" s="64" t="e">
        <v>#N/A</v>
      </c>
      <c r="M815" s="121">
        <v>0</v>
      </c>
      <c r="N815" s="59" t="str">
        <v>,R</v>
      </c>
      <c r="O815" s="126" t="str">
        <v>んし</v>
      </c>
      <c r="P815" s="126">
        <v>0</v>
      </c>
      <c r="Q815" s="127" t="str">
        <v>、ｒ</v>
      </c>
      <c r="R815" s="84">
        <v>2</v>
      </c>
      <c r="T815" s="100" t="e">
        <v>#N/A</v>
      </c>
      <c r="U815" s="121">
        <v>0</v>
      </c>
      <c r="V815" s="59" t="str">
        <v>,R</v>
      </c>
      <c r="W815" s="126" t="str">
        <v>んし</v>
      </c>
      <c r="X815" s="126">
        <v>0</v>
      </c>
      <c r="Y815" s="127" t="str">
        <v>、ｒ</v>
      </c>
      <c r="Z815" s="90">
        <v>2</v>
      </c>
    </row>
    <row r="816" spans="1:26" x14ac:dyDescent="0.4">
      <c r="A816" s="52">
        <v>815</v>
      </c>
      <c r="B816" s="51">
        <f t="shared" si="74"/>
        <v>28</v>
      </c>
      <c r="C816" s="50">
        <f t="shared" si="75"/>
        <v>5</v>
      </c>
      <c r="D816" s="64" t="e">
        <f t="shared" si="76"/>
        <v>#N/A</v>
      </c>
      <c r="E816" s="121" cm="1">
        <f t="array" ref="E816">INDEX(InputArea,B816,C816)</f>
        <v>0</v>
      </c>
      <c r="F816" s="59" t="str">
        <f t="shared" si="77"/>
        <v>,T</v>
      </c>
      <c r="G816" s="59" t="str">
        <f t="shared" si="78"/>
        <v>ん←</v>
      </c>
      <c r="H816" s="134"/>
      <c r="I816" s="136" t="s">
        <v>567</v>
      </c>
      <c r="J816" s="84">
        <f t="shared" si="79"/>
        <v>2</v>
      </c>
      <c r="K816" s="83"/>
      <c r="L816" s="64" t="e">
        <v>#N/A</v>
      </c>
      <c r="M816" s="121">
        <v>0</v>
      </c>
      <c r="N816" s="59" t="str">
        <v>,T</v>
      </c>
      <c r="O816" s="126" t="str">
        <v>ん←</v>
      </c>
      <c r="P816" s="126">
        <v>0</v>
      </c>
      <c r="Q816" s="127" t="str">
        <v>、ｔ</v>
      </c>
      <c r="R816" s="84">
        <v>2</v>
      </c>
      <c r="T816" s="100" t="e">
        <v>#N/A</v>
      </c>
      <c r="U816" s="121">
        <v>0</v>
      </c>
      <c r="V816" s="59" t="str">
        <v>,T</v>
      </c>
      <c r="W816" s="126" t="str">
        <v>ん←</v>
      </c>
      <c r="X816" s="126">
        <v>0</v>
      </c>
      <c r="Y816" s="127" t="str">
        <v>、ｔ</v>
      </c>
      <c r="Z816" s="90">
        <v>2</v>
      </c>
    </row>
    <row r="817" spans="1:26" x14ac:dyDescent="0.4">
      <c r="A817" s="52">
        <v>816</v>
      </c>
      <c r="B817" s="51">
        <f t="shared" si="74"/>
        <v>28</v>
      </c>
      <c r="C817" s="50">
        <f t="shared" si="75"/>
        <v>6</v>
      </c>
      <c r="D817" s="64" t="e">
        <f t="shared" si="76"/>
        <v>#N/A</v>
      </c>
      <c r="E817" s="121" cm="1">
        <f t="array" ref="E817">INDEX(InputArea,B817,C817)</f>
        <v>0</v>
      </c>
      <c r="F817" s="59" t="str">
        <f t="shared" si="77"/>
        <v>,A</v>
      </c>
      <c r="G817" s="59" t="str">
        <f t="shared" si="78"/>
        <v>んろ</v>
      </c>
      <c r="H817" s="134"/>
      <c r="I817" s="136" t="s">
        <v>568</v>
      </c>
      <c r="J817" s="84">
        <f t="shared" si="79"/>
        <v>2</v>
      </c>
      <c r="K817" s="83"/>
      <c r="L817" s="64" t="e">
        <v>#N/A</v>
      </c>
      <c r="M817" s="121">
        <v>0</v>
      </c>
      <c r="N817" s="59" t="str">
        <v>,A</v>
      </c>
      <c r="O817" s="126" t="str">
        <v>んろ</v>
      </c>
      <c r="P817" s="126">
        <v>0</v>
      </c>
      <c r="Q817" s="127" t="str">
        <v>、あ</v>
      </c>
      <c r="R817" s="84">
        <v>2</v>
      </c>
      <c r="T817" s="100" t="e">
        <v>#N/A</v>
      </c>
      <c r="U817" s="121">
        <v>0</v>
      </c>
      <c r="V817" s="59" t="str">
        <v>,A</v>
      </c>
      <c r="W817" s="126" t="str">
        <v>んろ</v>
      </c>
      <c r="X817" s="126">
        <v>0</v>
      </c>
      <c r="Y817" s="127" t="str">
        <v>、あ</v>
      </c>
      <c r="Z817" s="90">
        <v>2</v>
      </c>
    </row>
    <row r="818" spans="1:26" x14ac:dyDescent="0.4">
      <c r="A818" s="52">
        <v>817</v>
      </c>
      <c r="B818" s="51">
        <f t="shared" si="74"/>
        <v>28</v>
      </c>
      <c r="C818" s="50">
        <f t="shared" si="75"/>
        <v>7</v>
      </c>
      <c r="D818" s="64" t="e">
        <f t="shared" si="76"/>
        <v>#N/A</v>
      </c>
      <c r="E818" s="121" cm="1">
        <f t="array" ref="E818">INDEX(InputArea,B818,C818)</f>
        <v>0</v>
      </c>
      <c r="F818" s="59" t="str">
        <f t="shared" si="77"/>
        <v>,S</v>
      </c>
      <c r="G818" s="59" t="str">
        <f t="shared" si="78"/>
        <v>んけ</v>
      </c>
      <c r="H818" s="134"/>
      <c r="I818" s="136" t="s">
        <v>569</v>
      </c>
      <c r="J818" s="84">
        <f t="shared" si="79"/>
        <v>2</v>
      </c>
      <c r="K818" s="83"/>
      <c r="L818" s="64" t="e">
        <v>#N/A</v>
      </c>
      <c r="M818" s="121">
        <v>0</v>
      </c>
      <c r="N818" s="59" t="str">
        <v>,S</v>
      </c>
      <c r="O818" s="126" t="str">
        <v>んけ</v>
      </c>
      <c r="P818" s="126">
        <v>0</v>
      </c>
      <c r="Q818" s="127" t="str">
        <v>、ｓ</v>
      </c>
      <c r="R818" s="84">
        <v>2</v>
      </c>
      <c r="T818" s="100" t="e">
        <v>#N/A</v>
      </c>
      <c r="U818" s="121">
        <v>0</v>
      </c>
      <c r="V818" s="59" t="str">
        <v>,S</v>
      </c>
      <c r="W818" s="126" t="str">
        <v>んけ</v>
      </c>
      <c r="X818" s="126">
        <v>0</v>
      </c>
      <c r="Y818" s="127" t="str">
        <v>、ｓ</v>
      </c>
      <c r="Z818" s="90">
        <v>2</v>
      </c>
    </row>
    <row r="819" spans="1:26" x14ac:dyDescent="0.4">
      <c r="A819" s="52">
        <v>818</v>
      </c>
      <c r="B819" s="51">
        <f t="shared" si="74"/>
        <v>28</v>
      </c>
      <c r="C819" s="50">
        <f t="shared" si="75"/>
        <v>8</v>
      </c>
      <c r="D819" s="64" t="e">
        <f t="shared" si="76"/>
        <v>#N/A</v>
      </c>
      <c r="E819" s="121" cm="1">
        <f t="array" ref="E819">INDEX(InputArea,B819,C819)</f>
        <v>0</v>
      </c>
      <c r="F819" s="59" t="str">
        <f t="shared" si="77"/>
        <v>,D</v>
      </c>
      <c r="G819" s="59" t="str">
        <f t="shared" si="78"/>
        <v>んと</v>
      </c>
      <c r="H819" s="134"/>
      <c r="I819" s="136" t="s">
        <v>570</v>
      </c>
      <c r="J819" s="84">
        <f t="shared" si="79"/>
        <v>2</v>
      </c>
      <c r="K819" s="83"/>
      <c r="L819" s="64" t="e">
        <v>#N/A</v>
      </c>
      <c r="M819" s="121">
        <v>0</v>
      </c>
      <c r="N819" s="59" t="str">
        <v>,D</v>
      </c>
      <c r="O819" s="126" t="str">
        <v>んと</v>
      </c>
      <c r="P819" s="126">
        <v>0</v>
      </c>
      <c r="Q819" s="127" t="str">
        <v>、ｄ</v>
      </c>
      <c r="R819" s="84">
        <v>2</v>
      </c>
      <c r="T819" s="100" t="e">
        <v>#N/A</v>
      </c>
      <c r="U819" s="121">
        <v>0</v>
      </c>
      <c r="V819" s="59" t="str">
        <v>,D</v>
      </c>
      <c r="W819" s="126" t="str">
        <v>んと</v>
      </c>
      <c r="X819" s="126">
        <v>0</v>
      </c>
      <c r="Y819" s="127" t="str">
        <v>、ｄ</v>
      </c>
      <c r="Z819" s="90">
        <v>2</v>
      </c>
    </row>
    <row r="820" spans="1:26" x14ac:dyDescent="0.4">
      <c r="A820" s="52">
        <v>819</v>
      </c>
      <c r="B820" s="51">
        <f t="shared" si="74"/>
        <v>28</v>
      </c>
      <c r="C820" s="50">
        <f t="shared" si="75"/>
        <v>9</v>
      </c>
      <c r="D820" s="64" t="e">
        <f t="shared" si="76"/>
        <v>#N/A</v>
      </c>
      <c r="E820" s="121" cm="1">
        <f t="array" ref="E820">INDEX(InputArea,B820,C820)</f>
        <v>0</v>
      </c>
      <c r="F820" s="59" t="str">
        <f t="shared" si="77"/>
        <v>,F</v>
      </c>
      <c r="G820" s="59" t="str">
        <f t="shared" si="78"/>
        <v>んか</v>
      </c>
      <c r="H820" s="134"/>
      <c r="I820" s="136" t="s">
        <v>571</v>
      </c>
      <c r="J820" s="84">
        <f t="shared" si="79"/>
        <v>2</v>
      </c>
      <c r="K820" s="83"/>
      <c r="L820" s="64" t="e">
        <v>#N/A</v>
      </c>
      <c r="M820" s="121">
        <v>0</v>
      </c>
      <c r="N820" s="59" t="str">
        <v>,F</v>
      </c>
      <c r="O820" s="126" t="str">
        <v>んか</v>
      </c>
      <c r="P820" s="126">
        <v>0</v>
      </c>
      <c r="Q820" s="127" t="str">
        <v>、ｆ</v>
      </c>
      <c r="R820" s="84">
        <v>2</v>
      </c>
      <c r="T820" s="100" t="e">
        <v>#N/A</v>
      </c>
      <c r="U820" s="121">
        <v>0</v>
      </c>
      <c r="V820" s="59" t="str">
        <v>,F</v>
      </c>
      <c r="W820" s="126" t="str">
        <v>んか</v>
      </c>
      <c r="X820" s="126">
        <v>0</v>
      </c>
      <c r="Y820" s="127" t="str">
        <v>、ｆ</v>
      </c>
      <c r="Z820" s="90">
        <v>2</v>
      </c>
    </row>
    <row r="821" spans="1:26" x14ac:dyDescent="0.4">
      <c r="A821" s="52">
        <v>820</v>
      </c>
      <c r="B821" s="51">
        <f t="shared" si="74"/>
        <v>28</v>
      </c>
      <c r="C821" s="50">
        <f t="shared" si="75"/>
        <v>10</v>
      </c>
      <c r="D821" s="64" t="e">
        <f t="shared" si="76"/>
        <v>#N/A</v>
      </c>
      <c r="E821" s="121" cm="1">
        <f t="array" ref="E821">INDEX(InputArea,B821,C821)</f>
        <v>0</v>
      </c>
      <c r="F821" s="59" t="str">
        <f t="shared" si="77"/>
        <v>,G</v>
      </c>
      <c r="G821" s="59" t="str">
        <f t="shared" si="78"/>
        <v>んっ</v>
      </c>
      <c r="H821" s="134"/>
      <c r="I821" s="136" t="s">
        <v>572</v>
      </c>
      <c r="J821" s="84">
        <f t="shared" si="79"/>
        <v>2</v>
      </c>
      <c r="K821" s="83"/>
      <c r="L821" s="64" t="e">
        <v>#N/A</v>
      </c>
      <c r="M821" s="121">
        <v>0</v>
      </c>
      <c r="N821" s="59" t="str">
        <v>,G</v>
      </c>
      <c r="O821" s="126" t="str">
        <v>んっ</v>
      </c>
      <c r="P821" s="126">
        <v>0</v>
      </c>
      <c r="Q821" s="127" t="str">
        <v>、ｇ</v>
      </c>
      <c r="R821" s="84">
        <v>2</v>
      </c>
      <c r="T821" s="100" t="e">
        <v>#N/A</v>
      </c>
      <c r="U821" s="121">
        <v>0</v>
      </c>
      <c r="V821" s="59" t="str">
        <v>,G</v>
      </c>
      <c r="W821" s="126" t="str">
        <v>んっ</v>
      </c>
      <c r="X821" s="126">
        <v>0</v>
      </c>
      <c r="Y821" s="127" t="str">
        <v>、ｇ</v>
      </c>
      <c r="Z821" s="90">
        <v>2</v>
      </c>
    </row>
    <row r="822" spans="1:26" x14ac:dyDescent="0.4">
      <c r="A822" s="52">
        <v>821</v>
      </c>
      <c r="B822" s="51">
        <f t="shared" si="74"/>
        <v>28</v>
      </c>
      <c r="C822" s="50">
        <f t="shared" si="75"/>
        <v>11</v>
      </c>
      <c r="D822" s="64" t="e">
        <f t="shared" si="76"/>
        <v>#N/A</v>
      </c>
      <c r="E822" s="121" cm="1">
        <f t="array" ref="E822">INDEX(InputArea,B822,C822)</f>
        <v>0</v>
      </c>
      <c r="F822" s="59" t="str">
        <f t="shared" si="77"/>
        <v>,Z</v>
      </c>
      <c r="G822" s="59" t="str">
        <f t="shared" si="78"/>
        <v>んほ</v>
      </c>
      <c r="H822" s="134"/>
      <c r="I822" s="136" t="s">
        <v>573</v>
      </c>
      <c r="J822" s="84">
        <f t="shared" si="79"/>
        <v>2</v>
      </c>
      <c r="K822" s="83"/>
      <c r="L822" s="64" t="e">
        <v>#N/A</v>
      </c>
      <c r="M822" s="121">
        <v>0</v>
      </c>
      <c r="N822" s="59" t="str">
        <v>,Z</v>
      </c>
      <c r="O822" s="126" t="str">
        <v>んほ</v>
      </c>
      <c r="P822" s="126">
        <v>0</v>
      </c>
      <c r="Q822" s="127" t="str">
        <v>、ｚ</v>
      </c>
      <c r="R822" s="84">
        <v>2</v>
      </c>
      <c r="T822" s="100" t="e">
        <v>#N/A</v>
      </c>
      <c r="U822" s="121">
        <v>0</v>
      </c>
      <c r="V822" s="59" t="str">
        <v>,Z</v>
      </c>
      <c r="W822" s="126" t="str">
        <v>んほ</v>
      </c>
      <c r="X822" s="126">
        <v>0</v>
      </c>
      <c r="Y822" s="127" t="str">
        <v>、ｚ</v>
      </c>
      <c r="Z822" s="90">
        <v>2</v>
      </c>
    </row>
    <row r="823" spans="1:26" x14ac:dyDescent="0.4">
      <c r="A823" s="52">
        <v>822</v>
      </c>
      <c r="B823" s="51">
        <f t="shared" si="74"/>
        <v>28</v>
      </c>
      <c r="C823" s="50">
        <f t="shared" si="75"/>
        <v>12</v>
      </c>
      <c r="D823" s="64" t="e">
        <f t="shared" si="76"/>
        <v>#N/A</v>
      </c>
      <c r="E823" s="121" cm="1">
        <f t="array" ref="E823">INDEX(InputArea,B823,C823)</f>
        <v>0</v>
      </c>
      <c r="F823" s="59" t="str">
        <f t="shared" si="77"/>
        <v>,X</v>
      </c>
      <c r="G823" s="59" t="str">
        <f t="shared" si="78"/>
        <v>んひ</v>
      </c>
      <c r="H823" s="134"/>
      <c r="I823" s="136" t="s">
        <v>574</v>
      </c>
      <c r="J823" s="84">
        <f t="shared" si="79"/>
        <v>2</v>
      </c>
      <c r="K823" s="83"/>
      <c r="L823" s="64" t="e">
        <v>#N/A</v>
      </c>
      <c r="M823" s="121">
        <v>0</v>
      </c>
      <c r="N823" s="59" t="str">
        <v>,X</v>
      </c>
      <c r="O823" s="126" t="str">
        <v>んひ</v>
      </c>
      <c r="P823" s="126">
        <v>0</v>
      </c>
      <c r="Q823" s="127" t="str">
        <v>、ｘ</v>
      </c>
      <c r="R823" s="84">
        <v>2</v>
      </c>
      <c r="T823" s="100" t="e">
        <v>#N/A</v>
      </c>
      <c r="U823" s="121">
        <v>0</v>
      </c>
      <c r="V823" s="59" t="str">
        <v>,X</v>
      </c>
      <c r="W823" s="126" t="str">
        <v>んひ</v>
      </c>
      <c r="X823" s="126">
        <v>0</v>
      </c>
      <c r="Y823" s="127" t="str">
        <v>、ｘ</v>
      </c>
      <c r="Z823" s="90">
        <v>2</v>
      </c>
    </row>
    <row r="824" spans="1:26" x14ac:dyDescent="0.4">
      <c r="A824" s="52">
        <v>823</v>
      </c>
      <c r="B824" s="51">
        <f t="shared" si="74"/>
        <v>28</v>
      </c>
      <c r="C824" s="50">
        <f t="shared" si="75"/>
        <v>13</v>
      </c>
      <c r="D824" s="64" t="e">
        <f t="shared" si="76"/>
        <v>#N/A</v>
      </c>
      <c r="E824" s="121" cm="1">
        <f t="array" ref="E824">INDEX(InputArea,B824,C824)</f>
        <v>0</v>
      </c>
      <c r="F824" s="59" t="str">
        <f t="shared" si="77"/>
        <v>,C</v>
      </c>
      <c r="G824" s="59" t="str">
        <f t="shared" si="78"/>
        <v>んは</v>
      </c>
      <c r="H824" s="134"/>
      <c r="I824" s="136" t="s">
        <v>575</v>
      </c>
      <c r="J824" s="84">
        <f t="shared" si="79"/>
        <v>2</v>
      </c>
      <c r="K824" s="83"/>
      <c r="L824" s="64" t="e">
        <v>#N/A</v>
      </c>
      <c r="M824" s="121">
        <v>0</v>
      </c>
      <c r="N824" s="59" t="str">
        <v>,C</v>
      </c>
      <c r="O824" s="126" t="str">
        <v>んは</v>
      </c>
      <c r="P824" s="126">
        <v>0</v>
      </c>
      <c r="Q824" s="127" t="str">
        <v>、ｃ</v>
      </c>
      <c r="R824" s="84">
        <v>2</v>
      </c>
      <c r="T824" s="100" t="e">
        <v>#N/A</v>
      </c>
      <c r="U824" s="121">
        <v>0</v>
      </c>
      <c r="V824" s="59" t="str">
        <v>,C</v>
      </c>
      <c r="W824" s="126" t="str">
        <v>んは</v>
      </c>
      <c r="X824" s="126">
        <v>0</v>
      </c>
      <c r="Y824" s="127" t="str">
        <v>、ｃ</v>
      </c>
      <c r="Z824" s="90">
        <v>2</v>
      </c>
    </row>
    <row r="825" spans="1:26" x14ac:dyDescent="0.4">
      <c r="A825" s="52">
        <v>824</v>
      </c>
      <c r="B825" s="51">
        <f t="shared" si="74"/>
        <v>28</v>
      </c>
      <c r="C825" s="50">
        <f t="shared" si="75"/>
        <v>14</v>
      </c>
      <c r="D825" s="64" t="e">
        <f t="shared" si="76"/>
        <v>#N/A</v>
      </c>
      <c r="E825" s="121" cm="1">
        <f t="array" ref="E825">INDEX(InputArea,B825,C825)</f>
        <v>0</v>
      </c>
      <c r="F825" s="59" t="str">
        <f t="shared" si="77"/>
        <v>,V</v>
      </c>
      <c r="G825" s="59" t="str">
        <f t="shared" si="78"/>
        <v>んこ</v>
      </c>
      <c r="H825" s="134"/>
      <c r="I825" s="136" t="s">
        <v>576</v>
      </c>
      <c r="J825" s="84">
        <f t="shared" si="79"/>
        <v>2</v>
      </c>
      <c r="K825" s="83"/>
      <c r="L825" s="64" t="e">
        <v>#N/A</v>
      </c>
      <c r="M825" s="121">
        <v>0</v>
      </c>
      <c r="N825" s="59" t="str">
        <v>,V</v>
      </c>
      <c r="O825" s="126" t="str">
        <v>んこ</v>
      </c>
      <c r="P825" s="126">
        <v>0</v>
      </c>
      <c r="Q825" s="127" t="str">
        <v>、ｖ</v>
      </c>
      <c r="R825" s="84">
        <v>2</v>
      </c>
      <c r="T825" s="100" t="e">
        <v>#N/A</v>
      </c>
      <c r="U825" s="121">
        <v>0</v>
      </c>
      <c r="V825" s="59" t="str">
        <v>,V</v>
      </c>
      <c r="W825" s="126" t="str">
        <v>んこ</v>
      </c>
      <c r="X825" s="126">
        <v>0</v>
      </c>
      <c r="Y825" s="127" t="str">
        <v>、ｖ</v>
      </c>
      <c r="Z825" s="90">
        <v>2</v>
      </c>
    </row>
    <row r="826" spans="1:26" x14ac:dyDescent="0.4">
      <c r="A826" s="52">
        <v>825</v>
      </c>
      <c r="B826" s="51">
        <f t="shared" si="74"/>
        <v>28</v>
      </c>
      <c r="C826" s="50">
        <f t="shared" si="75"/>
        <v>15</v>
      </c>
      <c r="D826" s="64" t="e">
        <f t="shared" si="76"/>
        <v>#N/A</v>
      </c>
      <c r="E826" s="121" cm="1">
        <f t="array" ref="E826">INDEX(InputArea,B826,C826)</f>
        <v>0</v>
      </c>
      <c r="F826" s="59" t="str">
        <f t="shared" si="77"/>
        <v>,B</v>
      </c>
      <c r="G826" s="59" t="str">
        <f t="shared" si="78"/>
        <v>んそ</v>
      </c>
      <c r="H826" s="134"/>
      <c r="I826" s="136" t="s">
        <v>577</v>
      </c>
      <c r="J826" s="84">
        <f t="shared" si="79"/>
        <v>2</v>
      </c>
      <c r="K826" s="83"/>
      <c r="L826" s="64" t="e">
        <v>#N/A</v>
      </c>
      <c r="M826" s="121">
        <v>0</v>
      </c>
      <c r="N826" s="59" t="str">
        <v>,B</v>
      </c>
      <c r="O826" s="126" t="str">
        <v>んそ</v>
      </c>
      <c r="P826" s="126">
        <v>0</v>
      </c>
      <c r="Q826" s="127" t="str">
        <v>、ｂ</v>
      </c>
      <c r="R826" s="84">
        <v>2</v>
      </c>
      <c r="T826" s="100" t="e">
        <v>#N/A</v>
      </c>
      <c r="U826" s="121">
        <v>0</v>
      </c>
      <c r="V826" s="59" t="str">
        <v>,B</v>
      </c>
      <c r="W826" s="126" t="str">
        <v>んそ</v>
      </c>
      <c r="X826" s="126">
        <v>0</v>
      </c>
      <c r="Y826" s="127" t="str">
        <v>、ｂ</v>
      </c>
      <c r="Z826" s="90">
        <v>2</v>
      </c>
    </row>
    <row r="827" spans="1:26" x14ac:dyDescent="0.4">
      <c r="A827" s="52">
        <v>826</v>
      </c>
      <c r="B827" s="51">
        <f t="shared" si="74"/>
        <v>28</v>
      </c>
      <c r="C827" s="50">
        <f t="shared" si="75"/>
        <v>16</v>
      </c>
      <c r="D827" s="64" t="e">
        <f t="shared" si="76"/>
        <v>#N/A</v>
      </c>
      <c r="E827" s="121" cm="1">
        <f t="array" ref="E827">INDEX(InputArea,B827,C827)</f>
        <v>0</v>
      </c>
      <c r="F827" s="59" t="str">
        <f t="shared" si="77"/>
        <v>,Y</v>
      </c>
      <c r="G827" s="59" t="str">
        <f t="shared" si="78"/>
        <v>ん→</v>
      </c>
      <c r="H827" s="134"/>
      <c r="I827" s="136" t="s">
        <v>578</v>
      </c>
      <c r="J827" s="84">
        <f t="shared" si="79"/>
        <v>3</v>
      </c>
      <c r="K827" s="83"/>
      <c r="L827" s="64" t="e">
        <v>#N/A</v>
      </c>
      <c r="M827" s="121">
        <v>0</v>
      </c>
      <c r="N827" s="59" t="str">
        <v>,Y</v>
      </c>
      <c r="O827" s="126" t="str">
        <v>ん→</v>
      </c>
      <c r="P827" s="126">
        <v>0</v>
      </c>
      <c r="Q827" s="127" t="str">
        <v>、ｙ</v>
      </c>
      <c r="R827" s="84">
        <v>3</v>
      </c>
      <c r="T827" s="100" t="e">
        <v>#N/A</v>
      </c>
      <c r="U827" s="121">
        <v>0</v>
      </c>
      <c r="V827" s="59" t="str">
        <v>,Y</v>
      </c>
      <c r="W827" s="126" t="str">
        <v>ん→</v>
      </c>
      <c r="X827" s="126">
        <v>0</v>
      </c>
      <c r="Y827" s="127" t="str">
        <v>、ｙ</v>
      </c>
      <c r="Z827" s="90">
        <v>3</v>
      </c>
    </row>
    <row r="828" spans="1:26" x14ac:dyDescent="0.4">
      <c r="A828" s="52">
        <v>827</v>
      </c>
      <c r="B828" s="51">
        <f t="shared" si="74"/>
        <v>28</v>
      </c>
      <c r="C828" s="50">
        <f t="shared" si="75"/>
        <v>17</v>
      </c>
      <c r="D828" s="64" t="e">
        <f t="shared" si="76"/>
        <v>#N/A</v>
      </c>
      <c r="E828" s="121" cm="1">
        <f t="array" ref="E828">INDEX(InputArea,B828,C828)</f>
        <v>0</v>
      </c>
      <c r="F828" s="59" t="str">
        <f t="shared" si="77"/>
        <v>,U</v>
      </c>
      <c r="G828" s="59" t="str">
        <f t="shared" si="78"/>
        <v>んBS</v>
      </c>
      <c r="H828" s="134"/>
      <c r="I828" s="136" t="s">
        <v>579</v>
      </c>
      <c r="J828" s="84">
        <f t="shared" si="79"/>
        <v>3</v>
      </c>
      <c r="K828" s="83"/>
      <c r="L828" s="64" t="e">
        <v>#N/A</v>
      </c>
      <c r="M828" s="121">
        <v>0</v>
      </c>
      <c r="N828" s="59" t="str">
        <v>,U</v>
      </c>
      <c r="O828" s="126" t="str">
        <v>んBS</v>
      </c>
      <c r="P828" s="126">
        <v>0</v>
      </c>
      <c r="Q828" s="127" t="str">
        <v>、う</v>
      </c>
      <c r="R828" s="84">
        <v>3</v>
      </c>
      <c r="T828" s="100" t="e">
        <v>#N/A</v>
      </c>
      <c r="U828" s="121">
        <v>0</v>
      </c>
      <c r="V828" s="59" t="str">
        <v>,U</v>
      </c>
      <c r="W828" s="126" t="str">
        <v>んBS</v>
      </c>
      <c r="X828" s="126">
        <v>0</v>
      </c>
      <c r="Y828" s="127" t="str">
        <v>、う</v>
      </c>
      <c r="Z828" s="90">
        <v>3</v>
      </c>
    </row>
    <row r="829" spans="1:26" x14ac:dyDescent="0.4">
      <c r="A829" s="52">
        <v>828</v>
      </c>
      <c r="B829" s="51">
        <f t="shared" si="74"/>
        <v>28</v>
      </c>
      <c r="C829" s="50">
        <f t="shared" si="75"/>
        <v>18</v>
      </c>
      <c r="D829" s="64" t="e">
        <f t="shared" si="76"/>
        <v>#N/A</v>
      </c>
      <c r="E829" s="121" cm="1">
        <f t="array" ref="E829">INDEX(InputArea,B829,C829)</f>
        <v>0</v>
      </c>
      <c r="F829" s="59" t="str">
        <f t="shared" si="77"/>
        <v>,I</v>
      </c>
      <c r="G829" s="59" t="str">
        <f t="shared" si="78"/>
        <v>んる</v>
      </c>
      <c r="H829" s="134"/>
      <c r="I829" s="136" t="s">
        <v>580</v>
      </c>
      <c r="J829" s="84">
        <f t="shared" si="79"/>
        <v>3</v>
      </c>
      <c r="K829" s="83"/>
      <c r="L829" s="64" t="e">
        <v>#N/A</v>
      </c>
      <c r="M829" s="121">
        <v>0</v>
      </c>
      <c r="N829" s="59" t="str">
        <v>,I</v>
      </c>
      <c r="O829" s="126" t="str">
        <v>んる</v>
      </c>
      <c r="P829" s="126">
        <v>0</v>
      </c>
      <c r="Q829" s="127" t="str">
        <v>、い</v>
      </c>
      <c r="R829" s="84">
        <v>3</v>
      </c>
      <c r="T829" s="100" t="e">
        <v>#N/A</v>
      </c>
      <c r="U829" s="121">
        <v>0</v>
      </c>
      <c r="V829" s="59" t="str">
        <v>,I</v>
      </c>
      <c r="W829" s="126" t="str">
        <v>んる</v>
      </c>
      <c r="X829" s="126">
        <v>0</v>
      </c>
      <c r="Y829" s="127" t="str">
        <v>、い</v>
      </c>
      <c r="Z829" s="90">
        <v>3</v>
      </c>
    </row>
    <row r="830" spans="1:26" x14ac:dyDescent="0.4">
      <c r="A830" s="52">
        <v>829</v>
      </c>
      <c r="B830" s="51">
        <f t="shared" si="74"/>
        <v>28</v>
      </c>
      <c r="C830" s="50">
        <f t="shared" si="75"/>
        <v>19</v>
      </c>
      <c r="D830" s="64" t="e">
        <f t="shared" si="76"/>
        <v>#N/A</v>
      </c>
      <c r="E830" s="121" cm="1">
        <f t="array" ref="E830">INDEX(InputArea,B830,C830)</f>
        <v>0</v>
      </c>
      <c r="F830" s="59" t="str">
        <f t="shared" si="77"/>
        <v>,O</v>
      </c>
      <c r="G830" s="59" t="str">
        <f t="shared" si="78"/>
        <v>んす</v>
      </c>
      <c r="H830" s="134"/>
      <c r="I830" s="136" t="s">
        <v>581</v>
      </c>
      <c r="J830" s="84">
        <f t="shared" si="79"/>
        <v>3</v>
      </c>
      <c r="K830" s="83"/>
      <c r="L830" s="64" t="e">
        <v>#N/A</v>
      </c>
      <c r="M830" s="121">
        <v>0</v>
      </c>
      <c r="N830" s="59" t="str">
        <v>,O</v>
      </c>
      <c r="O830" s="126" t="str">
        <v>んす</v>
      </c>
      <c r="P830" s="126">
        <v>0</v>
      </c>
      <c r="Q830" s="127" t="str">
        <v>、お</v>
      </c>
      <c r="R830" s="84">
        <v>3</v>
      </c>
      <c r="T830" s="100" t="e">
        <v>#N/A</v>
      </c>
      <c r="U830" s="121">
        <v>0</v>
      </c>
      <c r="V830" s="59" t="str">
        <v>,O</v>
      </c>
      <c r="W830" s="126" t="str">
        <v>んす</v>
      </c>
      <c r="X830" s="126">
        <v>0</v>
      </c>
      <c r="Y830" s="127" t="str">
        <v>、お</v>
      </c>
      <c r="Z830" s="90">
        <v>3</v>
      </c>
    </row>
    <row r="831" spans="1:26" x14ac:dyDescent="0.4">
      <c r="A831" s="52">
        <v>830</v>
      </c>
      <c r="B831" s="51">
        <f t="shared" si="74"/>
        <v>28</v>
      </c>
      <c r="C831" s="50">
        <f t="shared" si="75"/>
        <v>20</v>
      </c>
      <c r="D831" s="64" t="e">
        <f t="shared" si="76"/>
        <v>#N/A</v>
      </c>
      <c r="E831" s="121" cm="1">
        <f t="array" ref="E831">INDEX(InputArea,B831,C831)</f>
        <v>0</v>
      </c>
      <c r="F831" s="59" t="str">
        <f t="shared" si="77"/>
        <v>,P</v>
      </c>
      <c r="G831" s="59" t="str">
        <f t="shared" si="78"/>
        <v>んへ</v>
      </c>
      <c r="H831" s="134"/>
      <c r="I831" s="136" t="s">
        <v>582</v>
      </c>
      <c r="J831" s="84">
        <f t="shared" si="79"/>
        <v>3</v>
      </c>
      <c r="K831" s="83"/>
      <c r="L831" s="64" t="e">
        <v>#N/A</v>
      </c>
      <c r="M831" s="121">
        <v>0</v>
      </c>
      <c r="N831" s="59" t="str">
        <v>,P</v>
      </c>
      <c r="O831" s="126" t="str">
        <v>んへ</v>
      </c>
      <c r="P831" s="126">
        <v>0</v>
      </c>
      <c r="Q831" s="127" t="str">
        <v>、ｐ</v>
      </c>
      <c r="R831" s="84">
        <v>3</v>
      </c>
      <c r="T831" s="100" t="e">
        <v>#N/A</v>
      </c>
      <c r="U831" s="121">
        <v>0</v>
      </c>
      <c r="V831" s="59" t="str">
        <v>,P</v>
      </c>
      <c r="W831" s="126" t="str">
        <v>んへ</v>
      </c>
      <c r="X831" s="126">
        <v>0</v>
      </c>
      <c r="Y831" s="127" t="str">
        <v>、ｐ</v>
      </c>
      <c r="Z831" s="90">
        <v>3</v>
      </c>
    </row>
    <row r="832" spans="1:26" x14ac:dyDescent="0.4">
      <c r="A832" s="52">
        <v>831</v>
      </c>
      <c r="B832" s="51">
        <f t="shared" si="74"/>
        <v>28</v>
      </c>
      <c r="C832" s="50">
        <f t="shared" si="75"/>
        <v>21</v>
      </c>
      <c r="D832" s="64" t="e">
        <f t="shared" si="76"/>
        <v>#N/A</v>
      </c>
      <c r="E832" s="121" cm="1">
        <f t="array" ref="E832">INDEX(InputArea,B832,C832)</f>
        <v>0</v>
      </c>
      <c r="F832" s="59" t="str">
        <f t="shared" si="77"/>
        <v>,H</v>
      </c>
      <c r="G832" s="59" t="str">
        <f t="shared" si="78"/>
        <v>んく</v>
      </c>
      <c r="H832" s="134"/>
      <c r="I832" s="136" t="s">
        <v>583</v>
      </c>
      <c r="J832" s="84">
        <f t="shared" si="79"/>
        <v>3</v>
      </c>
      <c r="K832" s="83"/>
      <c r="L832" s="64" t="e">
        <v>#N/A</v>
      </c>
      <c r="M832" s="121">
        <v>0</v>
      </c>
      <c r="N832" s="59" t="str">
        <v>,H</v>
      </c>
      <c r="O832" s="126" t="str">
        <v>んく</v>
      </c>
      <c r="P832" s="126">
        <v>0</v>
      </c>
      <c r="Q832" s="127" t="str">
        <v>、ｈ</v>
      </c>
      <c r="R832" s="84">
        <v>3</v>
      </c>
      <c r="T832" s="100" t="e">
        <v>#N/A</v>
      </c>
      <c r="U832" s="121">
        <v>0</v>
      </c>
      <c r="V832" s="59" t="str">
        <v>,H</v>
      </c>
      <c r="W832" s="126" t="str">
        <v>んく</v>
      </c>
      <c r="X832" s="126">
        <v>0</v>
      </c>
      <c r="Y832" s="127" t="str">
        <v>、ｈ</v>
      </c>
      <c r="Z832" s="90">
        <v>3</v>
      </c>
    </row>
    <row r="833" spans="1:26" x14ac:dyDescent="0.4">
      <c r="A833" s="52">
        <v>832</v>
      </c>
      <c r="B833" s="51">
        <f t="shared" si="74"/>
        <v>28</v>
      </c>
      <c r="C833" s="50">
        <f t="shared" si="75"/>
        <v>22</v>
      </c>
      <c r="D833" s="64" t="e">
        <f t="shared" si="76"/>
        <v>#N/A</v>
      </c>
      <c r="E833" s="121" cm="1">
        <f t="array" ref="E833">INDEX(InputArea,B833,C833)</f>
        <v>0</v>
      </c>
      <c r="F833" s="59" t="str">
        <f t="shared" si="77"/>
        <v>,J</v>
      </c>
      <c r="G833" s="59" t="str">
        <f t="shared" si="78"/>
        <v>んあ</v>
      </c>
      <c r="H833" s="134"/>
      <c r="I833" s="136" t="s">
        <v>584</v>
      </c>
      <c r="J833" s="84">
        <f t="shared" si="79"/>
        <v>3</v>
      </c>
      <c r="K833" s="83"/>
      <c r="L833" s="64" t="e">
        <v>#N/A</v>
      </c>
      <c r="M833" s="121">
        <v>0</v>
      </c>
      <c r="N833" s="59" t="str">
        <v>,J</v>
      </c>
      <c r="O833" s="126" t="str">
        <v>んあ</v>
      </c>
      <c r="P833" s="126">
        <v>0</v>
      </c>
      <c r="Q833" s="127" t="str">
        <v>、ｊ</v>
      </c>
      <c r="R833" s="84">
        <v>3</v>
      </c>
      <c r="T833" s="100" t="e">
        <v>#N/A</v>
      </c>
      <c r="U833" s="121">
        <v>0</v>
      </c>
      <c r="V833" s="59" t="str">
        <v>,J</v>
      </c>
      <c r="W833" s="126" t="str">
        <v>んあ</v>
      </c>
      <c r="X833" s="126">
        <v>0</v>
      </c>
      <c r="Y833" s="127" t="str">
        <v>、ｊ</v>
      </c>
      <c r="Z833" s="90">
        <v>3</v>
      </c>
    </row>
    <row r="834" spans="1:26" x14ac:dyDescent="0.4">
      <c r="A834" s="52">
        <v>833</v>
      </c>
      <c r="B834" s="51">
        <f t="shared" ref="B834:B897" si="80">_xlfn.CEILING.MATH(A834/COLUMNS(InputArea))</f>
        <v>28</v>
      </c>
      <c r="C834" s="50">
        <f t="shared" ref="C834:C901" si="81">MOD(A834-1,COLUMNS(InputArea))+1</f>
        <v>23</v>
      </c>
      <c r="D834" s="64" t="e">
        <f t="shared" ref="D834:D897" si="82">_xlfn.RANK.EQ(E834,InputArea,1)</f>
        <v>#N/A</v>
      </c>
      <c r="E834" s="121" cm="1">
        <f t="array" ref="E834">INDEX(InputArea,B834,C834)</f>
        <v>0</v>
      </c>
      <c r="F834" s="59" t="str">
        <f t="shared" ref="F834:F901" si="83">_xlfn.CONCAT(INDEX(RowName,B834),INDEX(ColName,,C834))</f>
        <v>,K</v>
      </c>
      <c r="G834" s="59" t="str">
        <f t="shared" ref="G834:G901" si="84">_xlfn.CONCAT(INDEX(RowKana,B834),INDEX(ColKana,,C834))</f>
        <v>んい</v>
      </c>
      <c r="H834" s="134"/>
      <c r="I834" s="136" t="s">
        <v>585</v>
      </c>
      <c r="J834" s="84">
        <f t="shared" si="79"/>
        <v>3</v>
      </c>
      <c r="K834" s="83"/>
      <c r="L834" s="64" t="e">
        <v>#N/A</v>
      </c>
      <c r="M834" s="121">
        <v>0</v>
      </c>
      <c r="N834" s="59" t="str">
        <v>,K</v>
      </c>
      <c r="O834" s="126" t="str">
        <v>んい</v>
      </c>
      <c r="P834" s="126">
        <v>0</v>
      </c>
      <c r="Q834" s="127" t="str">
        <v>、ｋ</v>
      </c>
      <c r="R834" s="84">
        <v>3</v>
      </c>
      <c r="T834" s="100" t="e">
        <v>#N/A</v>
      </c>
      <c r="U834" s="121">
        <v>0</v>
      </c>
      <c r="V834" s="59" t="str">
        <v>,K</v>
      </c>
      <c r="W834" s="126" t="str">
        <v>んい</v>
      </c>
      <c r="X834" s="126">
        <v>0</v>
      </c>
      <c r="Y834" s="127" t="str">
        <v>、ｋ</v>
      </c>
      <c r="Z834" s="90">
        <v>3</v>
      </c>
    </row>
    <row r="835" spans="1:26" x14ac:dyDescent="0.4">
      <c r="A835" s="52">
        <v>834</v>
      </c>
      <c r="B835" s="51">
        <f t="shared" si="80"/>
        <v>28</v>
      </c>
      <c r="C835" s="50">
        <f t="shared" si="81"/>
        <v>24</v>
      </c>
      <c r="D835" s="64" t="e">
        <f t="shared" si="82"/>
        <v>#N/A</v>
      </c>
      <c r="E835" s="121" cm="1">
        <f t="array" ref="E835">INDEX(InputArea,B835,C835)</f>
        <v>0</v>
      </c>
      <c r="F835" s="59" t="str">
        <f t="shared" si="83"/>
        <v>,L</v>
      </c>
      <c r="G835" s="59" t="str">
        <f t="shared" si="84"/>
        <v>んう</v>
      </c>
      <c r="H835" s="134"/>
      <c r="I835" s="136" t="s">
        <v>586</v>
      </c>
      <c r="J835" s="84">
        <f t="shared" ref="J835:J898" si="85">(_xlfn.CEILING.MATH(B835/15)-1)*2+_xlfn.CEILING.MATH(C835/15)-1</f>
        <v>3</v>
      </c>
      <c r="K835" s="83"/>
      <c r="L835" s="64" t="e">
        <v>#N/A</v>
      </c>
      <c r="M835" s="121">
        <v>0</v>
      </c>
      <c r="N835" s="59" t="str">
        <v>,L</v>
      </c>
      <c r="O835" s="126" t="str">
        <v>んう</v>
      </c>
      <c r="P835" s="126">
        <v>0</v>
      </c>
      <c r="Q835" s="127" t="str">
        <v>、ｌ</v>
      </c>
      <c r="R835" s="84">
        <v>3</v>
      </c>
      <c r="T835" s="100" t="e">
        <v>#N/A</v>
      </c>
      <c r="U835" s="121">
        <v>0</v>
      </c>
      <c r="V835" s="59" t="str">
        <v>,L</v>
      </c>
      <c r="W835" s="126" t="str">
        <v>んう</v>
      </c>
      <c r="X835" s="126">
        <v>0</v>
      </c>
      <c r="Y835" s="127" t="str">
        <v>、ｌ</v>
      </c>
      <c r="Z835" s="90">
        <v>3</v>
      </c>
    </row>
    <row r="836" spans="1:26" x14ac:dyDescent="0.4">
      <c r="A836" s="52">
        <v>835</v>
      </c>
      <c r="B836" s="51">
        <f t="shared" si="80"/>
        <v>28</v>
      </c>
      <c r="C836" s="50">
        <f t="shared" si="81"/>
        <v>25</v>
      </c>
      <c r="D836" s="64" t="e">
        <f t="shared" si="82"/>
        <v>#N/A</v>
      </c>
      <c r="E836" s="121" cm="1">
        <f t="array" ref="E836">INDEX(InputArea,B836,C836)</f>
        <v>0</v>
      </c>
      <c r="F836" s="59" t="str">
        <f t="shared" si="83"/>
        <v>,;</v>
      </c>
      <c r="G836" s="59" t="str">
        <f t="shared" si="84"/>
        <v>んー</v>
      </c>
      <c r="H836" s="134"/>
      <c r="I836" s="135"/>
      <c r="J836" s="84">
        <f t="shared" si="85"/>
        <v>3</v>
      </c>
      <c r="K836" s="83"/>
      <c r="L836" s="64" t="e">
        <v>#N/A</v>
      </c>
      <c r="M836" s="121">
        <v>0</v>
      </c>
      <c r="N836" s="59" t="str">
        <v>,;</v>
      </c>
      <c r="O836" s="126" t="str">
        <v>んー</v>
      </c>
      <c r="P836" s="126">
        <v>0</v>
      </c>
      <c r="Q836" s="127">
        <v>0</v>
      </c>
      <c r="R836" s="84">
        <v>3</v>
      </c>
      <c r="T836" s="100" t="e">
        <v>#N/A</v>
      </c>
      <c r="U836" s="121">
        <v>0</v>
      </c>
      <c r="V836" s="59" t="str">
        <v>,;</v>
      </c>
      <c r="W836" s="126" t="str">
        <v>んー</v>
      </c>
      <c r="X836" s="126">
        <v>0</v>
      </c>
      <c r="Y836" s="127">
        <v>0</v>
      </c>
      <c r="Z836" s="90">
        <v>3</v>
      </c>
    </row>
    <row r="837" spans="1:26" x14ac:dyDescent="0.4">
      <c r="A837" s="52">
        <v>836</v>
      </c>
      <c r="B837" s="51">
        <f t="shared" si="80"/>
        <v>28</v>
      </c>
      <c r="C837" s="50">
        <f t="shared" si="81"/>
        <v>26</v>
      </c>
      <c r="D837" s="64" t="e">
        <f t="shared" si="82"/>
        <v>#N/A</v>
      </c>
      <c r="E837" s="121" cm="1">
        <f t="array" ref="E837">INDEX(InputArea,B837,C837)</f>
        <v>0</v>
      </c>
      <c r="F837" s="59" t="str">
        <f t="shared" si="83"/>
        <v>,N</v>
      </c>
      <c r="G837" s="59" t="str">
        <f t="shared" si="84"/>
        <v>んた</v>
      </c>
      <c r="H837" s="134"/>
      <c r="I837" s="136" t="s">
        <v>587</v>
      </c>
      <c r="J837" s="84">
        <f t="shared" si="85"/>
        <v>3</v>
      </c>
      <c r="K837" s="83"/>
      <c r="L837" s="64" t="e">
        <v>#N/A</v>
      </c>
      <c r="M837" s="121">
        <v>0</v>
      </c>
      <c r="N837" s="59" t="str">
        <v>,N</v>
      </c>
      <c r="O837" s="126" t="str">
        <v>んた</v>
      </c>
      <c r="P837" s="126">
        <v>0</v>
      </c>
      <c r="Q837" s="127" t="str">
        <v>、ｎ</v>
      </c>
      <c r="R837" s="84">
        <v>3</v>
      </c>
      <c r="T837" s="100" t="e">
        <v>#N/A</v>
      </c>
      <c r="U837" s="121">
        <v>0</v>
      </c>
      <c r="V837" s="59" t="str">
        <v>,N</v>
      </c>
      <c r="W837" s="126" t="str">
        <v>んた</v>
      </c>
      <c r="X837" s="126">
        <v>0</v>
      </c>
      <c r="Y837" s="127" t="str">
        <v>、ｎ</v>
      </c>
      <c r="Z837" s="90">
        <v>3</v>
      </c>
    </row>
    <row r="838" spans="1:26" x14ac:dyDescent="0.4">
      <c r="A838" s="52">
        <v>837</v>
      </c>
      <c r="B838" s="51">
        <f t="shared" si="80"/>
        <v>28</v>
      </c>
      <c r="C838" s="50">
        <f t="shared" si="81"/>
        <v>27</v>
      </c>
      <c r="D838" s="64" t="e">
        <f t="shared" si="82"/>
        <v>#N/A</v>
      </c>
      <c r="E838" s="121" cm="1">
        <f t="array" ref="E838">INDEX(InputArea,B838,C838)</f>
        <v>0</v>
      </c>
      <c r="F838" s="59" t="str">
        <f t="shared" si="83"/>
        <v>,M</v>
      </c>
      <c r="G838" s="59" t="str">
        <f t="shared" si="84"/>
        <v>んな</v>
      </c>
      <c r="H838" s="137" t="s">
        <v>616</v>
      </c>
      <c r="I838" s="136" t="s">
        <v>588</v>
      </c>
      <c r="J838" s="84">
        <f t="shared" si="85"/>
        <v>3</v>
      </c>
      <c r="K838" s="83"/>
      <c r="L838" s="64" t="e">
        <v>#N/A</v>
      </c>
      <c r="M838" s="121">
        <v>0</v>
      </c>
      <c r="N838" s="59" t="str">
        <v>,M</v>
      </c>
      <c r="O838" s="126" t="str">
        <v>んな</v>
      </c>
      <c r="P838" s="126" t="str">
        <v>編集</v>
      </c>
      <c r="Q838" s="127" t="str">
        <v>、ｍ</v>
      </c>
      <c r="R838" s="84">
        <v>3</v>
      </c>
      <c r="T838" s="100" t="e">
        <v>#N/A</v>
      </c>
      <c r="U838" s="121">
        <v>0</v>
      </c>
      <c r="V838" s="59" t="str">
        <v>,M</v>
      </c>
      <c r="W838" s="126" t="str">
        <v>んな</v>
      </c>
      <c r="X838" s="126" t="str">
        <v>編集</v>
      </c>
      <c r="Y838" s="127" t="str">
        <v>、ｍ</v>
      </c>
      <c r="Z838" s="90">
        <v>3</v>
      </c>
    </row>
    <row r="839" spans="1:26" x14ac:dyDescent="0.4">
      <c r="A839" s="52">
        <v>838</v>
      </c>
      <c r="B839" s="51">
        <f t="shared" si="80"/>
        <v>28</v>
      </c>
      <c r="C839" s="50">
        <f t="shared" si="81"/>
        <v>28</v>
      </c>
      <c r="D839" s="64" t="e">
        <f t="shared" si="82"/>
        <v>#N/A</v>
      </c>
      <c r="E839" s="121" cm="1">
        <f t="array" ref="E839">INDEX(InputArea,B839,C839)</f>
        <v>0</v>
      </c>
      <c r="F839" s="59" t="str">
        <f t="shared" si="83"/>
        <v>,,</v>
      </c>
      <c r="G839" s="59" t="str">
        <f t="shared" si="84"/>
        <v>んん</v>
      </c>
      <c r="H839" s="134"/>
      <c r="I839" s="135"/>
      <c r="J839" s="84">
        <f t="shared" si="85"/>
        <v>3</v>
      </c>
      <c r="K839" s="83"/>
      <c r="L839" s="64" t="e">
        <v>#N/A</v>
      </c>
      <c r="M839" s="121">
        <v>0</v>
      </c>
      <c r="N839" s="59" t="str">
        <v>,,</v>
      </c>
      <c r="O839" s="126" t="str">
        <v>んん</v>
      </c>
      <c r="P839" s="126">
        <v>0</v>
      </c>
      <c r="Q839" s="127">
        <v>0</v>
      </c>
      <c r="R839" s="84">
        <v>3</v>
      </c>
      <c r="T839" s="100" t="e">
        <v>#N/A</v>
      </c>
      <c r="U839" s="121">
        <v>0</v>
      </c>
      <c r="V839" s="59" t="str">
        <v>,,</v>
      </c>
      <c r="W839" s="126" t="str">
        <v>んん</v>
      </c>
      <c r="X839" s="126">
        <v>0</v>
      </c>
      <c r="Y839" s="127">
        <v>0</v>
      </c>
      <c r="Z839" s="90">
        <v>3</v>
      </c>
    </row>
    <row r="840" spans="1:26" x14ac:dyDescent="0.4">
      <c r="A840" s="52">
        <v>839</v>
      </c>
      <c r="B840" s="51">
        <f t="shared" si="80"/>
        <v>28</v>
      </c>
      <c r="C840" s="50">
        <f t="shared" si="81"/>
        <v>29</v>
      </c>
      <c r="D840" s="64" t="e">
        <f t="shared" si="82"/>
        <v>#N/A</v>
      </c>
      <c r="E840" s="121" cm="1">
        <f t="array" ref="E840">INDEX(InputArea,B840,C840)</f>
        <v>0</v>
      </c>
      <c r="F840" s="59" t="str">
        <f t="shared" si="83"/>
        <v>,.</v>
      </c>
      <c r="G840" s="59" t="str">
        <f t="shared" si="84"/>
        <v>んら</v>
      </c>
      <c r="H840" s="134"/>
      <c r="I840" s="135"/>
      <c r="J840" s="84">
        <f t="shared" si="85"/>
        <v>3</v>
      </c>
      <c r="K840" s="83"/>
      <c r="L840" s="64" t="e">
        <v>#N/A</v>
      </c>
      <c r="M840" s="121">
        <v>0</v>
      </c>
      <c r="N840" s="59" t="str">
        <v>,.</v>
      </c>
      <c r="O840" s="126" t="str">
        <v>んら</v>
      </c>
      <c r="P840" s="126">
        <v>0</v>
      </c>
      <c r="Q840" s="127">
        <v>0</v>
      </c>
      <c r="R840" s="84">
        <v>3</v>
      </c>
      <c r="T840" s="100" t="e">
        <v>#N/A</v>
      </c>
      <c r="U840" s="121">
        <v>0</v>
      </c>
      <c r="V840" s="59" t="str">
        <v>,.</v>
      </c>
      <c r="W840" s="126" t="str">
        <v>んら</v>
      </c>
      <c r="X840" s="126">
        <v>0</v>
      </c>
      <c r="Y840" s="127">
        <v>0</v>
      </c>
      <c r="Z840" s="90">
        <v>3</v>
      </c>
    </row>
    <row r="841" spans="1:26" x14ac:dyDescent="0.4">
      <c r="A841" s="52">
        <v>840</v>
      </c>
      <c r="B841" s="51">
        <f t="shared" si="80"/>
        <v>28</v>
      </c>
      <c r="C841" s="50">
        <f t="shared" si="81"/>
        <v>30</v>
      </c>
      <c r="D841" s="64" t="e">
        <f t="shared" si="82"/>
        <v>#N/A</v>
      </c>
      <c r="E841" s="121" cm="1">
        <f t="array" ref="E841">INDEX(InputArea,B841,C841)</f>
        <v>0</v>
      </c>
      <c r="F841" s="59" t="str">
        <f t="shared" si="83"/>
        <v>,/</v>
      </c>
      <c r="G841" s="59" t="str">
        <f t="shared" si="84"/>
        <v>んれ</v>
      </c>
      <c r="H841" s="134"/>
      <c r="I841" s="135"/>
      <c r="J841" s="84">
        <f t="shared" si="85"/>
        <v>3</v>
      </c>
      <c r="K841" s="83"/>
      <c r="L841" s="64" t="e">
        <v>#N/A</v>
      </c>
      <c r="M841" s="121">
        <v>0</v>
      </c>
      <c r="N841" s="59" t="str">
        <v>,/</v>
      </c>
      <c r="O841" s="126" t="str">
        <v>んれ</v>
      </c>
      <c r="P841" s="126">
        <v>0</v>
      </c>
      <c r="Q841" s="127">
        <v>0</v>
      </c>
      <c r="R841" s="84">
        <v>3</v>
      </c>
      <c r="T841" s="100" t="e">
        <v>#N/A</v>
      </c>
      <c r="U841" s="121">
        <v>0</v>
      </c>
      <c r="V841" s="59" t="str">
        <v>,/</v>
      </c>
      <c r="W841" s="126" t="str">
        <v>んれ</v>
      </c>
      <c r="X841" s="126">
        <v>0</v>
      </c>
      <c r="Y841" s="127">
        <v>0</v>
      </c>
      <c r="Z841" s="90">
        <v>3</v>
      </c>
    </row>
    <row r="842" spans="1:26" x14ac:dyDescent="0.4">
      <c r="A842" s="52">
        <v>841</v>
      </c>
      <c r="B842" s="51">
        <f t="shared" si="80"/>
        <v>29</v>
      </c>
      <c r="C842" s="50">
        <f t="shared" si="81"/>
        <v>1</v>
      </c>
      <c r="D842" s="64" t="e">
        <f t="shared" si="82"/>
        <v>#N/A</v>
      </c>
      <c r="E842" s="121" cm="1">
        <f t="array" ref="E842">INDEX(InputArea,B842,C842)</f>
        <v>0</v>
      </c>
      <c r="F842" s="59" t="str">
        <f t="shared" si="83"/>
        <v>.Q</v>
      </c>
      <c r="G842" s="59" t="str">
        <f t="shared" si="84"/>
        <v>らヴ</v>
      </c>
      <c r="H842" s="137" t="s">
        <v>244</v>
      </c>
      <c r="I842" s="136" t="s">
        <v>589</v>
      </c>
      <c r="J842" s="84">
        <f t="shared" si="85"/>
        <v>2</v>
      </c>
      <c r="K842" s="83"/>
      <c r="L842" s="64" t="e">
        <v>#N/A</v>
      </c>
      <c r="M842" s="121">
        <v>0</v>
      </c>
      <c r="N842" s="59" t="str">
        <v>.Q</v>
      </c>
      <c r="O842" s="126" t="str">
        <v>らヴ</v>
      </c>
      <c r="P842" s="126" t="str">
        <v>ゎ</v>
      </c>
      <c r="Q842" s="127" t="str">
        <v>。ｑ</v>
      </c>
      <c r="R842" s="84">
        <v>2</v>
      </c>
      <c r="T842" s="100" t="e">
        <v>#N/A</v>
      </c>
      <c r="U842" s="121">
        <v>0</v>
      </c>
      <c r="V842" s="59" t="str">
        <v>.Q</v>
      </c>
      <c r="W842" s="126" t="str">
        <v>らヴ</v>
      </c>
      <c r="X842" s="126" t="str">
        <v>ゎ</v>
      </c>
      <c r="Y842" s="127" t="str">
        <v>。ｑ</v>
      </c>
      <c r="Z842" s="90">
        <v>2</v>
      </c>
    </row>
    <row r="843" spans="1:26" x14ac:dyDescent="0.4">
      <c r="A843" s="52">
        <v>842</v>
      </c>
      <c r="B843" s="51">
        <f t="shared" si="80"/>
        <v>29</v>
      </c>
      <c r="C843" s="50">
        <f t="shared" si="81"/>
        <v>2</v>
      </c>
      <c r="D843" s="64" t="e">
        <f t="shared" si="82"/>
        <v>#N/A</v>
      </c>
      <c r="E843" s="121" cm="1">
        <f t="array" ref="E843">INDEX(InputArea,B843,C843)</f>
        <v>0</v>
      </c>
      <c r="F843" s="59" t="str">
        <f t="shared" si="83"/>
        <v>.W</v>
      </c>
      <c r="G843" s="59" t="str">
        <f t="shared" si="84"/>
        <v>らき</v>
      </c>
      <c r="H843" s="134"/>
      <c r="I843" s="136" t="s">
        <v>590</v>
      </c>
      <c r="J843" s="84">
        <f t="shared" si="85"/>
        <v>2</v>
      </c>
      <c r="K843" s="83"/>
      <c r="L843" s="64" t="e">
        <v>#N/A</v>
      </c>
      <c r="M843" s="121">
        <v>0</v>
      </c>
      <c r="N843" s="59" t="str">
        <v>.W</v>
      </c>
      <c r="O843" s="126" t="str">
        <v>らき</v>
      </c>
      <c r="P843" s="126">
        <v>0</v>
      </c>
      <c r="Q843" s="127" t="str">
        <v>。ｗ</v>
      </c>
      <c r="R843" s="84">
        <v>2</v>
      </c>
      <c r="T843" s="100" t="e">
        <v>#N/A</v>
      </c>
      <c r="U843" s="121">
        <v>0</v>
      </c>
      <c r="V843" s="59" t="str">
        <v>.W</v>
      </c>
      <c r="W843" s="126" t="str">
        <v>らき</v>
      </c>
      <c r="X843" s="126">
        <v>0</v>
      </c>
      <c r="Y843" s="127" t="str">
        <v>。ｗ</v>
      </c>
      <c r="Z843" s="90">
        <v>2</v>
      </c>
    </row>
    <row r="844" spans="1:26" x14ac:dyDescent="0.4">
      <c r="A844" s="52">
        <v>843</v>
      </c>
      <c r="B844" s="51">
        <f t="shared" si="80"/>
        <v>29</v>
      </c>
      <c r="C844" s="50">
        <f t="shared" si="81"/>
        <v>3</v>
      </c>
      <c r="D844" s="64" t="e">
        <f t="shared" si="82"/>
        <v>#N/A</v>
      </c>
      <c r="E844" s="121" cm="1">
        <f t="array" ref="E844">INDEX(InputArea,B844,C844)</f>
        <v>0</v>
      </c>
      <c r="F844" s="59" t="str">
        <f t="shared" si="83"/>
        <v>.E</v>
      </c>
      <c r="G844" s="59" t="str">
        <f t="shared" si="84"/>
        <v>らて</v>
      </c>
      <c r="H844" s="134"/>
      <c r="I844" s="136" t="s">
        <v>591</v>
      </c>
      <c r="J844" s="84">
        <f t="shared" si="85"/>
        <v>2</v>
      </c>
      <c r="K844" s="83"/>
      <c r="L844" s="64" t="e">
        <v>#N/A</v>
      </c>
      <c r="M844" s="121">
        <v>0</v>
      </c>
      <c r="N844" s="59" t="str">
        <v>.E</v>
      </c>
      <c r="O844" s="126" t="str">
        <v>らて</v>
      </c>
      <c r="P844" s="126">
        <v>0</v>
      </c>
      <c r="Q844" s="127" t="str">
        <v>。え</v>
      </c>
      <c r="R844" s="84">
        <v>2</v>
      </c>
      <c r="T844" s="100" t="e">
        <v>#N/A</v>
      </c>
      <c r="U844" s="121">
        <v>0</v>
      </c>
      <c r="V844" s="59" t="str">
        <v>.E</v>
      </c>
      <c r="W844" s="126" t="str">
        <v>らて</v>
      </c>
      <c r="X844" s="126">
        <v>0</v>
      </c>
      <c r="Y844" s="127" t="str">
        <v>。え</v>
      </c>
      <c r="Z844" s="90">
        <v>2</v>
      </c>
    </row>
    <row r="845" spans="1:26" x14ac:dyDescent="0.4">
      <c r="A845" s="52">
        <v>844</v>
      </c>
      <c r="B845" s="51">
        <f t="shared" si="80"/>
        <v>29</v>
      </c>
      <c r="C845" s="50">
        <f t="shared" si="81"/>
        <v>4</v>
      </c>
      <c r="D845" s="64" t="e">
        <f t="shared" si="82"/>
        <v>#N/A</v>
      </c>
      <c r="E845" s="121" cm="1">
        <f t="array" ref="E845">INDEX(InputArea,B845,C845)</f>
        <v>0</v>
      </c>
      <c r="F845" s="59" t="str">
        <f t="shared" si="83"/>
        <v>.R</v>
      </c>
      <c r="G845" s="59" t="str">
        <f t="shared" si="84"/>
        <v>らし</v>
      </c>
      <c r="H845" s="134"/>
      <c r="I845" s="136" t="s">
        <v>592</v>
      </c>
      <c r="J845" s="84">
        <f t="shared" si="85"/>
        <v>2</v>
      </c>
      <c r="K845" s="83"/>
      <c r="L845" s="64" t="e">
        <v>#N/A</v>
      </c>
      <c r="M845" s="121">
        <v>0</v>
      </c>
      <c r="N845" s="59" t="str">
        <v>.R</v>
      </c>
      <c r="O845" s="126" t="str">
        <v>らし</v>
      </c>
      <c r="P845" s="126">
        <v>0</v>
      </c>
      <c r="Q845" s="127" t="str">
        <v>。ｒ</v>
      </c>
      <c r="R845" s="84">
        <v>2</v>
      </c>
      <c r="T845" s="100" t="e">
        <v>#N/A</v>
      </c>
      <c r="U845" s="121">
        <v>0</v>
      </c>
      <c r="V845" s="59" t="str">
        <v>.R</v>
      </c>
      <c r="W845" s="126" t="str">
        <v>らし</v>
      </c>
      <c r="X845" s="126">
        <v>0</v>
      </c>
      <c r="Y845" s="127" t="str">
        <v>。ｒ</v>
      </c>
      <c r="Z845" s="90">
        <v>2</v>
      </c>
    </row>
    <row r="846" spans="1:26" x14ac:dyDescent="0.4">
      <c r="A846" s="52">
        <v>845</v>
      </c>
      <c r="B846" s="51">
        <f t="shared" si="80"/>
        <v>29</v>
      </c>
      <c r="C846" s="50">
        <f t="shared" si="81"/>
        <v>5</v>
      </c>
      <c r="D846" s="64" t="e">
        <f t="shared" si="82"/>
        <v>#N/A</v>
      </c>
      <c r="E846" s="121" cm="1">
        <f t="array" ref="E846">INDEX(InputArea,B846,C846)</f>
        <v>0</v>
      </c>
      <c r="F846" s="59" t="str">
        <f t="shared" si="83"/>
        <v>.T</v>
      </c>
      <c r="G846" s="59" t="str">
        <f t="shared" si="84"/>
        <v>ら←</v>
      </c>
      <c r="H846" s="134"/>
      <c r="I846" s="136" t="s">
        <v>593</v>
      </c>
      <c r="J846" s="84">
        <f t="shared" si="85"/>
        <v>2</v>
      </c>
      <c r="K846" s="83"/>
      <c r="L846" s="64" t="e">
        <v>#N/A</v>
      </c>
      <c r="M846" s="121">
        <v>0</v>
      </c>
      <c r="N846" s="59" t="str">
        <v>.T</v>
      </c>
      <c r="O846" s="126" t="str">
        <v>ら←</v>
      </c>
      <c r="P846" s="126">
        <v>0</v>
      </c>
      <c r="Q846" s="127" t="str">
        <v>。ｔ</v>
      </c>
      <c r="R846" s="84">
        <v>2</v>
      </c>
      <c r="T846" s="100" t="e">
        <v>#N/A</v>
      </c>
      <c r="U846" s="121">
        <v>0</v>
      </c>
      <c r="V846" s="59" t="str">
        <v>.T</v>
      </c>
      <c r="W846" s="126" t="str">
        <v>ら←</v>
      </c>
      <c r="X846" s="126">
        <v>0</v>
      </c>
      <c r="Y846" s="127" t="str">
        <v>。ｔ</v>
      </c>
      <c r="Z846" s="90">
        <v>2</v>
      </c>
    </row>
    <row r="847" spans="1:26" x14ac:dyDescent="0.4">
      <c r="A847" s="52">
        <v>846</v>
      </c>
      <c r="B847" s="51">
        <f t="shared" si="80"/>
        <v>29</v>
      </c>
      <c r="C847" s="50">
        <f t="shared" si="81"/>
        <v>6</v>
      </c>
      <c r="D847" s="64" t="e">
        <f t="shared" si="82"/>
        <v>#N/A</v>
      </c>
      <c r="E847" s="121" cm="1">
        <f t="array" ref="E847">INDEX(InputArea,B847,C847)</f>
        <v>0</v>
      </c>
      <c r="F847" s="59" t="str">
        <f t="shared" si="83"/>
        <v>.A</v>
      </c>
      <c r="G847" s="59" t="str">
        <f t="shared" si="84"/>
        <v>らろ</v>
      </c>
      <c r="H847" s="134"/>
      <c r="I847" s="136" t="s">
        <v>594</v>
      </c>
      <c r="J847" s="84">
        <f t="shared" si="85"/>
        <v>2</v>
      </c>
      <c r="K847" s="83"/>
      <c r="L847" s="64" t="e">
        <v>#N/A</v>
      </c>
      <c r="M847" s="121">
        <v>0</v>
      </c>
      <c r="N847" s="59" t="str">
        <v>.A</v>
      </c>
      <c r="O847" s="126" t="str">
        <v>らろ</v>
      </c>
      <c r="P847" s="126">
        <v>0</v>
      </c>
      <c r="Q847" s="127" t="str">
        <v>。あ</v>
      </c>
      <c r="R847" s="84">
        <v>2</v>
      </c>
      <c r="T847" s="100" t="e">
        <v>#N/A</v>
      </c>
      <c r="U847" s="121">
        <v>0</v>
      </c>
      <c r="V847" s="59" t="str">
        <v>.A</v>
      </c>
      <c r="W847" s="126" t="str">
        <v>らろ</v>
      </c>
      <c r="X847" s="126">
        <v>0</v>
      </c>
      <c r="Y847" s="127" t="str">
        <v>。あ</v>
      </c>
      <c r="Z847" s="90">
        <v>2</v>
      </c>
    </row>
    <row r="848" spans="1:26" x14ac:dyDescent="0.4">
      <c r="A848" s="52">
        <v>847</v>
      </c>
      <c r="B848" s="51">
        <f t="shared" si="80"/>
        <v>29</v>
      </c>
      <c r="C848" s="50">
        <f t="shared" si="81"/>
        <v>7</v>
      </c>
      <c r="D848" s="64" t="e">
        <f t="shared" si="82"/>
        <v>#N/A</v>
      </c>
      <c r="E848" s="121" cm="1">
        <f t="array" ref="E848">INDEX(InputArea,B848,C848)</f>
        <v>0</v>
      </c>
      <c r="F848" s="59" t="str">
        <f t="shared" si="83"/>
        <v>.S</v>
      </c>
      <c r="G848" s="59" t="str">
        <f t="shared" si="84"/>
        <v>らけ</v>
      </c>
      <c r="H848" s="134"/>
      <c r="I848" s="136" t="s">
        <v>595</v>
      </c>
      <c r="J848" s="84">
        <f t="shared" si="85"/>
        <v>2</v>
      </c>
      <c r="K848" s="83"/>
      <c r="L848" s="64" t="e">
        <v>#N/A</v>
      </c>
      <c r="M848" s="121">
        <v>0</v>
      </c>
      <c r="N848" s="59" t="str">
        <v>.S</v>
      </c>
      <c r="O848" s="126" t="str">
        <v>らけ</v>
      </c>
      <c r="P848" s="126">
        <v>0</v>
      </c>
      <c r="Q848" s="127" t="str">
        <v>。ｓ</v>
      </c>
      <c r="R848" s="84">
        <v>2</v>
      </c>
      <c r="T848" s="100" t="e">
        <v>#N/A</v>
      </c>
      <c r="U848" s="121">
        <v>0</v>
      </c>
      <c r="V848" s="59" t="str">
        <v>.S</v>
      </c>
      <c r="W848" s="126" t="str">
        <v>らけ</v>
      </c>
      <c r="X848" s="126">
        <v>0</v>
      </c>
      <c r="Y848" s="127" t="str">
        <v>。ｓ</v>
      </c>
      <c r="Z848" s="90">
        <v>2</v>
      </c>
    </row>
    <row r="849" spans="1:26" x14ac:dyDescent="0.4">
      <c r="A849" s="52">
        <v>848</v>
      </c>
      <c r="B849" s="51">
        <f t="shared" si="80"/>
        <v>29</v>
      </c>
      <c r="C849" s="50">
        <f t="shared" si="81"/>
        <v>8</v>
      </c>
      <c r="D849" s="64" t="e">
        <f t="shared" si="82"/>
        <v>#N/A</v>
      </c>
      <c r="E849" s="121" cm="1">
        <f t="array" ref="E849">INDEX(InputArea,B849,C849)</f>
        <v>0</v>
      </c>
      <c r="F849" s="59" t="str">
        <f t="shared" si="83"/>
        <v>.D</v>
      </c>
      <c r="G849" s="59" t="str">
        <f t="shared" si="84"/>
        <v>らと</v>
      </c>
      <c r="H849" s="134"/>
      <c r="I849" s="136" t="s">
        <v>596</v>
      </c>
      <c r="J849" s="84">
        <f t="shared" si="85"/>
        <v>2</v>
      </c>
      <c r="K849" s="83"/>
      <c r="L849" s="64" t="e">
        <v>#N/A</v>
      </c>
      <c r="M849" s="121">
        <v>0</v>
      </c>
      <c r="N849" s="59" t="str">
        <v>.D</v>
      </c>
      <c r="O849" s="126" t="str">
        <v>らと</v>
      </c>
      <c r="P849" s="126">
        <v>0</v>
      </c>
      <c r="Q849" s="127" t="str">
        <v>。ｄ</v>
      </c>
      <c r="R849" s="84">
        <v>2</v>
      </c>
      <c r="T849" s="100" t="e">
        <v>#N/A</v>
      </c>
      <c r="U849" s="121">
        <v>0</v>
      </c>
      <c r="V849" s="59" t="str">
        <v>.D</v>
      </c>
      <c r="W849" s="126" t="str">
        <v>らと</v>
      </c>
      <c r="X849" s="126">
        <v>0</v>
      </c>
      <c r="Y849" s="127" t="str">
        <v>。ｄ</v>
      </c>
      <c r="Z849" s="90">
        <v>2</v>
      </c>
    </row>
    <row r="850" spans="1:26" x14ac:dyDescent="0.4">
      <c r="A850" s="52">
        <v>849</v>
      </c>
      <c r="B850" s="51">
        <f t="shared" si="80"/>
        <v>29</v>
      </c>
      <c r="C850" s="50">
        <f t="shared" si="81"/>
        <v>9</v>
      </c>
      <c r="D850" s="64" t="e">
        <f t="shared" si="82"/>
        <v>#N/A</v>
      </c>
      <c r="E850" s="121" cm="1">
        <f t="array" ref="E850">INDEX(InputArea,B850,C850)</f>
        <v>0</v>
      </c>
      <c r="F850" s="59" t="str">
        <f t="shared" si="83"/>
        <v>.F</v>
      </c>
      <c r="G850" s="59" t="str">
        <f t="shared" si="84"/>
        <v>らか</v>
      </c>
      <c r="H850" s="134"/>
      <c r="I850" s="136" t="s">
        <v>597</v>
      </c>
      <c r="J850" s="84">
        <f t="shared" si="85"/>
        <v>2</v>
      </c>
      <c r="K850" s="83"/>
      <c r="L850" s="64" t="e">
        <v>#N/A</v>
      </c>
      <c r="M850" s="121">
        <v>0</v>
      </c>
      <c r="N850" s="59" t="str">
        <v>.F</v>
      </c>
      <c r="O850" s="126" t="str">
        <v>らか</v>
      </c>
      <c r="P850" s="126">
        <v>0</v>
      </c>
      <c r="Q850" s="127" t="str">
        <v>。ｆ</v>
      </c>
      <c r="R850" s="84">
        <v>2</v>
      </c>
      <c r="T850" s="100" t="e">
        <v>#N/A</v>
      </c>
      <c r="U850" s="121">
        <v>0</v>
      </c>
      <c r="V850" s="59" t="str">
        <v>.F</v>
      </c>
      <c r="W850" s="126" t="str">
        <v>らか</v>
      </c>
      <c r="X850" s="126">
        <v>0</v>
      </c>
      <c r="Y850" s="127" t="str">
        <v>。ｆ</v>
      </c>
      <c r="Z850" s="90">
        <v>2</v>
      </c>
    </row>
    <row r="851" spans="1:26" x14ac:dyDescent="0.4">
      <c r="A851" s="52">
        <v>850</v>
      </c>
      <c r="B851" s="51">
        <f t="shared" si="80"/>
        <v>29</v>
      </c>
      <c r="C851" s="50">
        <f t="shared" si="81"/>
        <v>10</v>
      </c>
      <c r="D851" s="64" t="e">
        <f t="shared" si="82"/>
        <v>#N/A</v>
      </c>
      <c r="E851" s="121" cm="1">
        <f t="array" ref="E851">INDEX(InputArea,B851,C851)</f>
        <v>0</v>
      </c>
      <c r="F851" s="59" t="str">
        <f t="shared" si="83"/>
        <v>.G</v>
      </c>
      <c r="G851" s="59" t="str">
        <f t="shared" si="84"/>
        <v>らっ</v>
      </c>
      <c r="H851" s="134"/>
      <c r="I851" s="136" t="s">
        <v>598</v>
      </c>
      <c r="J851" s="84">
        <f t="shared" si="85"/>
        <v>2</v>
      </c>
      <c r="K851" s="83"/>
      <c r="L851" s="64" t="e">
        <v>#N/A</v>
      </c>
      <c r="M851" s="121">
        <v>0</v>
      </c>
      <c r="N851" s="59" t="str">
        <v>.G</v>
      </c>
      <c r="O851" s="126" t="str">
        <v>らっ</v>
      </c>
      <c r="P851" s="126">
        <v>0</v>
      </c>
      <c r="Q851" s="127" t="str">
        <v>。ｇ</v>
      </c>
      <c r="R851" s="84">
        <v>2</v>
      </c>
      <c r="T851" s="100" t="e">
        <v>#N/A</v>
      </c>
      <c r="U851" s="121">
        <v>0</v>
      </c>
      <c r="V851" s="59" t="str">
        <v>.G</v>
      </c>
      <c r="W851" s="126" t="str">
        <v>らっ</v>
      </c>
      <c r="X851" s="126">
        <v>0</v>
      </c>
      <c r="Y851" s="127" t="str">
        <v>。ｇ</v>
      </c>
      <c r="Z851" s="90">
        <v>2</v>
      </c>
    </row>
    <row r="852" spans="1:26" x14ac:dyDescent="0.4">
      <c r="A852" s="52">
        <v>851</v>
      </c>
      <c r="B852" s="51">
        <f t="shared" si="80"/>
        <v>29</v>
      </c>
      <c r="C852" s="50">
        <f t="shared" si="81"/>
        <v>11</v>
      </c>
      <c r="D852" s="64" t="e">
        <f t="shared" si="82"/>
        <v>#N/A</v>
      </c>
      <c r="E852" s="121" cm="1">
        <f t="array" ref="E852">INDEX(InputArea,B852,C852)</f>
        <v>0</v>
      </c>
      <c r="F852" s="59" t="str">
        <f t="shared" si="83"/>
        <v>.Z</v>
      </c>
      <c r="G852" s="59" t="str">
        <f t="shared" si="84"/>
        <v>らほ</v>
      </c>
      <c r="H852" s="134"/>
      <c r="I852" s="136" t="s">
        <v>599</v>
      </c>
      <c r="J852" s="84">
        <f t="shared" si="85"/>
        <v>2</v>
      </c>
      <c r="K852" s="83"/>
      <c r="L852" s="64" t="e">
        <v>#N/A</v>
      </c>
      <c r="M852" s="121">
        <v>0</v>
      </c>
      <c r="N852" s="59" t="str">
        <v>.Z</v>
      </c>
      <c r="O852" s="126" t="str">
        <v>らほ</v>
      </c>
      <c r="P852" s="126">
        <v>0</v>
      </c>
      <c r="Q852" s="127" t="str">
        <v>。ｚ</v>
      </c>
      <c r="R852" s="84">
        <v>2</v>
      </c>
      <c r="T852" s="100" t="e">
        <v>#N/A</v>
      </c>
      <c r="U852" s="121">
        <v>0</v>
      </c>
      <c r="V852" s="59" t="str">
        <v>.Z</v>
      </c>
      <c r="W852" s="126" t="str">
        <v>らほ</v>
      </c>
      <c r="X852" s="126">
        <v>0</v>
      </c>
      <c r="Y852" s="127" t="str">
        <v>。ｚ</v>
      </c>
      <c r="Z852" s="90">
        <v>2</v>
      </c>
    </row>
    <row r="853" spans="1:26" x14ac:dyDescent="0.4">
      <c r="A853" s="52">
        <v>852</v>
      </c>
      <c r="B853" s="51">
        <f t="shared" si="80"/>
        <v>29</v>
      </c>
      <c r="C853" s="50">
        <f t="shared" si="81"/>
        <v>12</v>
      </c>
      <c r="D853" s="64" t="e">
        <f t="shared" si="82"/>
        <v>#N/A</v>
      </c>
      <c r="E853" s="121" cm="1">
        <f t="array" ref="E853">INDEX(InputArea,B853,C853)</f>
        <v>0</v>
      </c>
      <c r="F853" s="59" t="str">
        <f t="shared" si="83"/>
        <v>.X</v>
      </c>
      <c r="G853" s="59" t="str">
        <f t="shared" si="84"/>
        <v>らひ</v>
      </c>
      <c r="H853" s="134"/>
      <c r="I853" s="136" t="s">
        <v>600</v>
      </c>
      <c r="J853" s="84">
        <f t="shared" si="85"/>
        <v>2</v>
      </c>
      <c r="K853" s="83"/>
      <c r="L853" s="64" t="e">
        <v>#N/A</v>
      </c>
      <c r="M853" s="121">
        <v>0</v>
      </c>
      <c r="N853" s="59" t="str">
        <v>.X</v>
      </c>
      <c r="O853" s="126" t="str">
        <v>らひ</v>
      </c>
      <c r="P853" s="126">
        <v>0</v>
      </c>
      <c r="Q853" s="127" t="str">
        <v>。ｘ</v>
      </c>
      <c r="R853" s="84">
        <v>2</v>
      </c>
      <c r="T853" s="100" t="e">
        <v>#N/A</v>
      </c>
      <c r="U853" s="121">
        <v>0</v>
      </c>
      <c r="V853" s="59" t="str">
        <v>.X</v>
      </c>
      <c r="W853" s="126" t="str">
        <v>らひ</v>
      </c>
      <c r="X853" s="126">
        <v>0</v>
      </c>
      <c r="Y853" s="127" t="str">
        <v>。ｘ</v>
      </c>
      <c r="Z853" s="90">
        <v>2</v>
      </c>
    </row>
    <row r="854" spans="1:26" x14ac:dyDescent="0.4">
      <c r="A854" s="52">
        <v>853</v>
      </c>
      <c r="B854" s="51">
        <f t="shared" si="80"/>
        <v>29</v>
      </c>
      <c r="C854" s="50">
        <f t="shared" si="81"/>
        <v>13</v>
      </c>
      <c r="D854" s="64" t="e">
        <f t="shared" si="82"/>
        <v>#N/A</v>
      </c>
      <c r="E854" s="121" cm="1">
        <f t="array" ref="E854">INDEX(InputArea,B854,C854)</f>
        <v>0</v>
      </c>
      <c r="F854" s="59" t="str">
        <f t="shared" si="83"/>
        <v>.C</v>
      </c>
      <c r="G854" s="59" t="str">
        <f t="shared" si="84"/>
        <v>らは</v>
      </c>
      <c r="H854" s="134"/>
      <c r="I854" s="136" t="s">
        <v>601</v>
      </c>
      <c r="J854" s="84">
        <f t="shared" si="85"/>
        <v>2</v>
      </c>
      <c r="K854" s="83"/>
      <c r="L854" s="64" t="e">
        <v>#N/A</v>
      </c>
      <c r="M854" s="121">
        <v>0</v>
      </c>
      <c r="N854" s="59" t="str">
        <v>.C</v>
      </c>
      <c r="O854" s="126" t="str">
        <v>らは</v>
      </c>
      <c r="P854" s="126">
        <v>0</v>
      </c>
      <c r="Q854" s="127" t="str">
        <v>。ｃ</v>
      </c>
      <c r="R854" s="84">
        <v>2</v>
      </c>
      <c r="T854" s="100" t="e">
        <v>#N/A</v>
      </c>
      <c r="U854" s="121">
        <v>0</v>
      </c>
      <c r="V854" s="59" t="str">
        <v>.C</v>
      </c>
      <c r="W854" s="126" t="str">
        <v>らは</v>
      </c>
      <c r="X854" s="126">
        <v>0</v>
      </c>
      <c r="Y854" s="127" t="str">
        <v>。ｃ</v>
      </c>
      <c r="Z854" s="90">
        <v>2</v>
      </c>
    </row>
    <row r="855" spans="1:26" x14ac:dyDescent="0.4">
      <c r="A855" s="52">
        <v>854</v>
      </c>
      <c r="B855" s="51">
        <f t="shared" si="80"/>
        <v>29</v>
      </c>
      <c r="C855" s="50">
        <f t="shared" si="81"/>
        <v>14</v>
      </c>
      <c r="D855" s="64" t="e">
        <f t="shared" si="82"/>
        <v>#N/A</v>
      </c>
      <c r="E855" s="121" cm="1">
        <f t="array" ref="E855">INDEX(InputArea,B855,C855)</f>
        <v>0</v>
      </c>
      <c r="F855" s="59" t="str">
        <f t="shared" si="83"/>
        <v>.V</v>
      </c>
      <c r="G855" s="59" t="str">
        <f t="shared" si="84"/>
        <v>らこ</v>
      </c>
      <c r="H855" s="134"/>
      <c r="I855" s="136" t="s">
        <v>602</v>
      </c>
      <c r="J855" s="84">
        <f t="shared" si="85"/>
        <v>2</v>
      </c>
      <c r="K855" s="83"/>
      <c r="L855" s="64" t="e">
        <v>#N/A</v>
      </c>
      <c r="M855" s="121">
        <v>0</v>
      </c>
      <c r="N855" s="59" t="str">
        <v>.V</v>
      </c>
      <c r="O855" s="126" t="str">
        <v>らこ</v>
      </c>
      <c r="P855" s="126">
        <v>0</v>
      </c>
      <c r="Q855" s="127" t="str">
        <v>。ｖ</v>
      </c>
      <c r="R855" s="84">
        <v>2</v>
      </c>
      <c r="T855" s="100" t="e">
        <v>#N/A</v>
      </c>
      <c r="U855" s="121">
        <v>0</v>
      </c>
      <c r="V855" s="59" t="str">
        <v>.V</v>
      </c>
      <c r="W855" s="126" t="str">
        <v>らこ</v>
      </c>
      <c r="X855" s="126">
        <v>0</v>
      </c>
      <c r="Y855" s="127" t="str">
        <v>。ｖ</v>
      </c>
      <c r="Z855" s="90">
        <v>2</v>
      </c>
    </row>
    <row r="856" spans="1:26" x14ac:dyDescent="0.4">
      <c r="A856" s="52">
        <v>855</v>
      </c>
      <c r="B856" s="51">
        <f t="shared" si="80"/>
        <v>29</v>
      </c>
      <c r="C856" s="50">
        <f t="shared" si="81"/>
        <v>15</v>
      </c>
      <c r="D856" s="64" t="e">
        <f t="shared" si="82"/>
        <v>#N/A</v>
      </c>
      <c r="E856" s="121" cm="1">
        <f t="array" ref="E856">INDEX(InputArea,B856,C856)</f>
        <v>0</v>
      </c>
      <c r="F856" s="59" t="str">
        <f t="shared" si="83"/>
        <v>.B</v>
      </c>
      <c r="G856" s="59" t="str">
        <f t="shared" si="84"/>
        <v>らそ</v>
      </c>
      <c r="H856" s="134"/>
      <c r="I856" s="136" t="s">
        <v>603</v>
      </c>
      <c r="J856" s="84">
        <f t="shared" si="85"/>
        <v>2</v>
      </c>
      <c r="K856" s="83"/>
      <c r="L856" s="64" t="e">
        <v>#N/A</v>
      </c>
      <c r="M856" s="121">
        <v>0</v>
      </c>
      <c r="N856" s="59" t="str">
        <v>.B</v>
      </c>
      <c r="O856" s="126" t="str">
        <v>らそ</v>
      </c>
      <c r="P856" s="126">
        <v>0</v>
      </c>
      <c r="Q856" s="127" t="str">
        <v>。ｂ</v>
      </c>
      <c r="R856" s="84">
        <v>2</v>
      </c>
      <c r="T856" s="100" t="e">
        <v>#N/A</v>
      </c>
      <c r="U856" s="121">
        <v>0</v>
      </c>
      <c r="V856" s="59" t="str">
        <v>.B</v>
      </c>
      <c r="W856" s="126" t="str">
        <v>らそ</v>
      </c>
      <c r="X856" s="126">
        <v>0</v>
      </c>
      <c r="Y856" s="127" t="str">
        <v>。ｂ</v>
      </c>
      <c r="Z856" s="90">
        <v>2</v>
      </c>
    </row>
    <row r="857" spans="1:26" x14ac:dyDescent="0.4">
      <c r="A857" s="52">
        <v>856</v>
      </c>
      <c r="B857" s="51">
        <f t="shared" si="80"/>
        <v>29</v>
      </c>
      <c r="C857" s="50">
        <f t="shared" si="81"/>
        <v>16</v>
      </c>
      <c r="D857" s="64" t="e">
        <f t="shared" si="82"/>
        <v>#N/A</v>
      </c>
      <c r="E857" s="121" cm="1">
        <f t="array" ref="E857">INDEX(InputArea,B857,C857)</f>
        <v>0</v>
      </c>
      <c r="F857" s="59" t="str">
        <f t="shared" si="83"/>
        <v>.Y</v>
      </c>
      <c r="G857" s="59" t="str">
        <f t="shared" si="84"/>
        <v>ら→</v>
      </c>
      <c r="H857" s="134"/>
      <c r="I857" s="136" t="s">
        <v>604</v>
      </c>
      <c r="J857" s="84">
        <f t="shared" si="85"/>
        <v>3</v>
      </c>
      <c r="K857" s="83"/>
      <c r="L857" s="64" t="e">
        <v>#N/A</v>
      </c>
      <c r="M857" s="121">
        <v>0</v>
      </c>
      <c r="N857" s="59" t="str">
        <v>.Y</v>
      </c>
      <c r="O857" s="126" t="str">
        <v>ら→</v>
      </c>
      <c r="P857" s="126">
        <v>0</v>
      </c>
      <c r="Q857" s="127" t="str">
        <v>。ｙ</v>
      </c>
      <c r="R857" s="84">
        <v>3</v>
      </c>
      <c r="T857" s="100" t="e">
        <v>#N/A</v>
      </c>
      <c r="U857" s="121">
        <v>0</v>
      </c>
      <c r="V857" s="59" t="str">
        <v>.Y</v>
      </c>
      <c r="W857" s="126" t="str">
        <v>ら→</v>
      </c>
      <c r="X857" s="126">
        <v>0</v>
      </c>
      <c r="Y857" s="127" t="str">
        <v>。ｙ</v>
      </c>
      <c r="Z857" s="90">
        <v>3</v>
      </c>
    </row>
    <row r="858" spans="1:26" x14ac:dyDescent="0.4">
      <c r="A858" s="52">
        <v>857</v>
      </c>
      <c r="B858" s="51">
        <f t="shared" si="80"/>
        <v>29</v>
      </c>
      <c r="C858" s="50">
        <f t="shared" si="81"/>
        <v>17</v>
      </c>
      <c r="D858" s="64" t="e">
        <f t="shared" si="82"/>
        <v>#N/A</v>
      </c>
      <c r="E858" s="121" cm="1">
        <f t="array" ref="E858">INDEX(InputArea,B858,C858)</f>
        <v>0</v>
      </c>
      <c r="F858" s="59" t="str">
        <f t="shared" si="83"/>
        <v>.U</v>
      </c>
      <c r="G858" s="59" t="str">
        <f t="shared" si="84"/>
        <v>らBS</v>
      </c>
      <c r="H858" s="134"/>
      <c r="I858" s="136" t="s">
        <v>605</v>
      </c>
      <c r="J858" s="84">
        <f t="shared" si="85"/>
        <v>3</v>
      </c>
      <c r="K858" s="83"/>
      <c r="L858" s="64" t="e">
        <v>#N/A</v>
      </c>
      <c r="M858" s="121">
        <v>0</v>
      </c>
      <c r="N858" s="59" t="str">
        <v>.U</v>
      </c>
      <c r="O858" s="126" t="str">
        <v>らBS</v>
      </c>
      <c r="P858" s="126">
        <v>0</v>
      </c>
      <c r="Q858" s="127" t="str">
        <v>。う</v>
      </c>
      <c r="R858" s="84">
        <v>3</v>
      </c>
      <c r="T858" s="100" t="e">
        <v>#N/A</v>
      </c>
      <c r="U858" s="121">
        <v>0</v>
      </c>
      <c r="V858" s="59" t="str">
        <v>.U</v>
      </c>
      <c r="W858" s="126" t="str">
        <v>らBS</v>
      </c>
      <c r="X858" s="126">
        <v>0</v>
      </c>
      <c r="Y858" s="127" t="str">
        <v>。う</v>
      </c>
      <c r="Z858" s="90">
        <v>3</v>
      </c>
    </row>
    <row r="859" spans="1:26" x14ac:dyDescent="0.4">
      <c r="A859" s="52">
        <v>858</v>
      </c>
      <c r="B859" s="51">
        <f t="shared" si="80"/>
        <v>29</v>
      </c>
      <c r="C859" s="50">
        <f t="shared" si="81"/>
        <v>18</v>
      </c>
      <c r="D859" s="64" t="e">
        <f t="shared" si="82"/>
        <v>#N/A</v>
      </c>
      <c r="E859" s="121" cm="1">
        <f t="array" ref="E859">INDEX(InputArea,B859,C859)</f>
        <v>0</v>
      </c>
      <c r="F859" s="59" t="str">
        <f t="shared" si="83"/>
        <v>.I</v>
      </c>
      <c r="G859" s="59" t="str">
        <f t="shared" si="84"/>
        <v>らる</v>
      </c>
      <c r="H859" s="134"/>
      <c r="I859" s="136" t="s">
        <v>606</v>
      </c>
      <c r="J859" s="84">
        <f t="shared" si="85"/>
        <v>3</v>
      </c>
      <c r="K859" s="83"/>
      <c r="L859" s="64" t="e">
        <v>#N/A</v>
      </c>
      <c r="M859" s="121">
        <v>0</v>
      </c>
      <c r="N859" s="59" t="str">
        <v>.I</v>
      </c>
      <c r="O859" s="126" t="str">
        <v>らる</v>
      </c>
      <c r="P859" s="126">
        <v>0</v>
      </c>
      <c r="Q859" s="127" t="str">
        <v>。い</v>
      </c>
      <c r="R859" s="84">
        <v>3</v>
      </c>
      <c r="T859" s="100" t="e">
        <v>#N/A</v>
      </c>
      <c r="U859" s="121">
        <v>0</v>
      </c>
      <c r="V859" s="59" t="str">
        <v>.I</v>
      </c>
      <c r="W859" s="126" t="str">
        <v>らる</v>
      </c>
      <c r="X859" s="126">
        <v>0</v>
      </c>
      <c r="Y859" s="127" t="str">
        <v>。い</v>
      </c>
      <c r="Z859" s="90">
        <v>3</v>
      </c>
    </row>
    <row r="860" spans="1:26" x14ac:dyDescent="0.4">
      <c r="A860" s="52">
        <v>859</v>
      </c>
      <c r="B860" s="51">
        <f t="shared" si="80"/>
        <v>29</v>
      </c>
      <c r="C860" s="50">
        <f t="shared" si="81"/>
        <v>19</v>
      </c>
      <c r="D860" s="64" t="e">
        <f t="shared" si="82"/>
        <v>#N/A</v>
      </c>
      <c r="E860" s="121" cm="1">
        <f t="array" ref="E860">INDEX(InputArea,B860,C860)</f>
        <v>0</v>
      </c>
      <c r="F860" s="59" t="str">
        <f t="shared" si="83"/>
        <v>.O</v>
      </c>
      <c r="G860" s="59" t="str">
        <f t="shared" si="84"/>
        <v>らす</v>
      </c>
      <c r="H860" s="134"/>
      <c r="I860" s="136" t="s">
        <v>607</v>
      </c>
      <c r="J860" s="84">
        <f t="shared" si="85"/>
        <v>3</v>
      </c>
      <c r="K860" s="83"/>
      <c r="L860" s="64" t="e">
        <v>#N/A</v>
      </c>
      <c r="M860" s="121">
        <v>0</v>
      </c>
      <c r="N860" s="59" t="str">
        <v>.O</v>
      </c>
      <c r="O860" s="126" t="str">
        <v>らす</v>
      </c>
      <c r="P860" s="126">
        <v>0</v>
      </c>
      <c r="Q860" s="127" t="str">
        <v>。お</v>
      </c>
      <c r="R860" s="84">
        <v>3</v>
      </c>
      <c r="T860" s="100" t="e">
        <v>#N/A</v>
      </c>
      <c r="U860" s="121">
        <v>0</v>
      </c>
      <c r="V860" s="59" t="str">
        <v>.O</v>
      </c>
      <c r="W860" s="126" t="str">
        <v>らす</v>
      </c>
      <c r="X860" s="126">
        <v>0</v>
      </c>
      <c r="Y860" s="127" t="str">
        <v>。お</v>
      </c>
      <c r="Z860" s="90">
        <v>3</v>
      </c>
    </row>
    <row r="861" spans="1:26" x14ac:dyDescent="0.4">
      <c r="A861" s="52">
        <v>860</v>
      </c>
      <c r="B861" s="51">
        <f t="shared" si="80"/>
        <v>29</v>
      </c>
      <c r="C861" s="50">
        <f t="shared" si="81"/>
        <v>20</v>
      </c>
      <c r="D861" s="64" t="e">
        <f t="shared" si="82"/>
        <v>#N/A</v>
      </c>
      <c r="E861" s="121" cm="1">
        <f t="array" ref="E861">INDEX(InputArea,B861,C861)</f>
        <v>0</v>
      </c>
      <c r="F861" s="59" t="str">
        <f t="shared" si="83"/>
        <v>.P</v>
      </c>
      <c r="G861" s="59" t="str">
        <f t="shared" si="84"/>
        <v>らへ</v>
      </c>
      <c r="H861" s="134"/>
      <c r="I861" s="136" t="s">
        <v>608</v>
      </c>
      <c r="J861" s="84">
        <f t="shared" si="85"/>
        <v>3</v>
      </c>
      <c r="K861" s="83"/>
      <c r="L861" s="64" t="e">
        <v>#N/A</v>
      </c>
      <c r="M861" s="121">
        <v>0</v>
      </c>
      <c r="N861" s="59" t="str">
        <v>.P</v>
      </c>
      <c r="O861" s="126" t="str">
        <v>らへ</v>
      </c>
      <c r="P861" s="126">
        <v>0</v>
      </c>
      <c r="Q861" s="127" t="str">
        <v>。ｐ</v>
      </c>
      <c r="R861" s="84">
        <v>3</v>
      </c>
      <c r="T861" s="100" t="e">
        <v>#N/A</v>
      </c>
      <c r="U861" s="121">
        <v>0</v>
      </c>
      <c r="V861" s="59" t="str">
        <v>.P</v>
      </c>
      <c r="W861" s="126" t="str">
        <v>らへ</v>
      </c>
      <c r="X861" s="126">
        <v>0</v>
      </c>
      <c r="Y861" s="127" t="str">
        <v>。ｐ</v>
      </c>
      <c r="Z861" s="90">
        <v>3</v>
      </c>
    </row>
    <row r="862" spans="1:26" x14ac:dyDescent="0.4">
      <c r="A862" s="52">
        <v>861</v>
      </c>
      <c r="B862" s="51">
        <f t="shared" si="80"/>
        <v>29</v>
      </c>
      <c r="C862" s="50">
        <f t="shared" si="81"/>
        <v>21</v>
      </c>
      <c r="D862" s="64" t="e">
        <f t="shared" si="82"/>
        <v>#N/A</v>
      </c>
      <c r="E862" s="121" cm="1">
        <f t="array" ref="E862">INDEX(InputArea,B862,C862)</f>
        <v>0</v>
      </c>
      <c r="F862" s="59" t="str">
        <f t="shared" si="83"/>
        <v>.H</v>
      </c>
      <c r="G862" s="59" t="str">
        <f t="shared" si="84"/>
        <v>らく</v>
      </c>
      <c r="H862" s="134"/>
      <c r="I862" s="136" t="s">
        <v>609</v>
      </c>
      <c r="J862" s="84">
        <f t="shared" si="85"/>
        <v>3</v>
      </c>
      <c r="K862" s="83"/>
      <c r="L862" s="64" t="e">
        <v>#N/A</v>
      </c>
      <c r="M862" s="121">
        <v>0</v>
      </c>
      <c r="N862" s="59" t="str">
        <v>.H</v>
      </c>
      <c r="O862" s="126" t="str">
        <v>らく</v>
      </c>
      <c r="P862" s="126">
        <v>0</v>
      </c>
      <c r="Q862" s="127" t="str">
        <v>。ｈ</v>
      </c>
      <c r="R862" s="84">
        <v>3</v>
      </c>
      <c r="T862" s="100" t="e">
        <v>#N/A</v>
      </c>
      <c r="U862" s="121">
        <v>0</v>
      </c>
      <c r="V862" s="59" t="str">
        <v>.H</v>
      </c>
      <c r="W862" s="126" t="str">
        <v>らく</v>
      </c>
      <c r="X862" s="126">
        <v>0</v>
      </c>
      <c r="Y862" s="127" t="str">
        <v>。ｈ</v>
      </c>
      <c r="Z862" s="90">
        <v>3</v>
      </c>
    </row>
    <row r="863" spans="1:26" x14ac:dyDescent="0.4">
      <c r="A863" s="52">
        <v>862</v>
      </c>
      <c r="B863" s="51">
        <f t="shared" si="80"/>
        <v>29</v>
      </c>
      <c r="C863" s="50">
        <f t="shared" si="81"/>
        <v>22</v>
      </c>
      <c r="D863" s="64" t="e">
        <f t="shared" si="82"/>
        <v>#N/A</v>
      </c>
      <c r="E863" s="121" cm="1">
        <f t="array" ref="E863">INDEX(InputArea,B863,C863)</f>
        <v>0</v>
      </c>
      <c r="F863" s="59" t="str">
        <f t="shared" si="83"/>
        <v>.J</v>
      </c>
      <c r="G863" s="59" t="str">
        <f t="shared" si="84"/>
        <v>らあ</v>
      </c>
      <c r="H863" s="134"/>
      <c r="I863" s="136" t="s">
        <v>610</v>
      </c>
      <c r="J863" s="84">
        <f t="shared" si="85"/>
        <v>3</v>
      </c>
      <c r="K863" s="83"/>
      <c r="L863" s="64" t="e">
        <v>#N/A</v>
      </c>
      <c r="M863" s="121">
        <v>0</v>
      </c>
      <c r="N863" s="59" t="str">
        <v>.J</v>
      </c>
      <c r="O863" s="126" t="str">
        <v>らあ</v>
      </c>
      <c r="P863" s="126">
        <v>0</v>
      </c>
      <c r="Q863" s="127" t="str">
        <v>。ｊ</v>
      </c>
      <c r="R863" s="84">
        <v>3</v>
      </c>
      <c r="T863" s="100" t="e">
        <v>#N/A</v>
      </c>
      <c r="U863" s="121">
        <v>0</v>
      </c>
      <c r="V863" s="59" t="str">
        <v>.J</v>
      </c>
      <c r="W863" s="126" t="str">
        <v>らあ</v>
      </c>
      <c r="X863" s="126">
        <v>0</v>
      </c>
      <c r="Y863" s="127" t="str">
        <v>。ｊ</v>
      </c>
      <c r="Z863" s="90">
        <v>3</v>
      </c>
    </row>
    <row r="864" spans="1:26" x14ac:dyDescent="0.4">
      <c r="A864" s="52">
        <v>863</v>
      </c>
      <c r="B864" s="51">
        <f t="shared" si="80"/>
        <v>29</v>
      </c>
      <c r="C864" s="50">
        <f t="shared" si="81"/>
        <v>23</v>
      </c>
      <c r="D864" s="64" t="e">
        <f t="shared" si="82"/>
        <v>#N/A</v>
      </c>
      <c r="E864" s="121" cm="1">
        <f t="array" ref="E864">INDEX(InputArea,B864,C864)</f>
        <v>0</v>
      </c>
      <c r="F864" s="59" t="str">
        <f t="shared" si="83"/>
        <v>.K</v>
      </c>
      <c r="G864" s="59" t="str">
        <f t="shared" si="84"/>
        <v>らい</v>
      </c>
      <c r="H864" s="134"/>
      <c r="I864" s="136" t="s">
        <v>611</v>
      </c>
      <c r="J864" s="84">
        <f t="shared" si="85"/>
        <v>3</v>
      </c>
      <c r="K864" s="83"/>
      <c r="L864" s="64" t="e">
        <v>#N/A</v>
      </c>
      <c r="M864" s="121">
        <v>0</v>
      </c>
      <c r="N864" s="59" t="str">
        <v>.K</v>
      </c>
      <c r="O864" s="126" t="str">
        <v>らい</v>
      </c>
      <c r="P864" s="126">
        <v>0</v>
      </c>
      <c r="Q864" s="127" t="str">
        <v>。ｋ</v>
      </c>
      <c r="R864" s="84">
        <v>3</v>
      </c>
      <c r="T864" s="100" t="e">
        <v>#N/A</v>
      </c>
      <c r="U864" s="121">
        <v>0</v>
      </c>
      <c r="V864" s="59" t="str">
        <v>.K</v>
      </c>
      <c r="W864" s="126" t="str">
        <v>らい</v>
      </c>
      <c r="X864" s="126">
        <v>0</v>
      </c>
      <c r="Y864" s="127" t="str">
        <v>。ｋ</v>
      </c>
      <c r="Z864" s="90">
        <v>3</v>
      </c>
    </row>
    <row r="865" spans="1:26" x14ac:dyDescent="0.4">
      <c r="A865" s="52">
        <v>864</v>
      </c>
      <c r="B865" s="51">
        <f t="shared" si="80"/>
        <v>29</v>
      </c>
      <c r="C865" s="50">
        <f t="shared" si="81"/>
        <v>24</v>
      </c>
      <c r="D865" s="64" t="e">
        <f t="shared" si="82"/>
        <v>#N/A</v>
      </c>
      <c r="E865" s="121" cm="1">
        <f t="array" ref="E865">INDEX(InputArea,B865,C865)</f>
        <v>0</v>
      </c>
      <c r="F865" s="59" t="str">
        <f t="shared" si="83"/>
        <v>.L</v>
      </c>
      <c r="G865" s="59" t="str">
        <f t="shared" si="84"/>
        <v>らう</v>
      </c>
      <c r="H865" s="134"/>
      <c r="I865" s="136" t="s">
        <v>612</v>
      </c>
      <c r="J865" s="84">
        <f t="shared" si="85"/>
        <v>3</v>
      </c>
      <c r="K865" s="83"/>
      <c r="L865" s="64" t="e">
        <v>#N/A</v>
      </c>
      <c r="M865" s="121">
        <v>0</v>
      </c>
      <c r="N865" s="59" t="str">
        <v>.L</v>
      </c>
      <c r="O865" s="126" t="str">
        <v>らう</v>
      </c>
      <c r="P865" s="126">
        <v>0</v>
      </c>
      <c r="Q865" s="127" t="str">
        <v>。ｌ</v>
      </c>
      <c r="R865" s="84">
        <v>3</v>
      </c>
      <c r="T865" s="100" t="e">
        <v>#N/A</v>
      </c>
      <c r="U865" s="121">
        <v>0</v>
      </c>
      <c r="V865" s="59" t="str">
        <v>.L</v>
      </c>
      <c r="W865" s="126" t="str">
        <v>らう</v>
      </c>
      <c r="X865" s="126">
        <v>0</v>
      </c>
      <c r="Y865" s="127" t="str">
        <v>。ｌ</v>
      </c>
      <c r="Z865" s="90">
        <v>3</v>
      </c>
    </row>
    <row r="866" spans="1:26" x14ac:dyDescent="0.4">
      <c r="A866" s="52">
        <v>865</v>
      </c>
      <c r="B866" s="51">
        <f t="shared" si="80"/>
        <v>29</v>
      </c>
      <c r="C866" s="50">
        <f t="shared" si="81"/>
        <v>25</v>
      </c>
      <c r="D866" s="64" t="e">
        <f t="shared" si="82"/>
        <v>#N/A</v>
      </c>
      <c r="E866" s="121" cm="1">
        <f t="array" ref="E866">INDEX(InputArea,B866,C866)</f>
        <v>0</v>
      </c>
      <c r="F866" s="59" t="str">
        <f t="shared" si="83"/>
        <v>.;</v>
      </c>
      <c r="G866" s="59" t="str">
        <f t="shared" si="84"/>
        <v>らー</v>
      </c>
      <c r="H866" s="134"/>
      <c r="I866" s="135"/>
      <c r="J866" s="84">
        <f t="shared" si="85"/>
        <v>3</v>
      </c>
      <c r="K866" s="83"/>
      <c r="L866" s="64" t="e">
        <v>#N/A</v>
      </c>
      <c r="M866" s="121">
        <v>0</v>
      </c>
      <c r="N866" s="59" t="str">
        <v>.;</v>
      </c>
      <c r="O866" s="126" t="str">
        <v>らー</v>
      </c>
      <c r="P866" s="126">
        <v>0</v>
      </c>
      <c r="Q866" s="127">
        <v>0</v>
      </c>
      <c r="R866" s="84">
        <v>3</v>
      </c>
      <c r="T866" s="100" t="e">
        <v>#N/A</v>
      </c>
      <c r="U866" s="121">
        <v>0</v>
      </c>
      <c r="V866" s="59" t="str">
        <v>.;</v>
      </c>
      <c r="W866" s="126" t="str">
        <v>らー</v>
      </c>
      <c r="X866" s="126">
        <v>0</v>
      </c>
      <c r="Y866" s="127">
        <v>0</v>
      </c>
      <c r="Z866" s="90">
        <v>3</v>
      </c>
    </row>
    <row r="867" spans="1:26" x14ac:dyDescent="0.4">
      <c r="A867" s="52">
        <v>866</v>
      </c>
      <c r="B867" s="51">
        <f t="shared" si="80"/>
        <v>29</v>
      </c>
      <c r="C867" s="50">
        <f t="shared" si="81"/>
        <v>26</v>
      </c>
      <c r="D867" s="64" t="e">
        <f t="shared" si="82"/>
        <v>#N/A</v>
      </c>
      <c r="E867" s="121" cm="1">
        <f t="array" ref="E867">INDEX(InputArea,B867,C867)</f>
        <v>0</v>
      </c>
      <c r="F867" s="59" t="str">
        <f t="shared" si="83"/>
        <v>.N</v>
      </c>
      <c r="G867" s="59" t="str">
        <f t="shared" si="84"/>
        <v>らた</v>
      </c>
      <c r="H867" s="134"/>
      <c r="I867" s="136" t="s">
        <v>613</v>
      </c>
      <c r="J867" s="84">
        <f t="shared" si="85"/>
        <v>3</v>
      </c>
      <c r="K867" s="83"/>
      <c r="L867" s="64" t="e">
        <v>#N/A</v>
      </c>
      <c r="M867" s="121">
        <v>0</v>
      </c>
      <c r="N867" s="59" t="str">
        <v>.N</v>
      </c>
      <c r="O867" s="126" t="str">
        <v>らた</v>
      </c>
      <c r="P867" s="126">
        <v>0</v>
      </c>
      <c r="Q867" s="127" t="str">
        <v>。ｎ</v>
      </c>
      <c r="R867" s="84">
        <v>3</v>
      </c>
      <c r="T867" s="100" t="e">
        <v>#N/A</v>
      </c>
      <c r="U867" s="121">
        <v>0</v>
      </c>
      <c r="V867" s="59" t="str">
        <v>.N</v>
      </c>
      <c r="W867" s="126" t="str">
        <v>らた</v>
      </c>
      <c r="X867" s="126">
        <v>0</v>
      </c>
      <c r="Y867" s="127" t="str">
        <v>。ｎ</v>
      </c>
      <c r="Z867" s="90">
        <v>3</v>
      </c>
    </row>
    <row r="868" spans="1:26" x14ac:dyDescent="0.4">
      <c r="A868" s="52">
        <v>867</v>
      </c>
      <c r="B868" s="51">
        <f t="shared" si="80"/>
        <v>29</v>
      </c>
      <c r="C868" s="50">
        <f t="shared" si="81"/>
        <v>27</v>
      </c>
      <c r="D868" s="64" t="e">
        <f t="shared" si="82"/>
        <v>#N/A</v>
      </c>
      <c r="E868" s="121" cm="1">
        <f t="array" ref="E868">INDEX(InputArea,B868,C868)</f>
        <v>0</v>
      </c>
      <c r="F868" s="59" t="str">
        <f t="shared" si="83"/>
        <v>.M</v>
      </c>
      <c r="G868" s="59" t="str">
        <f t="shared" si="84"/>
        <v>らな</v>
      </c>
      <c r="H868" s="134"/>
      <c r="I868" s="136" t="s">
        <v>614</v>
      </c>
      <c r="J868" s="84">
        <f t="shared" si="85"/>
        <v>3</v>
      </c>
      <c r="K868" s="83"/>
      <c r="L868" s="64" t="e">
        <v>#N/A</v>
      </c>
      <c r="M868" s="121">
        <v>0</v>
      </c>
      <c r="N868" s="59" t="str">
        <v>.M</v>
      </c>
      <c r="O868" s="126" t="str">
        <v>らな</v>
      </c>
      <c r="P868" s="126">
        <v>0</v>
      </c>
      <c r="Q868" s="127" t="str">
        <v>。ｍ</v>
      </c>
      <c r="R868" s="84">
        <v>3</v>
      </c>
      <c r="T868" s="100" t="e">
        <v>#N/A</v>
      </c>
      <c r="U868" s="121">
        <v>0</v>
      </c>
      <c r="V868" s="59" t="str">
        <v>.M</v>
      </c>
      <c r="W868" s="126" t="str">
        <v>らな</v>
      </c>
      <c r="X868" s="126">
        <v>0</v>
      </c>
      <c r="Y868" s="127" t="str">
        <v>。ｍ</v>
      </c>
      <c r="Z868" s="90">
        <v>3</v>
      </c>
    </row>
    <row r="869" spans="1:26" x14ac:dyDescent="0.4">
      <c r="A869" s="52">
        <v>868</v>
      </c>
      <c r="B869" s="51">
        <f t="shared" si="80"/>
        <v>29</v>
      </c>
      <c r="C869" s="50">
        <f t="shared" si="81"/>
        <v>28</v>
      </c>
      <c r="D869" s="64" t="e">
        <f t="shared" si="82"/>
        <v>#N/A</v>
      </c>
      <c r="E869" s="121" cm="1">
        <f t="array" ref="E869">INDEX(InputArea,B869,C869)</f>
        <v>0</v>
      </c>
      <c r="F869" s="59" t="str">
        <f t="shared" si="83"/>
        <v>.,</v>
      </c>
      <c r="G869" s="59" t="str">
        <f t="shared" si="84"/>
        <v>らん</v>
      </c>
      <c r="H869" s="134"/>
      <c r="I869" s="135"/>
      <c r="J869" s="84">
        <f t="shared" si="85"/>
        <v>3</v>
      </c>
      <c r="K869" s="83"/>
      <c r="L869" s="64" t="e">
        <v>#N/A</v>
      </c>
      <c r="M869" s="121">
        <v>0</v>
      </c>
      <c r="N869" s="59" t="str">
        <v>.,</v>
      </c>
      <c r="O869" s="126" t="str">
        <v>らん</v>
      </c>
      <c r="P869" s="126">
        <v>0</v>
      </c>
      <c r="Q869" s="127">
        <v>0</v>
      </c>
      <c r="R869" s="84">
        <v>3</v>
      </c>
      <c r="T869" s="100" t="e">
        <v>#N/A</v>
      </c>
      <c r="U869" s="121">
        <v>0</v>
      </c>
      <c r="V869" s="59" t="str">
        <v>.,</v>
      </c>
      <c r="W869" s="126" t="str">
        <v>らん</v>
      </c>
      <c r="X869" s="126">
        <v>0</v>
      </c>
      <c r="Y869" s="127">
        <v>0</v>
      </c>
      <c r="Z869" s="90">
        <v>3</v>
      </c>
    </row>
    <row r="870" spans="1:26" x14ac:dyDescent="0.4">
      <c r="A870" s="52">
        <v>869</v>
      </c>
      <c r="B870" s="51">
        <f t="shared" si="80"/>
        <v>29</v>
      </c>
      <c r="C870" s="50">
        <f t="shared" si="81"/>
        <v>29</v>
      </c>
      <c r="D870" s="64" t="e">
        <f t="shared" si="82"/>
        <v>#N/A</v>
      </c>
      <c r="E870" s="121" cm="1">
        <f t="array" ref="E870">INDEX(InputArea,B870,C870)</f>
        <v>0</v>
      </c>
      <c r="F870" s="59" t="str">
        <f t="shared" si="83"/>
        <v>..</v>
      </c>
      <c r="G870" s="59" t="str">
        <f t="shared" si="84"/>
        <v>らら</v>
      </c>
      <c r="H870" s="134"/>
      <c r="I870" s="135"/>
      <c r="J870" s="84">
        <f t="shared" si="85"/>
        <v>3</v>
      </c>
      <c r="K870" s="83"/>
      <c r="L870" s="64" t="e">
        <v>#N/A</v>
      </c>
      <c r="M870" s="121">
        <v>0</v>
      </c>
      <c r="N870" s="59" t="str">
        <v>..</v>
      </c>
      <c r="O870" s="126" t="str">
        <v>らら</v>
      </c>
      <c r="P870" s="126">
        <v>0</v>
      </c>
      <c r="Q870" s="127">
        <v>0</v>
      </c>
      <c r="R870" s="84">
        <v>3</v>
      </c>
      <c r="T870" s="100" t="e">
        <v>#N/A</v>
      </c>
      <c r="U870" s="121">
        <v>0</v>
      </c>
      <c r="V870" s="59" t="str">
        <v>..</v>
      </c>
      <c r="W870" s="126" t="str">
        <v>らら</v>
      </c>
      <c r="X870" s="126">
        <v>0</v>
      </c>
      <c r="Y870" s="127">
        <v>0</v>
      </c>
      <c r="Z870" s="90">
        <v>3</v>
      </c>
    </row>
    <row r="871" spans="1:26" x14ac:dyDescent="0.4">
      <c r="A871" s="52">
        <v>870</v>
      </c>
      <c r="B871" s="51">
        <f t="shared" si="80"/>
        <v>29</v>
      </c>
      <c r="C871" s="50">
        <f t="shared" si="81"/>
        <v>30</v>
      </c>
      <c r="D871" s="64" t="e">
        <f t="shared" si="82"/>
        <v>#N/A</v>
      </c>
      <c r="E871" s="121" cm="1">
        <f t="array" ref="E871">INDEX(InputArea,B871,C871)</f>
        <v>0</v>
      </c>
      <c r="F871" s="59" t="str">
        <f t="shared" si="83"/>
        <v>./</v>
      </c>
      <c r="G871" s="59" t="str">
        <f t="shared" si="84"/>
        <v>られ</v>
      </c>
      <c r="H871" s="134"/>
      <c r="I871" s="135"/>
      <c r="J871" s="84">
        <f t="shared" si="85"/>
        <v>3</v>
      </c>
      <c r="K871" s="83"/>
      <c r="L871" s="64" t="e">
        <v>#N/A</v>
      </c>
      <c r="M871" s="121">
        <v>0</v>
      </c>
      <c r="N871" s="59" t="str">
        <v>./</v>
      </c>
      <c r="O871" s="126" t="str">
        <v>られ</v>
      </c>
      <c r="P871" s="126">
        <v>0</v>
      </c>
      <c r="Q871" s="127">
        <v>0</v>
      </c>
      <c r="R871" s="84">
        <v>3</v>
      </c>
      <c r="T871" s="100" t="e">
        <v>#N/A</v>
      </c>
      <c r="U871" s="121">
        <v>0</v>
      </c>
      <c r="V871" s="59" t="str">
        <v>./</v>
      </c>
      <c r="W871" s="126" t="str">
        <v>られ</v>
      </c>
      <c r="X871" s="126">
        <v>0</v>
      </c>
      <c r="Y871" s="127">
        <v>0</v>
      </c>
      <c r="Z871" s="90">
        <v>3</v>
      </c>
    </row>
    <row r="872" spans="1:26" x14ac:dyDescent="0.4">
      <c r="A872" s="52">
        <v>871</v>
      </c>
      <c r="B872" s="51">
        <f t="shared" si="80"/>
        <v>30</v>
      </c>
      <c r="C872" s="50">
        <f t="shared" si="81"/>
        <v>1</v>
      </c>
      <c r="D872" s="64" t="e">
        <f t="shared" si="82"/>
        <v>#N/A</v>
      </c>
      <c r="E872" s="121" cm="1">
        <f t="array" ref="E872">INDEX(InputArea,B872,C872)</f>
        <v>0</v>
      </c>
      <c r="F872" s="59" t="str">
        <f t="shared" si="83"/>
        <v>/Q</v>
      </c>
      <c r="G872" s="59" t="str">
        <f t="shared" si="84"/>
        <v>れヴ</v>
      </c>
      <c r="H872" s="134"/>
      <c r="I872" s="135"/>
      <c r="J872" s="84">
        <f t="shared" si="85"/>
        <v>2</v>
      </c>
      <c r="K872" s="83"/>
      <c r="L872" s="64" t="e">
        <v>#N/A</v>
      </c>
      <c r="M872" s="121">
        <v>0</v>
      </c>
      <c r="N872" s="59" t="str">
        <v>/Q</v>
      </c>
      <c r="O872" s="126" t="str">
        <v>れヴ</v>
      </c>
      <c r="P872" s="126">
        <v>0</v>
      </c>
      <c r="Q872" s="127">
        <v>0</v>
      </c>
      <c r="R872" s="84">
        <v>2</v>
      </c>
      <c r="T872" s="100" t="e">
        <v>#N/A</v>
      </c>
      <c r="U872" s="121">
        <v>0</v>
      </c>
      <c r="V872" s="59" t="str">
        <v>/Q</v>
      </c>
      <c r="W872" s="126" t="str">
        <v>れヴ</v>
      </c>
      <c r="X872" s="126">
        <v>0</v>
      </c>
      <c r="Y872" s="127">
        <v>0</v>
      </c>
      <c r="Z872" s="90">
        <v>2</v>
      </c>
    </row>
    <row r="873" spans="1:26" x14ac:dyDescent="0.4">
      <c r="A873" s="52">
        <v>872</v>
      </c>
      <c r="B873" s="51">
        <f t="shared" si="80"/>
        <v>30</v>
      </c>
      <c r="C873" s="50">
        <f t="shared" si="81"/>
        <v>2</v>
      </c>
      <c r="D873" s="64" t="e">
        <f t="shared" si="82"/>
        <v>#N/A</v>
      </c>
      <c r="E873" s="121" cm="1">
        <f t="array" ref="E873">INDEX(InputArea,B873,C873)</f>
        <v>0</v>
      </c>
      <c r="F873" s="59" t="str">
        <f t="shared" si="83"/>
        <v>/W</v>
      </c>
      <c r="G873" s="59" t="str">
        <f t="shared" si="84"/>
        <v>れき</v>
      </c>
      <c r="H873" s="134"/>
      <c r="I873" s="135"/>
      <c r="J873" s="84">
        <f t="shared" si="85"/>
        <v>2</v>
      </c>
      <c r="K873" s="83"/>
      <c r="L873" s="64" t="e">
        <v>#N/A</v>
      </c>
      <c r="M873" s="121">
        <v>0</v>
      </c>
      <c r="N873" s="59" t="str">
        <v>/W</v>
      </c>
      <c r="O873" s="126" t="str">
        <v>れき</v>
      </c>
      <c r="P873" s="126">
        <v>0</v>
      </c>
      <c r="Q873" s="127">
        <v>0</v>
      </c>
      <c r="R873" s="84">
        <v>2</v>
      </c>
      <c r="T873" s="100" t="e">
        <v>#N/A</v>
      </c>
      <c r="U873" s="121">
        <v>0</v>
      </c>
      <c r="V873" s="59" t="str">
        <v>/W</v>
      </c>
      <c r="W873" s="126" t="str">
        <v>れき</v>
      </c>
      <c r="X873" s="126">
        <v>0</v>
      </c>
      <c r="Y873" s="127">
        <v>0</v>
      </c>
      <c r="Z873" s="90">
        <v>2</v>
      </c>
    </row>
    <row r="874" spans="1:26" x14ac:dyDescent="0.4">
      <c r="A874" s="52">
        <v>873</v>
      </c>
      <c r="B874" s="51">
        <f t="shared" si="80"/>
        <v>30</v>
      </c>
      <c r="C874" s="50">
        <f t="shared" si="81"/>
        <v>3</v>
      </c>
      <c r="D874" s="64" t="e">
        <f t="shared" si="82"/>
        <v>#N/A</v>
      </c>
      <c r="E874" s="121" cm="1">
        <f t="array" ref="E874">INDEX(InputArea,B874,C874)</f>
        <v>0</v>
      </c>
      <c r="F874" s="59" t="str">
        <f t="shared" si="83"/>
        <v>/E</v>
      </c>
      <c r="G874" s="59" t="str">
        <f t="shared" si="84"/>
        <v>れて</v>
      </c>
      <c r="H874" s="134"/>
      <c r="I874" s="135"/>
      <c r="J874" s="84">
        <f t="shared" si="85"/>
        <v>2</v>
      </c>
      <c r="K874" s="83"/>
      <c r="L874" s="64" t="e">
        <v>#N/A</v>
      </c>
      <c r="M874" s="121">
        <v>0</v>
      </c>
      <c r="N874" s="59" t="str">
        <v>/E</v>
      </c>
      <c r="O874" s="126" t="str">
        <v>れて</v>
      </c>
      <c r="P874" s="126">
        <v>0</v>
      </c>
      <c r="Q874" s="127">
        <v>0</v>
      </c>
      <c r="R874" s="84">
        <v>2</v>
      </c>
      <c r="T874" s="100" t="e">
        <v>#N/A</v>
      </c>
      <c r="U874" s="121">
        <v>0</v>
      </c>
      <c r="V874" s="59" t="str">
        <v>/E</v>
      </c>
      <c r="W874" s="126" t="str">
        <v>れて</v>
      </c>
      <c r="X874" s="126">
        <v>0</v>
      </c>
      <c r="Y874" s="127">
        <v>0</v>
      </c>
      <c r="Z874" s="90">
        <v>2</v>
      </c>
    </row>
    <row r="875" spans="1:26" x14ac:dyDescent="0.4">
      <c r="A875" s="52">
        <v>874</v>
      </c>
      <c r="B875" s="51">
        <f t="shared" si="80"/>
        <v>30</v>
      </c>
      <c r="C875" s="50">
        <f t="shared" si="81"/>
        <v>4</v>
      </c>
      <c r="D875" s="64" t="e">
        <f t="shared" si="82"/>
        <v>#N/A</v>
      </c>
      <c r="E875" s="121" cm="1">
        <f t="array" ref="E875">INDEX(InputArea,B875,C875)</f>
        <v>0</v>
      </c>
      <c r="F875" s="59" t="str">
        <f t="shared" si="83"/>
        <v>/R</v>
      </c>
      <c r="G875" s="59" t="str">
        <f t="shared" si="84"/>
        <v>れし</v>
      </c>
      <c r="H875" s="134"/>
      <c r="I875" s="135"/>
      <c r="J875" s="84">
        <f t="shared" si="85"/>
        <v>2</v>
      </c>
      <c r="K875" s="83"/>
      <c r="L875" s="64" t="e">
        <v>#N/A</v>
      </c>
      <c r="M875" s="121">
        <v>0</v>
      </c>
      <c r="N875" s="59" t="str">
        <v>/R</v>
      </c>
      <c r="O875" s="126" t="str">
        <v>れし</v>
      </c>
      <c r="P875" s="126">
        <v>0</v>
      </c>
      <c r="Q875" s="127">
        <v>0</v>
      </c>
      <c r="R875" s="84">
        <v>2</v>
      </c>
      <c r="T875" s="100" t="e">
        <v>#N/A</v>
      </c>
      <c r="U875" s="121">
        <v>0</v>
      </c>
      <c r="V875" s="59" t="str">
        <v>/R</v>
      </c>
      <c r="W875" s="126" t="str">
        <v>れし</v>
      </c>
      <c r="X875" s="126">
        <v>0</v>
      </c>
      <c r="Y875" s="127">
        <v>0</v>
      </c>
      <c r="Z875" s="90">
        <v>2</v>
      </c>
    </row>
    <row r="876" spans="1:26" x14ac:dyDescent="0.4">
      <c r="A876" s="52">
        <v>875</v>
      </c>
      <c r="B876" s="51">
        <f t="shared" si="80"/>
        <v>30</v>
      </c>
      <c r="C876" s="50">
        <f t="shared" si="81"/>
        <v>5</v>
      </c>
      <c r="D876" s="64" t="e">
        <f t="shared" si="82"/>
        <v>#N/A</v>
      </c>
      <c r="E876" s="121" cm="1">
        <f t="array" ref="E876">INDEX(InputArea,B876,C876)</f>
        <v>0</v>
      </c>
      <c r="F876" s="59" t="str">
        <f t="shared" si="83"/>
        <v>/T</v>
      </c>
      <c r="G876" s="59" t="str">
        <f t="shared" si="84"/>
        <v>れ←</v>
      </c>
      <c r="H876" s="134"/>
      <c r="I876" s="135"/>
      <c r="J876" s="84">
        <f t="shared" si="85"/>
        <v>2</v>
      </c>
      <c r="K876" s="83"/>
      <c r="L876" s="64" t="e">
        <v>#N/A</v>
      </c>
      <c r="M876" s="121">
        <v>0</v>
      </c>
      <c r="N876" s="59" t="str">
        <v>/T</v>
      </c>
      <c r="O876" s="126" t="str">
        <v>れ←</v>
      </c>
      <c r="P876" s="126">
        <v>0</v>
      </c>
      <c r="Q876" s="127">
        <v>0</v>
      </c>
      <c r="R876" s="84">
        <v>2</v>
      </c>
      <c r="T876" s="100" t="e">
        <v>#N/A</v>
      </c>
      <c r="U876" s="121">
        <v>0</v>
      </c>
      <c r="V876" s="59" t="str">
        <v>/T</v>
      </c>
      <c r="W876" s="126" t="str">
        <v>れ←</v>
      </c>
      <c r="X876" s="126">
        <v>0</v>
      </c>
      <c r="Y876" s="127">
        <v>0</v>
      </c>
      <c r="Z876" s="90">
        <v>2</v>
      </c>
    </row>
    <row r="877" spans="1:26" x14ac:dyDescent="0.4">
      <c r="A877" s="52">
        <v>876</v>
      </c>
      <c r="B877" s="51">
        <f t="shared" si="80"/>
        <v>30</v>
      </c>
      <c r="C877" s="50">
        <f t="shared" si="81"/>
        <v>6</v>
      </c>
      <c r="D877" s="64" t="e">
        <f t="shared" si="82"/>
        <v>#N/A</v>
      </c>
      <c r="E877" s="121" cm="1">
        <f t="array" ref="E877">INDEX(InputArea,B877,C877)</f>
        <v>0</v>
      </c>
      <c r="F877" s="59" t="str">
        <f t="shared" si="83"/>
        <v>/A</v>
      </c>
      <c r="G877" s="59" t="str">
        <f t="shared" si="84"/>
        <v>れろ</v>
      </c>
      <c r="H877" s="134"/>
      <c r="I877" s="135"/>
      <c r="J877" s="84">
        <f t="shared" si="85"/>
        <v>2</v>
      </c>
      <c r="K877" s="83"/>
      <c r="L877" s="64" t="e">
        <v>#N/A</v>
      </c>
      <c r="M877" s="121">
        <v>0</v>
      </c>
      <c r="N877" s="59" t="str">
        <v>/A</v>
      </c>
      <c r="O877" s="126" t="str">
        <v>れろ</v>
      </c>
      <c r="P877" s="126">
        <v>0</v>
      </c>
      <c r="Q877" s="127">
        <v>0</v>
      </c>
      <c r="R877" s="84">
        <v>2</v>
      </c>
      <c r="T877" s="100" t="e">
        <v>#N/A</v>
      </c>
      <c r="U877" s="121">
        <v>0</v>
      </c>
      <c r="V877" s="59" t="str">
        <v>/A</v>
      </c>
      <c r="W877" s="126" t="str">
        <v>れろ</v>
      </c>
      <c r="X877" s="126">
        <v>0</v>
      </c>
      <c r="Y877" s="127">
        <v>0</v>
      </c>
      <c r="Z877" s="90">
        <v>2</v>
      </c>
    </row>
    <row r="878" spans="1:26" x14ac:dyDescent="0.4">
      <c r="A878" s="52">
        <v>877</v>
      </c>
      <c r="B878" s="51">
        <f t="shared" si="80"/>
        <v>30</v>
      </c>
      <c r="C878" s="50">
        <f t="shared" si="81"/>
        <v>7</v>
      </c>
      <c r="D878" s="64" t="e">
        <f t="shared" si="82"/>
        <v>#N/A</v>
      </c>
      <c r="E878" s="121" cm="1">
        <f t="array" ref="E878">INDEX(InputArea,B878,C878)</f>
        <v>0</v>
      </c>
      <c r="F878" s="59" t="str">
        <f t="shared" si="83"/>
        <v>/S</v>
      </c>
      <c r="G878" s="59" t="str">
        <f t="shared" si="84"/>
        <v>れけ</v>
      </c>
      <c r="H878" s="134"/>
      <c r="I878" s="135"/>
      <c r="J878" s="84">
        <f t="shared" si="85"/>
        <v>2</v>
      </c>
      <c r="K878" s="83"/>
      <c r="L878" s="64" t="e">
        <v>#N/A</v>
      </c>
      <c r="M878" s="121">
        <v>0</v>
      </c>
      <c r="N878" s="59" t="str">
        <v>/S</v>
      </c>
      <c r="O878" s="126" t="str">
        <v>れけ</v>
      </c>
      <c r="P878" s="126">
        <v>0</v>
      </c>
      <c r="Q878" s="127">
        <v>0</v>
      </c>
      <c r="R878" s="84">
        <v>2</v>
      </c>
      <c r="T878" s="100" t="e">
        <v>#N/A</v>
      </c>
      <c r="U878" s="121">
        <v>0</v>
      </c>
      <c r="V878" s="59" t="str">
        <v>/S</v>
      </c>
      <c r="W878" s="126" t="str">
        <v>れけ</v>
      </c>
      <c r="X878" s="126">
        <v>0</v>
      </c>
      <c r="Y878" s="127">
        <v>0</v>
      </c>
      <c r="Z878" s="90">
        <v>2</v>
      </c>
    </row>
    <row r="879" spans="1:26" x14ac:dyDescent="0.4">
      <c r="A879" s="52">
        <v>878</v>
      </c>
      <c r="B879" s="51">
        <f t="shared" si="80"/>
        <v>30</v>
      </c>
      <c r="C879" s="50">
        <f t="shared" si="81"/>
        <v>8</v>
      </c>
      <c r="D879" s="64" t="e">
        <f t="shared" si="82"/>
        <v>#N/A</v>
      </c>
      <c r="E879" s="121" cm="1">
        <f t="array" ref="E879">INDEX(InputArea,B879,C879)</f>
        <v>0</v>
      </c>
      <c r="F879" s="59" t="str">
        <f t="shared" si="83"/>
        <v>/D</v>
      </c>
      <c r="G879" s="59" t="str">
        <f t="shared" si="84"/>
        <v>れと</v>
      </c>
      <c r="H879" s="134"/>
      <c r="I879" s="135"/>
      <c r="J879" s="84">
        <f t="shared" si="85"/>
        <v>2</v>
      </c>
      <c r="K879" s="83"/>
      <c r="L879" s="64" t="e">
        <v>#N/A</v>
      </c>
      <c r="M879" s="121">
        <v>0</v>
      </c>
      <c r="N879" s="59" t="str">
        <v>/D</v>
      </c>
      <c r="O879" s="126" t="str">
        <v>れと</v>
      </c>
      <c r="P879" s="126">
        <v>0</v>
      </c>
      <c r="Q879" s="127">
        <v>0</v>
      </c>
      <c r="R879" s="84">
        <v>2</v>
      </c>
      <c r="T879" s="100" t="e">
        <v>#N/A</v>
      </c>
      <c r="U879" s="121">
        <v>0</v>
      </c>
      <c r="V879" s="59" t="str">
        <v>/D</v>
      </c>
      <c r="W879" s="126" t="str">
        <v>れと</v>
      </c>
      <c r="X879" s="126">
        <v>0</v>
      </c>
      <c r="Y879" s="127">
        <v>0</v>
      </c>
      <c r="Z879" s="90">
        <v>2</v>
      </c>
    </row>
    <row r="880" spans="1:26" x14ac:dyDescent="0.4">
      <c r="A880" s="52">
        <v>879</v>
      </c>
      <c r="B880" s="51">
        <f t="shared" si="80"/>
        <v>30</v>
      </c>
      <c r="C880" s="50">
        <f t="shared" si="81"/>
        <v>9</v>
      </c>
      <c r="D880" s="64" t="e">
        <f t="shared" si="82"/>
        <v>#N/A</v>
      </c>
      <c r="E880" s="121" cm="1">
        <f t="array" ref="E880">INDEX(InputArea,B880,C880)</f>
        <v>0</v>
      </c>
      <c r="F880" s="59" t="str">
        <f t="shared" si="83"/>
        <v>/F</v>
      </c>
      <c r="G880" s="59" t="str">
        <f t="shared" si="84"/>
        <v>れか</v>
      </c>
      <c r="H880" s="134"/>
      <c r="I880" s="135"/>
      <c r="J880" s="84">
        <f t="shared" si="85"/>
        <v>2</v>
      </c>
      <c r="K880" s="83"/>
      <c r="L880" s="64" t="e">
        <v>#N/A</v>
      </c>
      <c r="M880" s="121">
        <v>0</v>
      </c>
      <c r="N880" s="59" t="str">
        <v>/F</v>
      </c>
      <c r="O880" s="126" t="str">
        <v>れか</v>
      </c>
      <c r="P880" s="126">
        <v>0</v>
      </c>
      <c r="Q880" s="127">
        <v>0</v>
      </c>
      <c r="R880" s="84">
        <v>2</v>
      </c>
      <c r="T880" s="100" t="e">
        <v>#N/A</v>
      </c>
      <c r="U880" s="121">
        <v>0</v>
      </c>
      <c r="V880" s="59" t="str">
        <v>/F</v>
      </c>
      <c r="W880" s="126" t="str">
        <v>れか</v>
      </c>
      <c r="X880" s="126">
        <v>0</v>
      </c>
      <c r="Y880" s="127">
        <v>0</v>
      </c>
      <c r="Z880" s="90">
        <v>2</v>
      </c>
    </row>
    <row r="881" spans="1:26" x14ac:dyDescent="0.4">
      <c r="A881" s="52">
        <v>880</v>
      </c>
      <c r="B881" s="51">
        <f t="shared" si="80"/>
        <v>30</v>
      </c>
      <c r="C881" s="50">
        <f t="shared" si="81"/>
        <v>10</v>
      </c>
      <c r="D881" s="64" t="e">
        <f t="shared" si="82"/>
        <v>#N/A</v>
      </c>
      <c r="E881" s="121" cm="1">
        <f t="array" ref="E881">INDEX(InputArea,B881,C881)</f>
        <v>0</v>
      </c>
      <c r="F881" s="59" t="str">
        <f t="shared" si="83"/>
        <v>/G</v>
      </c>
      <c r="G881" s="59" t="str">
        <f t="shared" si="84"/>
        <v>れっ</v>
      </c>
      <c r="H881" s="134"/>
      <c r="I881" s="135"/>
      <c r="J881" s="84">
        <f t="shared" si="85"/>
        <v>2</v>
      </c>
      <c r="K881" s="83"/>
      <c r="L881" s="64" t="e">
        <v>#N/A</v>
      </c>
      <c r="M881" s="121">
        <v>0</v>
      </c>
      <c r="N881" s="59" t="str">
        <v>/G</v>
      </c>
      <c r="O881" s="126" t="str">
        <v>れっ</v>
      </c>
      <c r="P881" s="126">
        <v>0</v>
      </c>
      <c r="Q881" s="127">
        <v>0</v>
      </c>
      <c r="R881" s="84">
        <v>2</v>
      </c>
      <c r="T881" s="100" t="e">
        <v>#N/A</v>
      </c>
      <c r="U881" s="121">
        <v>0</v>
      </c>
      <c r="V881" s="59" t="str">
        <v>/G</v>
      </c>
      <c r="W881" s="126" t="str">
        <v>れっ</v>
      </c>
      <c r="X881" s="126">
        <v>0</v>
      </c>
      <c r="Y881" s="127">
        <v>0</v>
      </c>
      <c r="Z881" s="90">
        <v>2</v>
      </c>
    </row>
    <row r="882" spans="1:26" x14ac:dyDescent="0.4">
      <c r="A882" s="52">
        <v>881</v>
      </c>
      <c r="B882" s="51">
        <f t="shared" si="80"/>
        <v>30</v>
      </c>
      <c r="C882" s="50">
        <f t="shared" si="81"/>
        <v>11</v>
      </c>
      <c r="D882" s="64" t="e">
        <f t="shared" si="82"/>
        <v>#N/A</v>
      </c>
      <c r="E882" s="121" cm="1">
        <f t="array" ref="E882">INDEX(InputArea,B882,C882)</f>
        <v>0</v>
      </c>
      <c r="F882" s="59" t="str">
        <f t="shared" si="83"/>
        <v>/Z</v>
      </c>
      <c r="G882" s="59" t="str">
        <f t="shared" si="84"/>
        <v>れほ</v>
      </c>
      <c r="H882" s="134"/>
      <c r="I882" s="135"/>
      <c r="J882" s="84">
        <f t="shared" si="85"/>
        <v>2</v>
      </c>
      <c r="K882" s="83"/>
      <c r="L882" s="64" t="e">
        <v>#N/A</v>
      </c>
      <c r="M882" s="121">
        <v>0</v>
      </c>
      <c r="N882" s="59" t="str">
        <v>/Z</v>
      </c>
      <c r="O882" s="126" t="str">
        <v>れほ</v>
      </c>
      <c r="P882" s="126">
        <v>0</v>
      </c>
      <c r="Q882" s="127">
        <v>0</v>
      </c>
      <c r="R882" s="84">
        <v>2</v>
      </c>
      <c r="T882" s="100" t="e">
        <v>#N/A</v>
      </c>
      <c r="U882" s="121">
        <v>0</v>
      </c>
      <c r="V882" s="59" t="str">
        <v>/Z</v>
      </c>
      <c r="W882" s="126" t="str">
        <v>れほ</v>
      </c>
      <c r="X882" s="126">
        <v>0</v>
      </c>
      <c r="Y882" s="127">
        <v>0</v>
      </c>
      <c r="Z882" s="90">
        <v>2</v>
      </c>
    </row>
    <row r="883" spans="1:26" x14ac:dyDescent="0.4">
      <c r="A883" s="52">
        <v>882</v>
      </c>
      <c r="B883" s="51">
        <f t="shared" si="80"/>
        <v>30</v>
      </c>
      <c r="C883" s="50">
        <f t="shared" si="81"/>
        <v>12</v>
      </c>
      <c r="D883" s="64" t="e">
        <f t="shared" si="82"/>
        <v>#N/A</v>
      </c>
      <c r="E883" s="121" cm="1">
        <f t="array" ref="E883">INDEX(InputArea,B883,C883)</f>
        <v>0</v>
      </c>
      <c r="F883" s="59" t="str">
        <f t="shared" si="83"/>
        <v>/X</v>
      </c>
      <c r="G883" s="59" t="str">
        <f t="shared" si="84"/>
        <v>れひ</v>
      </c>
      <c r="H883" s="134"/>
      <c r="I883" s="135"/>
      <c r="J883" s="84">
        <f t="shared" si="85"/>
        <v>2</v>
      </c>
      <c r="K883" s="83"/>
      <c r="L883" s="64" t="e">
        <v>#N/A</v>
      </c>
      <c r="M883" s="121">
        <v>0</v>
      </c>
      <c r="N883" s="59" t="str">
        <v>/X</v>
      </c>
      <c r="O883" s="126" t="str">
        <v>れひ</v>
      </c>
      <c r="P883" s="126">
        <v>0</v>
      </c>
      <c r="Q883" s="127">
        <v>0</v>
      </c>
      <c r="R883" s="84">
        <v>2</v>
      </c>
      <c r="T883" s="100" t="e">
        <v>#N/A</v>
      </c>
      <c r="U883" s="121">
        <v>0</v>
      </c>
      <c r="V883" s="59" t="str">
        <v>/X</v>
      </c>
      <c r="W883" s="126" t="str">
        <v>れひ</v>
      </c>
      <c r="X883" s="126">
        <v>0</v>
      </c>
      <c r="Y883" s="127">
        <v>0</v>
      </c>
      <c r="Z883" s="90">
        <v>2</v>
      </c>
    </row>
    <row r="884" spans="1:26" x14ac:dyDescent="0.4">
      <c r="A884" s="52">
        <v>883</v>
      </c>
      <c r="B884" s="51">
        <f t="shared" si="80"/>
        <v>30</v>
      </c>
      <c r="C884" s="50">
        <f t="shared" si="81"/>
        <v>13</v>
      </c>
      <c r="D884" s="64" t="e">
        <f t="shared" si="82"/>
        <v>#N/A</v>
      </c>
      <c r="E884" s="121" cm="1">
        <f t="array" ref="E884">INDEX(InputArea,B884,C884)</f>
        <v>0</v>
      </c>
      <c r="F884" s="59" t="str">
        <f t="shared" si="83"/>
        <v>/C</v>
      </c>
      <c r="G884" s="59" t="str">
        <f t="shared" si="84"/>
        <v>れは</v>
      </c>
      <c r="H884" s="134"/>
      <c r="I884" s="135"/>
      <c r="J884" s="84">
        <f t="shared" si="85"/>
        <v>2</v>
      </c>
      <c r="K884" s="83"/>
      <c r="L884" s="64" t="e">
        <v>#N/A</v>
      </c>
      <c r="M884" s="121">
        <v>0</v>
      </c>
      <c r="N884" s="59" t="str">
        <v>/C</v>
      </c>
      <c r="O884" s="126" t="str">
        <v>れは</v>
      </c>
      <c r="P884" s="126">
        <v>0</v>
      </c>
      <c r="Q884" s="127">
        <v>0</v>
      </c>
      <c r="R884" s="84">
        <v>2</v>
      </c>
      <c r="T884" s="100" t="e">
        <v>#N/A</v>
      </c>
      <c r="U884" s="121">
        <v>0</v>
      </c>
      <c r="V884" s="59" t="str">
        <v>/C</v>
      </c>
      <c r="W884" s="126" t="str">
        <v>れは</v>
      </c>
      <c r="X884" s="126">
        <v>0</v>
      </c>
      <c r="Y884" s="127">
        <v>0</v>
      </c>
      <c r="Z884" s="90">
        <v>2</v>
      </c>
    </row>
    <row r="885" spans="1:26" x14ac:dyDescent="0.4">
      <c r="A885" s="52">
        <v>884</v>
      </c>
      <c r="B885" s="51">
        <f t="shared" si="80"/>
        <v>30</v>
      </c>
      <c r="C885" s="50">
        <f t="shared" si="81"/>
        <v>14</v>
      </c>
      <c r="D885" s="64" t="e">
        <f t="shared" si="82"/>
        <v>#N/A</v>
      </c>
      <c r="E885" s="121" cm="1">
        <f t="array" ref="E885">INDEX(InputArea,B885,C885)</f>
        <v>0</v>
      </c>
      <c r="F885" s="59" t="str">
        <f t="shared" si="83"/>
        <v>/V</v>
      </c>
      <c r="G885" s="59" t="str">
        <f t="shared" si="84"/>
        <v>れこ</v>
      </c>
      <c r="H885" s="134"/>
      <c r="I885" s="135"/>
      <c r="J885" s="84">
        <f t="shared" si="85"/>
        <v>2</v>
      </c>
      <c r="K885" s="83"/>
      <c r="L885" s="64" t="e">
        <v>#N/A</v>
      </c>
      <c r="M885" s="121">
        <v>0</v>
      </c>
      <c r="N885" s="59" t="str">
        <v>/V</v>
      </c>
      <c r="O885" s="126" t="str">
        <v>れこ</v>
      </c>
      <c r="P885" s="126">
        <v>0</v>
      </c>
      <c r="Q885" s="127">
        <v>0</v>
      </c>
      <c r="R885" s="84">
        <v>2</v>
      </c>
      <c r="T885" s="100" t="e">
        <v>#N/A</v>
      </c>
      <c r="U885" s="121">
        <v>0</v>
      </c>
      <c r="V885" s="59" t="str">
        <v>/V</v>
      </c>
      <c r="W885" s="126" t="str">
        <v>れこ</v>
      </c>
      <c r="X885" s="126">
        <v>0</v>
      </c>
      <c r="Y885" s="127">
        <v>0</v>
      </c>
      <c r="Z885" s="90">
        <v>2</v>
      </c>
    </row>
    <row r="886" spans="1:26" x14ac:dyDescent="0.4">
      <c r="A886" s="52">
        <v>885</v>
      </c>
      <c r="B886" s="51">
        <f t="shared" si="80"/>
        <v>30</v>
      </c>
      <c r="C886" s="50">
        <f t="shared" si="81"/>
        <v>15</v>
      </c>
      <c r="D886" s="64" t="e">
        <f t="shared" si="82"/>
        <v>#N/A</v>
      </c>
      <c r="E886" s="121" cm="1">
        <f t="array" ref="E886">INDEX(InputArea,B886,C886)</f>
        <v>0</v>
      </c>
      <c r="F886" s="59" t="str">
        <f t="shared" si="83"/>
        <v>/B</v>
      </c>
      <c r="G886" s="59" t="str">
        <f t="shared" si="84"/>
        <v>れそ</v>
      </c>
      <c r="H886" s="134"/>
      <c r="I886" s="135"/>
      <c r="J886" s="84">
        <f t="shared" si="85"/>
        <v>2</v>
      </c>
      <c r="K886" s="83"/>
      <c r="L886" s="64" t="e">
        <v>#N/A</v>
      </c>
      <c r="M886" s="121">
        <v>0</v>
      </c>
      <c r="N886" s="59" t="str">
        <v>/B</v>
      </c>
      <c r="O886" s="126" t="str">
        <v>れそ</v>
      </c>
      <c r="P886" s="126">
        <v>0</v>
      </c>
      <c r="Q886" s="127">
        <v>0</v>
      </c>
      <c r="R886" s="84">
        <v>2</v>
      </c>
      <c r="T886" s="100" t="e">
        <v>#N/A</v>
      </c>
      <c r="U886" s="121">
        <v>0</v>
      </c>
      <c r="V886" s="59" t="str">
        <v>/B</v>
      </c>
      <c r="W886" s="126" t="str">
        <v>れそ</v>
      </c>
      <c r="X886" s="126">
        <v>0</v>
      </c>
      <c r="Y886" s="127">
        <v>0</v>
      </c>
      <c r="Z886" s="90">
        <v>2</v>
      </c>
    </row>
    <row r="887" spans="1:26" x14ac:dyDescent="0.4">
      <c r="A887" s="52">
        <v>886</v>
      </c>
      <c r="B887" s="51">
        <f t="shared" si="80"/>
        <v>30</v>
      </c>
      <c r="C887" s="50">
        <f t="shared" si="81"/>
        <v>16</v>
      </c>
      <c r="D887" s="64" t="e">
        <f t="shared" si="82"/>
        <v>#N/A</v>
      </c>
      <c r="E887" s="121" cm="1">
        <f t="array" ref="E887">INDEX(InputArea,B887,C887)</f>
        <v>0</v>
      </c>
      <c r="F887" s="59" t="str">
        <f t="shared" si="83"/>
        <v>/Y</v>
      </c>
      <c r="G887" s="59" t="str">
        <f t="shared" si="84"/>
        <v>れ→</v>
      </c>
      <c r="H887" s="134"/>
      <c r="I887" s="135"/>
      <c r="J887" s="84">
        <f t="shared" si="85"/>
        <v>3</v>
      </c>
      <c r="K887" s="83"/>
      <c r="L887" s="64" t="e">
        <v>#N/A</v>
      </c>
      <c r="M887" s="121">
        <v>0</v>
      </c>
      <c r="N887" s="59" t="str">
        <v>/Y</v>
      </c>
      <c r="O887" s="126" t="str">
        <v>れ→</v>
      </c>
      <c r="P887" s="126">
        <v>0</v>
      </c>
      <c r="Q887" s="127">
        <v>0</v>
      </c>
      <c r="R887" s="84">
        <v>3</v>
      </c>
      <c r="T887" s="100" t="e">
        <v>#N/A</v>
      </c>
      <c r="U887" s="121">
        <v>0</v>
      </c>
      <c r="V887" s="59" t="str">
        <v>/Y</v>
      </c>
      <c r="W887" s="126" t="str">
        <v>れ→</v>
      </c>
      <c r="X887" s="126">
        <v>0</v>
      </c>
      <c r="Y887" s="127">
        <v>0</v>
      </c>
      <c r="Z887" s="90">
        <v>3</v>
      </c>
    </row>
    <row r="888" spans="1:26" x14ac:dyDescent="0.4">
      <c r="A888" s="52">
        <v>887</v>
      </c>
      <c r="B888" s="51">
        <f t="shared" si="80"/>
        <v>30</v>
      </c>
      <c r="C888" s="50">
        <f t="shared" si="81"/>
        <v>17</v>
      </c>
      <c r="D888" s="64" t="e">
        <f t="shared" si="82"/>
        <v>#N/A</v>
      </c>
      <c r="E888" s="121" cm="1">
        <f t="array" ref="E888">INDEX(InputArea,B888,C888)</f>
        <v>0</v>
      </c>
      <c r="F888" s="59" t="str">
        <f t="shared" si="83"/>
        <v>/U</v>
      </c>
      <c r="G888" s="59" t="str">
        <f t="shared" si="84"/>
        <v>れBS</v>
      </c>
      <c r="H888" s="134"/>
      <c r="I888" s="135"/>
      <c r="J888" s="84">
        <f t="shared" si="85"/>
        <v>3</v>
      </c>
      <c r="K888" s="83"/>
      <c r="L888" s="64" t="e">
        <v>#N/A</v>
      </c>
      <c r="M888" s="121">
        <v>0</v>
      </c>
      <c r="N888" s="59" t="str">
        <v>/U</v>
      </c>
      <c r="O888" s="126" t="str">
        <v>れBS</v>
      </c>
      <c r="P888" s="126">
        <v>0</v>
      </c>
      <c r="Q888" s="127">
        <v>0</v>
      </c>
      <c r="R888" s="84">
        <v>3</v>
      </c>
      <c r="T888" s="100" t="e">
        <v>#N/A</v>
      </c>
      <c r="U888" s="121">
        <v>0</v>
      </c>
      <c r="V888" s="59" t="str">
        <v>/U</v>
      </c>
      <c r="W888" s="126" t="str">
        <v>れBS</v>
      </c>
      <c r="X888" s="126">
        <v>0</v>
      </c>
      <c r="Y888" s="127">
        <v>0</v>
      </c>
      <c r="Z888" s="90">
        <v>3</v>
      </c>
    </row>
    <row r="889" spans="1:26" x14ac:dyDescent="0.4">
      <c r="A889" s="52">
        <v>888</v>
      </c>
      <c r="B889" s="51">
        <f t="shared" si="80"/>
        <v>30</v>
      </c>
      <c r="C889" s="50">
        <f t="shared" si="81"/>
        <v>18</v>
      </c>
      <c r="D889" s="64" t="e">
        <f t="shared" si="82"/>
        <v>#N/A</v>
      </c>
      <c r="E889" s="121" cm="1">
        <f t="array" ref="E889">INDEX(InputArea,B889,C889)</f>
        <v>0</v>
      </c>
      <c r="F889" s="59" t="str">
        <f t="shared" si="83"/>
        <v>/I</v>
      </c>
      <c r="G889" s="59" t="str">
        <f t="shared" si="84"/>
        <v>れる</v>
      </c>
      <c r="H889" s="134"/>
      <c r="I889" s="135"/>
      <c r="J889" s="84">
        <f t="shared" si="85"/>
        <v>3</v>
      </c>
      <c r="K889" s="83"/>
      <c r="L889" s="64" t="e">
        <v>#N/A</v>
      </c>
      <c r="M889" s="121">
        <v>0</v>
      </c>
      <c r="N889" s="59" t="str">
        <v>/I</v>
      </c>
      <c r="O889" s="126" t="str">
        <v>れる</v>
      </c>
      <c r="P889" s="126">
        <v>0</v>
      </c>
      <c r="Q889" s="127">
        <v>0</v>
      </c>
      <c r="R889" s="84">
        <v>3</v>
      </c>
      <c r="T889" s="100" t="e">
        <v>#N/A</v>
      </c>
      <c r="U889" s="121">
        <v>0</v>
      </c>
      <c r="V889" s="59" t="str">
        <v>/I</v>
      </c>
      <c r="W889" s="126" t="str">
        <v>れる</v>
      </c>
      <c r="X889" s="126">
        <v>0</v>
      </c>
      <c r="Y889" s="127">
        <v>0</v>
      </c>
      <c r="Z889" s="90">
        <v>3</v>
      </c>
    </row>
    <row r="890" spans="1:26" x14ac:dyDescent="0.4">
      <c r="A890" s="52">
        <v>889</v>
      </c>
      <c r="B890" s="51">
        <f t="shared" si="80"/>
        <v>30</v>
      </c>
      <c r="C890" s="50">
        <f t="shared" si="81"/>
        <v>19</v>
      </c>
      <c r="D890" s="64" t="e">
        <f t="shared" si="82"/>
        <v>#N/A</v>
      </c>
      <c r="E890" s="121" cm="1">
        <f t="array" ref="E890">INDEX(InputArea,B890,C890)</f>
        <v>0</v>
      </c>
      <c r="F890" s="59" t="str">
        <f t="shared" si="83"/>
        <v>/O</v>
      </c>
      <c r="G890" s="59" t="str">
        <f t="shared" si="84"/>
        <v>れす</v>
      </c>
      <c r="H890" s="134"/>
      <c r="I890" s="135"/>
      <c r="J890" s="84">
        <f t="shared" si="85"/>
        <v>3</v>
      </c>
      <c r="K890" s="83"/>
      <c r="L890" s="64" t="e">
        <v>#N/A</v>
      </c>
      <c r="M890" s="121">
        <v>0</v>
      </c>
      <c r="N890" s="59" t="str">
        <v>/O</v>
      </c>
      <c r="O890" s="126" t="str">
        <v>れす</v>
      </c>
      <c r="P890" s="126">
        <v>0</v>
      </c>
      <c r="Q890" s="127">
        <v>0</v>
      </c>
      <c r="R890" s="84">
        <v>3</v>
      </c>
      <c r="T890" s="100" t="e">
        <v>#N/A</v>
      </c>
      <c r="U890" s="121">
        <v>0</v>
      </c>
      <c r="V890" s="59" t="str">
        <v>/O</v>
      </c>
      <c r="W890" s="126" t="str">
        <v>れす</v>
      </c>
      <c r="X890" s="126">
        <v>0</v>
      </c>
      <c r="Y890" s="127">
        <v>0</v>
      </c>
      <c r="Z890" s="90">
        <v>3</v>
      </c>
    </row>
    <row r="891" spans="1:26" x14ac:dyDescent="0.4">
      <c r="A891" s="52">
        <v>890</v>
      </c>
      <c r="B891" s="51">
        <f t="shared" si="80"/>
        <v>30</v>
      </c>
      <c r="C891" s="50">
        <f t="shared" si="81"/>
        <v>20</v>
      </c>
      <c r="D891" s="64" t="e">
        <f t="shared" si="82"/>
        <v>#N/A</v>
      </c>
      <c r="E891" s="121" cm="1">
        <f t="array" ref="E891">INDEX(InputArea,B891,C891)</f>
        <v>0</v>
      </c>
      <c r="F891" s="59" t="str">
        <f t="shared" si="83"/>
        <v>/P</v>
      </c>
      <c r="G891" s="59" t="str">
        <f t="shared" si="84"/>
        <v>れへ</v>
      </c>
      <c r="H891" s="134"/>
      <c r="I891" s="135"/>
      <c r="J891" s="84">
        <f t="shared" si="85"/>
        <v>3</v>
      </c>
      <c r="K891" s="83"/>
      <c r="L891" s="64" t="e">
        <v>#N/A</v>
      </c>
      <c r="M891" s="121">
        <v>0</v>
      </c>
      <c r="N891" s="59" t="str">
        <v>/P</v>
      </c>
      <c r="O891" s="126" t="str">
        <v>れへ</v>
      </c>
      <c r="P891" s="126">
        <v>0</v>
      </c>
      <c r="Q891" s="127">
        <v>0</v>
      </c>
      <c r="R891" s="84">
        <v>3</v>
      </c>
      <c r="T891" s="100" t="e">
        <v>#N/A</v>
      </c>
      <c r="U891" s="121">
        <v>0</v>
      </c>
      <c r="V891" s="59" t="str">
        <v>/P</v>
      </c>
      <c r="W891" s="126" t="str">
        <v>れへ</v>
      </c>
      <c r="X891" s="126">
        <v>0</v>
      </c>
      <c r="Y891" s="127">
        <v>0</v>
      </c>
      <c r="Z891" s="90">
        <v>3</v>
      </c>
    </row>
    <row r="892" spans="1:26" x14ac:dyDescent="0.4">
      <c r="A892" s="52">
        <v>891</v>
      </c>
      <c r="B892" s="51">
        <f t="shared" si="80"/>
        <v>30</v>
      </c>
      <c r="C892" s="50">
        <f t="shared" si="81"/>
        <v>21</v>
      </c>
      <c r="D892" s="64" t="e">
        <f t="shared" si="82"/>
        <v>#N/A</v>
      </c>
      <c r="E892" s="121" cm="1">
        <f t="array" ref="E892">INDEX(InputArea,B892,C892)</f>
        <v>0</v>
      </c>
      <c r="F892" s="59" t="str">
        <f t="shared" si="83"/>
        <v>/H</v>
      </c>
      <c r="G892" s="59" t="str">
        <f t="shared" si="84"/>
        <v>れく</v>
      </c>
      <c r="H892" s="134"/>
      <c r="I892" s="135"/>
      <c r="J892" s="84">
        <f t="shared" si="85"/>
        <v>3</v>
      </c>
      <c r="K892" s="83"/>
      <c r="L892" s="64" t="e">
        <v>#N/A</v>
      </c>
      <c r="M892" s="121">
        <v>0</v>
      </c>
      <c r="N892" s="59" t="str">
        <v>/H</v>
      </c>
      <c r="O892" s="126" t="str">
        <v>れく</v>
      </c>
      <c r="P892" s="126">
        <v>0</v>
      </c>
      <c r="Q892" s="127">
        <v>0</v>
      </c>
      <c r="R892" s="84">
        <v>3</v>
      </c>
      <c r="T892" s="100" t="e">
        <v>#N/A</v>
      </c>
      <c r="U892" s="121">
        <v>0</v>
      </c>
      <c r="V892" s="59" t="str">
        <v>/H</v>
      </c>
      <c r="W892" s="126" t="str">
        <v>れく</v>
      </c>
      <c r="X892" s="126">
        <v>0</v>
      </c>
      <c r="Y892" s="127">
        <v>0</v>
      </c>
      <c r="Z892" s="90">
        <v>3</v>
      </c>
    </row>
    <row r="893" spans="1:26" x14ac:dyDescent="0.4">
      <c r="A893" s="52">
        <v>892</v>
      </c>
      <c r="B893" s="51">
        <f t="shared" si="80"/>
        <v>30</v>
      </c>
      <c r="C893" s="50">
        <f t="shared" si="81"/>
        <v>22</v>
      </c>
      <c r="D893" s="64" t="e">
        <f t="shared" si="82"/>
        <v>#N/A</v>
      </c>
      <c r="E893" s="121" cm="1">
        <f t="array" ref="E893">INDEX(InputArea,B893,C893)</f>
        <v>0</v>
      </c>
      <c r="F893" s="59" t="str">
        <f t="shared" si="83"/>
        <v>/J</v>
      </c>
      <c r="G893" s="59" t="str">
        <f t="shared" si="84"/>
        <v>れあ</v>
      </c>
      <c r="H893" s="134"/>
      <c r="I893" s="135"/>
      <c r="J893" s="84">
        <f t="shared" si="85"/>
        <v>3</v>
      </c>
      <c r="K893" s="83"/>
      <c r="L893" s="64" t="e">
        <v>#N/A</v>
      </c>
      <c r="M893" s="121">
        <v>0</v>
      </c>
      <c r="N893" s="59" t="str">
        <v>/J</v>
      </c>
      <c r="O893" s="126" t="str">
        <v>れあ</v>
      </c>
      <c r="P893" s="126">
        <v>0</v>
      </c>
      <c r="Q893" s="127">
        <v>0</v>
      </c>
      <c r="R893" s="84">
        <v>3</v>
      </c>
      <c r="T893" s="100" t="e">
        <v>#N/A</v>
      </c>
      <c r="U893" s="121">
        <v>0</v>
      </c>
      <c r="V893" s="59" t="str">
        <v>/J</v>
      </c>
      <c r="W893" s="126" t="str">
        <v>れあ</v>
      </c>
      <c r="X893" s="126">
        <v>0</v>
      </c>
      <c r="Y893" s="127">
        <v>0</v>
      </c>
      <c r="Z893" s="90">
        <v>3</v>
      </c>
    </row>
    <row r="894" spans="1:26" x14ac:dyDescent="0.4">
      <c r="A894" s="52">
        <v>893</v>
      </c>
      <c r="B894" s="51">
        <f t="shared" si="80"/>
        <v>30</v>
      </c>
      <c r="C894" s="50">
        <f t="shared" si="81"/>
        <v>23</v>
      </c>
      <c r="D894" s="64" t="e">
        <f t="shared" si="82"/>
        <v>#N/A</v>
      </c>
      <c r="E894" s="121" cm="1">
        <f t="array" ref="E894">INDEX(InputArea,B894,C894)</f>
        <v>0</v>
      </c>
      <c r="F894" s="59" t="str">
        <f t="shared" si="83"/>
        <v>/K</v>
      </c>
      <c r="G894" s="59" t="str">
        <f t="shared" si="84"/>
        <v>れい</v>
      </c>
      <c r="H894" s="134"/>
      <c r="I894" s="135"/>
      <c r="J894" s="84">
        <f t="shared" si="85"/>
        <v>3</v>
      </c>
      <c r="K894" s="83"/>
      <c r="L894" s="64" t="e">
        <v>#N/A</v>
      </c>
      <c r="M894" s="121">
        <v>0</v>
      </c>
      <c r="N894" s="59" t="str">
        <v>/K</v>
      </c>
      <c r="O894" s="126" t="str">
        <v>れい</v>
      </c>
      <c r="P894" s="126">
        <v>0</v>
      </c>
      <c r="Q894" s="127">
        <v>0</v>
      </c>
      <c r="R894" s="84">
        <v>3</v>
      </c>
      <c r="T894" s="100" t="e">
        <v>#N/A</v>
      </c>
      <c r="U894" s="121">
        <v>0</v>
      </c>
      <c r="V894" s="59" t="str">
        <v>/K</v>
      </c>
      <c r="W894" s="126" t="str">
        <v>れい</v>
      </c>
      <c r="X894" s="126">
        <v>0</v>
      </c>
      <c r="Y894" s="127">
        <v>0</v>
      </c>
      <c r="Z894" s="90">
        <v>3</v>
      </c>
    </row>
    <row r="895" spans="1:26" x14ac:dyDescent="0.4">
      <c r="A895" s="52">
        <v>894</v>
      </c>
      <c r="B895" s="51">
        <f t="shared" si="80"/>
        <v>30</v>
      </c>
      <c r="C895" s="50">
        <f t="shared" si="81"/>
        <v>24</v>
      </c>
      <c r="D895" s="64" t="e">
        <f t="shared" si="82"/>
        <v>#N/A</v>
      </c>
      <c r="E895" s="121" cm="1">
        <f t="array" ref="E895">INDEX(InputArea,B895,C895)</f>
        <v>0</v>
      </c>
      <c r="F895" s="59" t="str">
        <f t="shared" si="83"/>
        <v>/L</v>
      </c>
      <c r="G895" s="59" t="str">
        <f t="shared" si="84"/>
        <v>れう</v>
      </c>
      <c r="H895" s="134"/>
      <c r="I895" s="135"/>
      <c r="J895" s="84">
        <f t="shared" si="85"/>
        <v>3</v>
      </c>
      <c r="K895" s="83"/>
      <c r="L895" s="64" t="e">
        <v>#N/A</v>
      </c>
      <c r="M895" s="121">
        <v>0</v>
      </c>
      <c r="N895" s="59" t="str">
        <v>/L</v>
      </c>
      <c r="O895" s="126" t="str">
        <v>れう</v>
      </c>
      <c r="P895" s="126">
        <v>0</v>
      </c>
      <c r="Q895" s="127">
        <v>0</v>
      </c>
      <c r="R895" s="84">
        <v>3</v>
      </c>
      <c r="T895" s="100" t="e">
        <v>#N/A</v>
      </c>
      <c r="U895" s="121">
        <v>0</v>
      </c>
      <c r="V895" s="59" t="str">
        <v>/L</v>
      </c>
      <c r="W895" s="126" t="str">
        <v>れう</v>
      </c>
      <c r="X895" s="126">
        <v>0</v>
      </c>
      <c r="Y895" s="127">
        <v>0</v>
      </c>
      <c r="Z895" s="90">
        <v>3</v>
      </c>
    </row>
    <row r="896" spans="1:26" x14ac:dyDescent="0.4">
      <c r="A896" s="52">
        <v>895</v>
      </c>
      <c r="B896" s="51">
        <f t="shared" si="80"/>
        <v>30</v>
      </c>
      <c r="C896" s="50">
        <f t="shared" si="81"/>
        <v>25</v>
      </c>
      <c r="D896" s="64" t="e">
        <f t="shared" si="82"/>
        <v>#N/A</v>
      </c>
      <c r="E896" s="121" cm="1">
        <f t="array" ref="E896">INDEX(InputArea,B896,C896)</f>
        <v>0</v>
      </c>
      <c r="F896" s="59" t="str">
        <f t="shared" si="83"/>
        <v>/;</v>
      </c>
      <c r="G896" s="59" t="str">
        <f t="shared" si="84"/>
        <v>れー</v>
      </c>
      <c r="H896" s="134"/>
      <c r="I896" s="135"/>
      <c r="J896" s="84">
        <f t="shared" si="85"/>
        <v>3</v>
      </c>
      <c r="K896" s="83"/>
      <c r="L896" s="64" t="e">
        <v>#N/A</v>
      </c>
      <c r="M896" s="121">
        <v>0</v>
      </c>
      <c r="N896" s="59" t="str">
        <v>/;</v>
      </c>
      <c r="O896" s="126" t="str">
        <v>れー</v>
      </c>
      <c r="P896" s="126">
        <v>0</v>
      </c>
      <c r="Q896" s="127">
        <v>0</v>
      </c>
      <c r="R896" s="84">
        <v>3</v>
      </c>
      <c r="T896" s="100" t="e">
        <v>#N/A</v>
      </c>
      <c r="U896" s="121">
        <v>0</v>
      </c>
      <c r="V896" s="59" t="str">
        <v>/;</v>
      </c>
      <c r="W896" s="126" t="str">
        <v>れー</v>
      </c>
      <c r="X896" s="126">
        <v>0</v>
      </c>
      <c r="Y896" s="127">
        <v>0</v>
      </c>
      <c r="Z896" s="90">
        <v>3</v>
      </c>
    </row>
    <row r="897" spans="1:26" x14ac:dyDescent="0.4">
      <c r="A897" s="52">
        <v>896</v>
      </c>
      <c r="B897" s="51">
        <f t="shared" si="80"/>
        <v>30</v>
      </c>
      <c r="C897" s="50">
        <f t="shared" si="81"/>
        <v>26</v>
      </c>
      <c r="D897" s="64" t="e">
        <f t="shared" si="82"/>
        <v>#N/A</v>
      </c>
      <c r="E897" s="121" cm="1">
        <f t="array" ref="E897">INDEX(InputArea,B897,C897)</f>
        <v>0</v>
      </c>
      <c r="F897" s="59" t="str">
        <f t="shared" si="83"/>
        <v>/N</v>
      </c>
      <c r="G897" s="59" t="str">
        <f t="shared" si="84"/>
        <v>れた</v>
      </c>
      <c r="H897" s="134"/>
      <c r="I897" s="135"/>
      <c r="J897" s="84">
        <f t="shared" si="85"/>
        <v>3</v>
      </c>
      <c r="K897" s="83"/>
      <c r="L897" s="64" t="e">
        <v>#N/A</v>
      </c>
      <c r="M897" s="121">
        <v>0</v>
      </c>
      <c r="N897" s="59" t="str">
        <v>/N</v>
      </c>
      <c r="O897" s="126" t="str">
        <v>れた</v>
      </c>
      <c r="P897" s="126">
        <v>0</v>
      </c>
      <c r="Q897" s="127">
        <v>0</v>
      </c>
      <c r="R897" s="84">
        <v>3</v>
      </c>
      <c r="T897" s="100" t="e">
        <v>#N/A</v>
      </c>
      <c r="U897" s="121">
        <v>0</v>
      </c>
      <c r="V897" s="59" t="str">
        <v>/N</v>
      </c>
      <c r="W897" s="126" t="str">
        <v>れた</v>
      </c>
      <c r="X897" s="126">
        <v>0</v>
      </c>
      <c r="Y897" s="127">
        <v>0</v>
      </c>
      <c r="Z897" s="90">
        <v>3</v>
      </c>
    </row>
    <row r="898" spans="1:26" x14ac:dyDescent="0.4">
      <c r="A898" s="52">
        <v>897</v>
      </c>
      <c r="B898" s="51">
        <f t="shared" ref="B898:B901" si="86">_xlfn.CEILING.MATH(A898/COLUMNS(InputArea))</f>
        <v>30</v>
      </c>
      <c r="C898" s="50">
        <f t="shared" si="81"/>
        <v>27</v>
      </c>
      <c r="D898" s="64" t="e">
        <f t="shared" ref="D898:D901" si="87">_xlfn.RANK.EQ(E898,InputArea,1)</f>
        <v>#N/A</v>
      </c>
      <c r="E898" s="121" cm="1">
        <f t="array" ref="E898">INDEX(InputArea,B898,C898)</f>
        <v>0</v>
      </c>
      <c r="F898" s="59" t="str">
        <f t="shared" si="83"/>
        <v>/M</v>
      </c>
      <c r="G898" s="59" t="str">
        <f t="shared" si="84"/>
        <v>れな</v>
      </c>
      <c r="H898" s="134"/>
      <c r="I898" s="135"/>
      <c r="J898" s="84">
        <f t="shared" si="85"/>
        <v>3</v>
      </c>
      <c r="K898" s="83"/>
      <c r="L898" s="64" t="e">
        <v>#N/A</v>
      </c>
      <c r="M898" s="121">
        <v>0</v>
      </c>
      <c r="N898" s="59" t="str">
        <v>/M</v>
      </c>
      <c r="O898" s="126" t="str">
        <v>れな</v>
      </c>
      <c r="P898" s="126">
        <v>0</v>
      </c>
      <c r="Q898" s="127">
        <v>0</v>
      </c>
      <c r="R898" s="84">
        <v>3</v>
      </c>
      <c r="T898" s="100" t="e">
        <v>#N/A</v>
      </c>
      <c r="U898" s="121">
        <v>0</v>
      </c>
      <c r="V898" s="59" t="str">
        <v>/M</v>
      </c>
      <c r="W898" s="126" t="str">
        <v>れな</v>
      </c>
      <c r="X898" s="126">
        <v>0</v>
      </c>
      <c r="Y898" s="127">
        <v>0</v>
      </c>
      <c r="Z898" s="90">
        <v>3</v>
      </c>
    </row>
    <row r="899" spans="1:26" x14ac:dyDescent="0.4">
      <c r="A899" s="52">
        <v>898</v>
      </c>
      <c r="B899" s="51">
        <f t="shared" si="86"/>
        <v>30</v>
      </c>
      <c r="C899" s="50">
        <f t="shared" si="81"/>
        <v>28</v>
      </c>
      <c r="D899" s="64" t="e">
        <f t="shared" si="87"/>
        <v>#N/A</v>
      </c>
      <c r="E899" s="121" cm="1">
        <f t="array" ref="E899">INDEX(InputArea,B899,C899)</f>
        <v>0</v>
      </c>
      <c r="F899" s="59" t="str">
        <f t="shared" si="83"/>
        <v>/,</v>
      </c>
      <c r="G899" s="59" t="str">
        <f t="shared" si="84"/>
        <v>れん</v>
      </c>
      <c r="H899" s="134"/>
      <c r="I899" s="135"/>
      <c r="J899" s="84">
        <f t="shared" ref="J899:J901" si="88">(_xlfn.CEILING.MATH(B899/15)-1)*2+_xlfn.CEILING.MATH(C899/15)-1</f>
        <v>3</v>
      </c>
      <c r="K899" s="83"/>
      <c r="L899" s="64" t="e">
        <v>#N/A</v>
      </c>
      <c r="M899" s="121">
        <v>0</v>
      </c>
      <c r="N899" s="59" t="str">
        <v>/,</v>
      </c>
      <c r="O899" s="126" t="str">
        <v>れん</v>
      </c>
      <c r="P899" s="126">
        <v>0</v>
      </c>
      <c r="Q899" s="127">
        <v>0</v>
      </c>
      <c r="R899" s="84">
        <v>3</v>
      </c>
      <c r="T899" s="100" t="e">
        <v>#N/A</v>
      </c>
      <c r="U899" s="121">
        <v>0</v>
      </c>
      <c r="V899" s="59" t="str">
        <v>/,</v>
      </c>
      <c r="W899" s="126" t="str">
        <v>れん</v>
      </c>
      <c r="X899" s="126">
        <v>0</v>
      </c>
      <c r="Y899" s="127">
        <v>0</v>
      </c>
      <c r="Z899" s="90">
        <v>3</v>
      </c>
    </row>
    <row r="900" spans="1:26" x14ac:dyDescent="0.4">
      <c r="A900" s="52">
        <v>899</v>
      </c>
      <c r="B900" s="51">
        <f t="shared" si="86"/>
        <v>30</v>
      </c>
      <c r="C900" s="50">
        <f t="shared" si="81"/>
        <v>29</v>
      </c>
      <c r="D900" s="64" t="e">
        <f t="shared" si="87"/>
        <v>#N/A</v>
      </c>
      <c r="E900" s="121" cm="1">
        <f t="array" ref="E900">INDEX(InputArea,B900,C900)</f>
        <v>0</v>
      </c>
      <c r="F900" s="59" t="str">
        <f t="shared" si="83"/>
        <v>/.</v>
      </c>
      <c r="G900" s="59" t="str">
        <f t="shared" si="84"/>
        <v>れら</v>
      </c>
      <c r="H900" s="134"/>
      <c r="I900" s="135"/>
      <c r="J900" s="84">
        <f t="shared" si="88"/>
        <v>3</v>
      </c>
      <c r="K900" s="83"/>
      <c r="L900" s="64" t="e">
        <v>#N/A</v>
      </c>
      <c r="M900" s="121">
        <v>0</v>
      </c>
      <c r="N900" s="59" t="str">
        <v>/.</v>
      </c>
      <c r="O900" s="126" t="str">
        <v>れら</v>
      </c>
      <c r="P900" s="126">
        <v>0</v>
      </c>
      <c r="Q900" s="127">
        <v>0</v>
      </c>
      <c r="R900" s="84">
        <v>3</v>
      </c>
      <c r="T900" s="100" t="e">
        <v>#N/A</v>
      </c>
      <c r="U900" s="121">
        <v>0</v>
      </c>
      <c r="V900" s="59" t="str">
        <v>/.</v>
      </c>
      <c r="W900" s="126" t="str">
        <v>れら</v>
      </c>
      <c r="X900" s="126">
        <v>0</v>
      </c>
      <c r="Y900" s="127">
        <v>0</v>
      </c>
      <c r="Z900" s="90">
        <v>3</v>
      </c>
    </row>
    <row r="901" spans="1:26" x14ac:dyDescent="0.4">
      <c r="A901" s="49">
        <v>900</v>
      </c>
      <c r="B901" s="48">
        <f t="shared" si="86"/>
        <v>30</v>
      </c>
      <c r="C901" s="47">
        <f t="shared" si="81"/>
        <v>30</v>
      </c>
      <c r="D901" s="65" t="e">
        <f t="shared" si="87"/>
        <v>#N/A</v>
      </c>
      <c r="E901" s="122" cm="1">
        <f t="array" ref="E901">INDEX(InputArea,B901,C901)</f>
        <v>0</v>
      </c>
      <c r="F901" s="60" t="str">
        <f t="shared" si="83"/>
        <v>//</v>
      </c>
      <c r="G901" s="60" t="str">
        <f t="shared" si="84"/>
        <v>れれ</v>
      </c>
      <c r="H901" s="138"/>
      <c r="I901" s="139"/>
      <c r="J901" s="85">
        <f t="shared" si="88"/>
        <v>3</v>
      </c>
      <c r="K901" s="83"/>
      <c r="L901" s="65" t="e">
        <v>#N/A</v>
      </c>
      <c r="M901" s="122">
        <v>0</v>
      </c>
      <c r="N901" s="60" t="str">
        <v>//</v>
      </c>
      <c r="O901" s="128" t="str">
        <v>れれ</v>
      </c>
      <c r="P901" s="128">
        <v>0</v>
      </c>
      <c r="Q901" s="129">
        <v>0</v>
      </c>
      <c r="R901" s="85">
        <v>3</v>
      </c>
      <c r="T901" s="101" t="e">
        <v>#N/A</v>
      </c>
      <c r="U901" s="122">
        <v>0</v>
      </c>
      <c r="V901" s="60" t="str">
        <v>//</v>
      </c>
      <c r="W901" s="128" t="str">
        <v>れれ</v>
      </c>
      <c r="X901" s="128">
        <v>0</v>
      </c>
      <c r="Y901" s="129">
        <v>0</v>
      </c>
      <c r="Z901" s="91">
        <v>3</v>
      </c>
    </row>
  </sheetData>
  <phoneticPr fontId="5"/>
  <conditionalFormatting sqref="O2:O901 W2:W901">
    <cfRule type="expression" dxfId="85" priority="1">
      <formula>R2=0</formula>
    </cfRule>
    <cfRule type="expression" dxfId="84" priority="2">
      <formula>R2=1</formula>
    </cfRule>
    <cfRule type="expression" dxfId="83" priority="3">
      <formula>R2=2</formula>
    </cfRule>
    <cfRule type="expression" dxfId="82" priority="4">
      <formula>R2=3</formula>
    </cfRule>
  </conditionalFormatting>
  <pageMargins left="0.94488188976377963" right="0.94488188976377963" top="0.94488188976377963" bottom="0.35433070866141736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AA4E-5499-4D06-A90B-12FDF6A36695}">
  <sheetPr codeName="Sheet11">
    <pageSetUpPr fitToPage="1"/>
  </sheetPr>
  <dimension ref="A1:BG86"/>
  <sheetViews>
    <sheetView zoomScale="60" zoomScaleNormal="60" workbookViewId="0"/>
  </sheetViews>
  <sheetFormatPr defaultColWidth="8.875" defaultRowHeight="18.75" x14ac:dyDescent="0.4"/>
  <cols>
    <col min="1" max="5" width="7.625" customWidth="1"/>
    <col min="6" max="6" width="3.625" customWidth="1"/>
    <col min="7" max="11" width="7.625" customWidth="1"/>
    <col min="12" max="12" width="4.125" customWidth="1"/>
    <col min="13" max="17" width="7.625" customWidth="1"/>
    <col min="18" max="18" width="3.625" customWidth="1"/>
    <col min="19" max="23" width="7.625" customWidth="1"/>
    <col min="24" max="24" width="3.625" customWidth="1"/>
    <col min="25" max="29" width="7.625" customWidth="1"/>
    <col min="31" max="35" width="7.625" customWidth="1"/>
    <col min="36" max="36" width="3.625" customWidth="1"/>
    <col min="37" max="41" width="7.625" customWidth="1"/>
    <col min="42" max="42" width="3.625" customWidth="1"/>
    <col min="43" max="47" width="7.625" customWidth="1"/>
    <col min="48" max="48" width="3.625" customWidth="1"/>
    <col min="49" max="53" width="7.625" customWidth="1"/>
    <col min="54" max="54" width="3.625" customWidth="1"/>
    <col min="55" max="59" width="7.625" customWidth="1"/>
  </cols>
  <sheetData>
    <row r="1" spans="1:59" ht="35.25" x14ac:dyDescent="0.4">
      <c r="A1" s="2" t="s">
        <v>100</v>
      </c>
      <c r="H1" s="113" t="s">
        <v>104</v>
      </c>
      <c r="I1" s="114" t="s">
        <v>105</v>
      </c>
      <c r="J1" s="115" t="s">
        <v>106</v>
      </c>
      <c r="K1" s="116" t="s">
        <v>107</v>
      </c>
      <c r="L1" t="s">
        <v>108</v>
      </c>
      <c r="M1" s="117" t="s">
        <v>109</v>
      </c>
      <c r="N1" s="118" t="s">
        <v>110</v>
      </c>
      <c r="O1" s="119" t="s">
        <v>111</v>
      </c>
    </row>
    <row r="2" spans="1:59" ht="25.5" x14ac:dyDescent="0.4">
      <c r="A2" s="10" t="s">
        <v>103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0" t="s">
        <v>102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9.5" thickBot="1" x14ac:dyDescent="0.45">
      <c r="A3" s="79" t="s">
        <v>0</v>
      </c>
      <c r="B3" s="79"/>
      <c r="C3" s="79"/>
      <c r="D3" s="79"/>
      <c r="E3" s="80"/>
      <c r="F3" s="79"/>
      <c r="G3" s="79" t="s">
        <v>1</v>
      </c>
      <c r="H3" s="79"/>
      <c r="I3" s="79"/>
      <c r="J3" s="79"/>
      <c r="K3" s="79"/>
      <c r="L3" s="79"/>
      <c r="M3" s="79" t="s">
        <v>2</v>
      </c>
      <c r="N3" s="79"/>
      <c r="O3" s="79"/>
      <c r="P3" s="79"/>
      <c r="Q3" s="79"/>
      <c r="R3" s="79"/>
      <c r="S3" s="79" t="s">
        <v>9</v>
      </c>
      <c r="T3" s="79"/>
      <c r="U3" s="79"/>
      <c r="V3" s="79"/>
      <c r="W3" s="79"/>
      <c r="X3" s="79"/>
      <c r="Y3" s="79" t="s">
        <v>10</v>
      </c>
      <c r="Z3" s="79"/>
      <c r="AA3" s="79"/>
      <c r="AB3" s="79"/>
      <c r="AC3" s="79"/>
      <c r="AD3" s="79"/>
      <c r="AE3" s="79" t="s">
        <v>17</v>
      </c>
      <c r="AF3" s="79"/>
      <c r="AG3" s="79"/>
      <c r="AH3" s="79"/>
      <c r="AI3" s="79"/>
      <c r="AJ3" s="79"/>
      <c r="AK3" s="79" t="s">
        <v>18</v>
      </c>
      <c r="AL3" s="79"/>
      <c r="AM3" s="79"/>
      <c r="AN3" s="79"/>
      <c r="AO3" s="79"/>
      <c r="AP3" s="79"/>
      <c r="AQ3" s="79" t="s">
        <v>19</v>
      </c>
      <c r="AR3" s="79"/>
      <c r="AS3" s="79"/>
      <c r="AT3" s="79"/>
      <c r="AU3" s="79"/>
      <c r="AV3" s="79"/>
      <c r="AW3" s="79" t="s">
        <v>20</v>
      </c>
      <c r="AX3" s="79"/>
      <c r="AY3" s="79"/>
      <c r="AZ3" s="79"/>
      <c r="BA3" s="79"/>
      <c r="BB3" s="79"/>
      <c r="BC3" s="79" t="s">
        <v>21</v>
      </c>
      <c r="BD3" s="79"/>
      <c r="BE3" s="79"/>
      <c r="BF3" s="79"/>
      <c r="BG3" s="79"/>
    </row>
    <row r="4" spans="1:59" ht="19.5" thickBot="1" x14ac:dyDescent="0.45">
      <c r="A4" s="104" cm="1">
        <f t="array" ref="A4">INDEX(InputArea,_xlfn.XMATCH(LEFT(A3),ColName),_xlfn.XMATCH($A$69,RowName))</f>
        <v>0</v>
      </c>
      <c r="B4" s="103" cm="1">
        <f t="array" ref="B4">INDEX(InputArea,_xlfn.XMATCH(LEFT(A3),ColName),_xlfn.XMATCH($B$69,RowName))</f>
        <v>0</v>
      </c>
      <c r="C4" s="103" cm="1">
        <f t="array" ref="C4">INDEX(InputArea,_xlfn.XMATCH(LEFT(A3),ColName),_xlfn.XMATCH($C$69,RowName))</f>
        <v>0</v>
      </c>
      <c r="D4" s="103" cm="1">
        <f t="array" ref="D4">INDEX(InputArea,_xlfn.XMATCH(LEFT(A3),ColName),_xlfn.XMATCH($D$69,RowName))</f>
        <v>0</v>
      </c>
      <c r="E4" s="103" cm="1">
        <f t="array" ref="E4">INDEX(InputArea,_xlfn.XMATCH(LEFT(A3),ColName),_xlfn.XMATCH($E$69,RowName))</f>
        <v>0</v>
      </c>
      <c r="F4" s="79"/>
      <c r="G4" s="103" cm="1">
        <f t="array" ref="G4">INDEX(InputArea,_xlfn.XMATCH(LEFT(G3),ColName),_xlfn.XMATCH($A$69,RowName))</f>
        <v>0</v>
      </c>
      <c r="H4" s="104" cm="1">
        <f t="array" ref="H4">INDEX(InputArea,_xlfn.XMATCH(LEFT(G3),ColName),_xlfn.XMATCH($B$69,RowName))</f>
        <v>0</v>
      </c>
      <c r="I4" s="103" cm="1">
        <f t="array" ref="I4">INDEX(InputArea,_xlfn.XMATCH(LEFT(G3),ColName),_xlfn.XMATCH($C$69,RowName))</f>
        <v>0</v>
      </c>
      <c r="J4" s="103" cm="1">
        <f t="array" ref="J4">INDEX(InputArea,_xlfn.XMATCH(LEFT(G3),ColName),_xlfn.XMATCH($D$69,RowName))</f>
        <v>0</v>
      </c>
      <c r="K4" s="103" cm="1">
        <f t="array" ref="K4">INDEX(InputArea,_xlfn.XMATCH(LEFT(G3),ColName),_xlfn.XMATCH($E$69,RowName))</f>
        <v>0</v>
      </c>
      <c r="L4" s="79"/>
      <c r="M4" s="103" cm="1">
        <f t="array" ref="M4">INDEX(InputArea,_xlfn.XMATCH(LEFT(M3),ColName),_xlfn.XMATCH($A$69,RowName))</f>
        <v>0</v>
      </c>
      <c r="N4" s="103" cm="1">
        <f t="array" ref="N4">INDEX(InputArea,_xlfn.XMATCH(LEFT(M3),ColName),_xlfn.XMATCH($B$69,RowName))</f>
        <v>0</v>
      </c>
      <c r="O4" s="104" cm="1">
        <f t="array" ref="O4">INDEX(InputArea,_xlfn.XMATCH(LEFT(M3),ColName),_xlfn.XMATCH($C$69,RowName))</f>
        <v>0</v>
      </c>
      <c r="P4" s="103" cm="1">
        <f t="array" ref="P4">INDEX(InputArea,_xlfn.XMATCH(LEFT(M3),ColName),_xlfn.XMATCH($D$69,RowName))</f>
        <v>0</v>
      </c>
      <c r="Q4" s="103" cm="1">
        <f t="array" ref="Q4">INDEX(InputArea,_xlfn.XMATCH(LEFT(M3),ColName),_xlfn.XMATCH($E$69,RowName))</f>
        <v>0</v>
      </c>
      <c r="R4" s="79"/>
      <c r="S4" s="103" cm="1">
        <f t="array" ref="S4">INDEX(InputArea,_xlfn.XMATCH(LEFT(S3),ColName),_xlfn.XMATCH($A$69,RowName))</f>
        <v>0</v>
      </c>
      <c r="T4" s="103" cm="1">
        <f t="array" ref="T4">INDEX(InputArea,_xlfn.XMATCH(LEFT(S3),ColName),_xlfn.XMATCH($B$69,RowName))</f>
        <v>0</v>
      </c>
      <c r="U4" s="103" cm="1">
        <f t="array" ref="U4">INDEX(InputArea,_xlfn.XMATCH(LEFT(S3),ColName),_xlfn.XMATCH($C$69,RowName))</f>
        <v>0</v>
      </c>
      <c r="V4" s="104" cm="1">
        <f t="array" ref="V4">INDEX(InputArea,_xlfn.XMATCH(LEFT(S3),ColName),_xlfn.XMATCH($D$69,RowName))</f>
        <v>0</v>
      </c>
      <c r="W4" s="103" cm="1">
        <f t="array" ref="W4">INDEX(InputArea,_xlfn.XMATCH(LEFT(S3),ColName),_xlfn.XMATCH($E$69,RowName))</f>
        <v>0</v>
      </c>
      <c r="X4" s="79"/>
      <c r="Y4" s="103" cm="1">
        <f t="array" ref="Y4">INDEX(InputArea,_xlfn.XMATCH(LEFT(Y3),ColName),_xlfn.XMATCH($A$69,RowName))</f>
        <v>0</v>
      </c>
      <c r="Z4" s="103" cm="1">
        <f t="array" ref="Z4">INDEX(InputArea,_xlfn.XMATCH(LEFT(Y3),ColName),_xlfn.XMATCH($B$69,RowName))</f>
        <v>0</v>
      </c>
      <c r="AA4" s="103" cm="1">
        <f t="array" ref="AA4">INDEX(InputArea,_xlfn.XMATCH(LEFT(Y3),ColName),_xlfn.XMATCH($C$69,RowName))</f>
        <v>0</v>
      </c>
      <c r="AB4" s="103" cm="1">
        <f t="array" ref="AB4">INDEX(InputArea,_xlfn.XMATCH(LEFT(Y3),ColName),_xlfn.XMATCH($D$69,RowName))</f>
        <v>0</v>
      </c>
      <c r="AC4" s="104" cm="1">
        <f t="array" ref="AC4">INDEX(InputArea,_xlfn.XMATCH(LEFT(Y3),ColName),_xlfn.XMATCH($E$69,RowName))</f>
        <v>0</v>
      </c>
      <c r="AD4" s="79"/>
      <c r="AE4" s="104" cm="1">
        <f t="array" ref="AE4">INDEX(InputArea,_xlfn.XMATCH(LEFT(AE3),ColName),_xlfn.XMATCH($G$69,RowName))</f>
        <v>0</v>
      </c>
      <c r="AF4" s="103" cm="1">
        <f t="array" ref="AF4">INDEX(InputArea,_xlfn.XMATCH(LEFT(AE3),ColName),_xlfn.XMATCH($H$69,RowName))</f>
        <v>0</v>
      </c>
      <c r="AG4" s="103" cm="1">
        <f t="array" ref="AG4">INDEX(InputArea,_xlfn.XMATCH(LEFT(AE3),ColName),_xlfn.XMATCH($I$69,RowName))</f>
        <v>0</v>
      </c>
      <c r="AH4" s="103" cm="1">
        <f t="array" ref="AH4">INDEX(InputArea,_xlfn.XMATCH(LEFT(AE3),ColName),_xlfn.XMATCH($J$69,RowName))</f>
        <v>0</v>
      </c>
      <c r="AI4" s="103" cm="1">
        <f t="array" ref="AI4">INDEX(InputArea,_xlfn.XMATCH(LEFT(AE3),ColName),_xlfn.XMATCH($K$69,RowName))</f>
        <v>0</v>
      </c>
      <c r="AJ4" s="79"/>
      <c r="AK4" s="103" cm="1">
        <f t="array" ref="AK4">INDEX(InputArea,_xlfn.XMATCH(LEFT(AK3),ColName),_xlfn.XMATCH($G$69,RowName))</f>
        <v>0</v>
      </c>
      <c r="AL4" s="104" cm="1">
        <f t="array" ref="AL4">INDEX(InputArea,_xlfn.XMATCH(LEFT(AK3),ColName),_xlfn.XMATCH($H$69,RowName))</f>
        <v>0</v>
      </c>
      <c r="AM4" s="103" cm="1">
        <f t="array" ref="AM4">INDEX(InputArea,_xlfn.XMATCH(LEFT(AK3),ColName),_xlfn.XMATCH($I$69,RowName))</f>
        <v>0</v>
      </c>
      <c r="AN4" s="103" cm="1">
        <f t="array" ref="AN4">INDEX(InputArea,_xlfn.XMATCH(LEFT(AK3),ColName),_xlfn.XMATCH($J$69,RowName))</f>
        <v>0</v>
      </c>
      <c r="AO4" s="103" cm="1">
        <f t="array" ref="AO4">INDEX(InputArea,_xlfn.XMATCH(LEFT(AK3),ColName),_xlfn.XMATCH($K$69,RowName))</f>
        <v>0</v>
      </c>
      <c r="AP4" s="79"/>
      <c r="AQ4" s="103" cm="1">
        <f t="array" ref="AQ4">INDEX(InputArea,_xlfn.XMATCH(LEFT(AQ3),ColName),_xlfn.XMATCH($G$69,RowName))</f>
        <v>0</v>
      </c>
      <c r="AR4" s="103" cm="1">
        <f t="array" ref="AR4">INDEX(InputArea,_xlfn.XMATCH(LEFT(AQ3),ColName),_xlfn.XMATCH($H$69,RowName))</f>
        <v>0</v>
      </c>
      <c r="AS4" s="104" cm="1">
        <f t="array" ref="AS4">INDEX(InputArea,_xlfn.XMATCH(LEFT(AQ3),ColName),_xlfn.XMATCH($I$69,RowName))</f>
        <v>0</v>
      </c>
      <c r="AT4" s="103" cm="1">
        <f t="array" ref="AT4">INDEX(InputArea,_xlfn.XMATCH(LEFT(AQ3),ColName),_xlfn.XMATCH($J$69,RowName))</f>
        <v>0</v>
      </c>
      <c r="AU4" s="103" cm="1">
        <f t="array" ref="AU4">INDEX(InputArea,_xlfn.XMATCH(LEFT(AQ3),ColName),_xlfn.XMATCH($K$69,RowName))</f>
        <v>0</v>
      </c>
      <c r="AV4" s="79"/>
      <c r="AW4" s="103" cm="1">
        <f t="array" ref="AW4">INDEX(InputArea,_xlfn.XMATCH(LEFT(AW3),ColName),_xlfn.XMATCH($G$69,RowName))</f>
        <v>0</v>
      </c>
      <c r="AX4" s="103" cm="1">
        <f t="array" ref="AX4">INDEX(InputArea,_xlfn.XMATCH(LEFT(AW3),ColName),_xlfn.XMATCH($H$69,RowName))</f>
        <v>0</v>
      </c>
      <c r="AY4" s="103" cm="1">
        <f t="array" ref="AY4">INDEX(InputArea,_xlfn.XMATCH(LEFT(AW3),ColName),_xlfn.XMATCH($I$69,RowName))</f>
        <v>0</v>
      </c>
      <c r="AZ4" s="104" cm="1">
        <f t="array" ref="AZ4">INDEX(InputArea,_xlfn.XMATCH(LEFT(AW3),ColName),_xlfn.XMATCH($J$69,RowName))</f>
        <v>0</v>
      </c>
      <c r="BA4" s="103" cm="1">
        <f t="array" ref="BA4">INDEX(InputArea,_xlfn.XMATCH(LEFT(AW3),ColName),_xlfn.XMATCH($K$69,RowName))</f>
        <v>0</v>
      </c>
      <c r="BB4" s="79"/>
      <c r="BC4" s="103" cm="1">
        <f t="array" ref="BC4">INDEX(InputArea,_xlfn.XMATCH(LEFT(BC3),ColName),_xlfn.XMATCH($G$69,RowName))</f>
        <v>0</v>
      </c>
      <c r="BD4" s="103" cm="1">
        <f t="array" ref="BD4">INDEX(InputArea,_xlfn.XMATCH(LEFT(BC3),ColName),_xlfn.XMATCH($H$69,RowName))</f>
        <v>0</v>
      </c>
      <c r="BE4" s="103" cm="1">
        <f t="array" ref="BE4">INDEX(InputArea,_xlfn.XMATCH(LEFT(BC3),ColName),_xlfn.XMATCH($I$69,RowName))</f>
        <v>0</v>
      </c>
      <c r="BF4" s="103" cm="1">
        <f t="array" ref="BF4">INDEX(InputArea,_xlfn.XMATCH(LEFT(BC3),ColName),_xlfn.XMATCH($J$69,RowName))</f>
        <v>0</v>
      </c>
      <c r="BG4" s="104" cm="1">
        <f t="array" ref="BG4">INDEX(InputArea,_xlfn.XMATCH(LEFT(BC3),ColName),_xlfn.XMATCH($K$69,RowName))</f>
        <v>0</v>
      </c>
    </row>
    <row r="5" spans="1:59" ht="19.5" thickBot="1" x14ac:dyDescent="0.45">
      <c r="A5" s="103" cm="1">
        <f t="array" ref="A5">INDEX(InputArea,_xlfn.XMATCH(LEFT(A3),ColName),_xlfn.XMATCH($A$70,RowName))</f>
        <v>0</v>
      </c>
      <c r="B5" s="103" cm="1">
        <f t="array" ref="B5">INDEX(InputArea,_xlfn.XMATCH(LEFT(A3),ColName),_xlfn.XMATCH($B$70,RowName))</f>
        <v>0</v>
      </c>
      <c r="C5" s="103" cm="1">
        <f t="array" ref="C5">INDEX(InputArea,_xlfn.XMATCH(LEFT(A3),ColName),_xlfn.XMATCH($C$70,RowName))</f>
        <v>0</v>
      </c>
      <c r="D5" s="102" cm="1">
        <f t="array" ref="D5">INDEX(InputArea,_xlfn.XMATCH(LEFT(A3),ColName),_xlfn.XMATCH($D$70,RowName))</f>
        <v>0</v>
      </c>
      <c r="E5" s="103" cm="1">
        <f t="array" ref="E5">INDEX(InputArea,_xlfn.XMATCH(LEFT(A3),ColName),_xlfn.XMATCH($E$70,RowName))</f>
        <v>0</v>
      </c>
      <c r="F5" s="79"/>
      <c r="G5" s="103" cm="1">
        <f t="array" ref="G5">INDEX(InputArea,_xlfn.XMATCH(LEFT(G3),ColName),_xlfn.XMATCH($A$70,RowName))</f>
        <v>0</v>
      </c>
      <c r="H5" s="103" cm="1">
        <f t="array" ref="H5">INDEX(InputArea,_xlfn.XMATCH(LEFT(G3),ColName),_xlfn.XMATCH($B$70,RowName))</f>
        <v>0</v>
      </c>
      <c r="I5" s="103" cm="1">
        <f t="array" ref="I5">INDEX(InputArea,_xlfn.XMATCH(LEFT(G3),ColName),_xlfn.XMATCH($C$70,RowName))</f>
        <v>0</v>
      </c>
      <c r="J5" s="102" cm="1">
        <f t="array" ref="J5">INDEX(InputArea,_xlfn.XMATCH(LEFT(G3),ColName),_xlfn.XMATCH($D$70,RowName))</f>
        <v>0</v>
      </c>
      <c r="K5" s="103" cm="1">
        <f t="array" ref="K5">INDEX(InputArea,_xlfn.XMATCH(LEFT(G3),ColName),_xlfn.XMATCH($E$70,RowName))</f>
        <v>0</v>
      </c>
      <c r="L5" s="79"/>
      <c r="M5" s="103" cm="1">
        <f t="array" ref="M5">INDEX(InputArea,_xlfn.XMATCH(LEFT(M3),ColName),_xlfn.XMATCH($A$70,RowName))</f>
        <v>0</v>
      </c>
      <c r="N5" s="103" cm="1">
        <f t="array" ref="N5">INDEX(InputArea,_xlfn.XMATCH(LEFT(M3),ColName),_xlfn.XMATCH($B$70,RowName))</f>
        <v>0</v>
      </c>
      <c r="O5" s="103" cm="1">
        <f t="array" ref="O5">INDEX(InputArea,_xlfn.XMATCH(LEFT(M3),ColName),_xlfn.XMATCH($C$70,RowName))</f>
        <v>0</v>
      </c>
      <c r="P5" s="102" cm="1">
        <f t="array" ref="P5">INDEX(InputArea,_xlfn.XMATCH(LEFT(M3),ColName),_xlfn.XMATCH($D$70,RowName))</f>
        <v>0</v>
      </c>
      <c r="Q5" s="103" cm="1">
        <f t="array" ref="Q5">INDEX(InputArea,_xlfn.XMATCH(LEFT(M3),ColName),_xlfn.XMATCH($E$70,RowName))</f>
        <v>0</v>
      </c>
      <c r="R5" s="79"/>
      <c r="S5" s="103" cm="1">
        <f t="array" ref="S5">INDEX(InputArea,_xlfn.XMATCH(LEFT(S3),ColName),_xlfn.XMATCH($A$70,RowName))</f>
        <v>0</v>
      </c>
      <c r="T5" s="103" cm="1">
        <f t="array" ref="T5">INDEX(InputArea,_xlfn.XMATCH(LEFT(S3),ColName),_xlfn.XMATCH($B$70,RowName))</f>
        <v>0</v>
      </c>
      <c r="U5" s="103" cm="1">
        <f t="array" ref="U5">INDEX(InputArea,_xlfn.XMATCH(LEFT(S3),ColName),_xlfn.XMATCH($C$70,RowName))</f>
        <v>0</v>
      </c>
      <c r="V5" s="102" cm="1">
        <f t="array" ref="V5">INDEX(InputArea,_xlfn.XMATCH(LEFT(S3),ColName),_xlfn.XMATCH($D$70,RowName))</f>
        <v>0</v>
      </c>
      <c r="W5" s="103" cm="1">
        <f t="array" ref="W5">INDEX(InputArea,_xlfn.XMATCH(LEFT(S3),ColName),_xlfn.XMATCH($E$70,RowName))</f>
        <v>0</v>
      </c>
      <c r="X5" s="79"/>
      <c r="Y5" s="103" cm="1">
        <f t="array" ref="Y5">INDEX(InputArea,_xlfn.XMATCH(LEFT(Y3),ColName),_xlfn.XMATCH($A$70,RowName))</f>
        <v>0</v>
      </c>
      <c r="Z5" s="103" cm="1">
        <f t="array" ref="Z5">INDEX(InputArea,_xlfn.XMATCH(LEFT(Y3),ColName),_xlfn.XMATCH($B$70,RowName))</f>
        <v>0</v>
      </c>
      <c r="AA5" s="103" cm="1">
        <f t="array" ref="AA5">INDEX(InputArea,_xlfn.XMATCH(LEFT(Y3),ColName),_xlfn.XMATCH($C$70,RowName))</f>
        <v>0</v>
      </c>
      <c r="AB5" s="102" cm="1">
        <f t="array" ref="AB5">INDEX(InputArea,_xlfn.XMATCH(LEFT(Y3),ColName),_xlfn.XMATCH($D$70,RowName))</f>
        <v>0</v>
      </c>
      <c r="AC5" s="103" cm="1">
        <f t="array" ref="AC5">INDEX(InputArea,_xlfn.XMATCH(LEFT(Y3),ColName),_xlfn.XMATCH($E$70,RowName))</f>
        <v>0</v>
      </c>
      <c r="AD5" s="79"/>
      <c r="AE5" s="103" cm="1">
        <f t="array" ref="AE5">INDEX(InputArea,_xlfn.XMATCH(LEFT(AE3),ColName),_xlfn.XMATCH($G$70,RowName))</f>
        <v>0</v>
      </c>
      <c r="AF5" s="102" cm="1">
        <f t="array" ref="AF5">INDEX(InputArea,_xlfn.XMATCH(LEFT(AE3),ColName),_xlfn.XMATCH($H$70,RowName))</f>
        <v>0</v>
      </c>
      <c r="AG5" s="103" cm="1">
        <f t="array" ref="AG5">INDEX(InputArea,_xlfn.XMATCH(LEFT(AE3),ColName),_xlfn.XMATCH($I$70,RowName))</f>
        <v>0</v>
      </c>
      <c r="AH5" s="103" cm="1">
        <f t="array" ref="AH5">INDEX(InputArea,_xlfn.XMATCH(LEFT(AE3),ColName),_xlfn.XMATCH($J$70,RowName))</f>
        <v>0</v>
      </c>
      <c r="AI5" s="103" cm="1">
        <f t="array" ref="AI5">INDEX(InputArea,_xlfn.XMATCH(LEFT(AE3),ColName),_xlfn.XMATCH($K$70,RowName))</f>
        <v>0</v>
      </c>
      <c r="AJ5" s="79"/>
      <c r="AK5" s="103" cm="1">
        <f t="array" ref="AK5">INDEX(InputArea,_xlfn.XMATCH(LEFT(AK3),ColName),_xlfn.XMATCH($G$70,RowName))</f>
        <v>0</v>
      </c>
      <c r="AL5" s="102" cm="1">
        <f t="array" ref="AL5">INDEX(InputArea,_xlfn.XMATCH(LEFT(AK3),ColName),_xlfn.XMATCH($H$70,RowName))</f>
        <v>0</v>
      </c>
      <c r="AM5" s="103" cm="1">
        <f t="array" ref="AM5">INDEX(InputArea,_xlfn.XMATCH(LEFT(AK3),ColName),_xlfn.XMATCH($I$70,RowName))</f>
        <v>0</v>
      </c>
      <c r="AN5" s="103" cm="1">
        <f t="array" ref="AN5">INDEX(InputArea,_xlfn.XMATCH(LEFT(AK3),ColName),_xlfn.XMATCH($J$70,RowName))</f>
        <v>0</v>
      </c>
      <c r="AO5" s="103" cm="1">
        <f t="array" ref="AO5">INDEX(InputArea,_xlfn.XMATCH(LEFT(AK3),ColName),_xlfn.XMATCH($K$70,RowName))</f>
        <v>0</v>
      </c>
      <c r="AP5" s="79"/>
      <c r="AQ5" s="103" cm="1">
        <f t="array" ref="AQ5">INDEX(InputArea,_xlfn.XMATCH(LEFT(AQ3),ColName),_xlfn.XMATCH($G$70,RowName))</f>
        <v>0</v>
      </c>
      <c r="AR5" s="102" cm="1">
        <f t="array" ref="AR5">INDEX(InputArea,_xlfn.XMATCH(LEFT(AQ3),ColName),_xlfn.XMATCH($H$70,RowName))</f>
        <v>0</v>
      </c>
      <c r="AS5" s="103" cm="1">
        <f t="array" ref="AS5">INDEX(InputArea,_xlfn.XMATCH(LEFT(AQ3),ColName),_xlfn.XMATCH($I$70,RowName))</f>
        <v>0</v>
      </c>
      <c r="AT5" s="103" cm="1">
        <f t="array" ref="AT5">INDEX(InputArea,_xlfn.XMATCH(LEFT(AQ3),ColName),_xlfn.XMATCH($J$70,RowName))</f>
        <v>0</v>
      </c>
      <c r="AU5" s="103" cm="1">
        <f t="array" ref="AU5">INDEX(InputArea,_xlfn.XMATCH(LEFT(AQ3),ColName),_xlfn.XMATCH($K$70,RowName))</f>
        <v>0</v>
      </c>
      <c r="AV5" s="79"/>
      <c r="AW5" s="103" cm="1">
        <f t="array" ref="AW5">INDEX(InputArea,_xlfn.XMATCH(LEFT(AW3),ColName),_xlfn.XMATCH($G$70,RowName))</f>
        <v>0</v>
      </c>
      <c r="AX5" s="102" cm="1">
        <f t="array" ref="AX5">INDEX(InputArea,_xlfn.XMATCH(LEFT(AW3),ColName),_xlfn.XMATCH($H$70,RowName))</f>
        <v>0</v>
      </c>
      <c r="AY5" s="103" cm="1">
        <f t="array" ref="AY5">INDEX(InputArea,_xlfn.XMATCH(LEFT(AW3),ColName),_xlfn.XMATCH($I$70,RowName))</f>
        <v>0</v>
      </c>
      <c r="AZ5" s="103" cm="1">
        <f t="array" ref="AZ5">INDEX(InputArea,_xlfn.XMATCH(LEFT(AW3),ColName),_xlfn.XMATCH($J$70,RowName))</f>
        <v>0</v>
      </c>
      <c r="BA5" s="103" cm="1">
        <f t="array" ref="BA5">INDEX(InputArea,_xlfn.XMATCH(LEFT(AW3),ColName),_xlfn.XMATCH($K$70,RowName))</f>
        <v>0</v>
      </c>
      <c r="BB5" s="79"/>
      <c r="BC5" s="103" cm="1">
        <f t="array" ref="BC5">INDEX(InputArea,_xlfn.XMATCH(LEFT(BC3),ColName),_xlfn.XMATCH($G$70,RowName))</f>
        <v>0</v>
      </c>
      <c r="BD5" s="102" cm="1">
        <f t="array" ref="BD5">INDEX(InputArea,_xlfn.XMATCH(LEFT(BC3),ColName),_xlfn.XMATCH($H$70,RowName))</f>
        <v>0</v>
      </c>
      <c r="BE5" s="103" cm="1">
        <f t="array" ref="BE5">INDEX(InputArea,_xlfn.XMATCH(LEFT(BC3),ColName),_xlfn.XMATCH($I$70,RowName))</f>
        <v>0</v>
      </c>
      <c r="BF5" s="103" cm="1">
        <f t="array" ref="BF5">INDEX(InputArea,_xlfn.XMATCH(LEFT(BC3),ColName),_xlfn.XMATCH($J$70,RowName))</f>
        <v>0</v>
      </c>
      <c r="BG5" s="103" cm="1">
        <f t="array" ref="BG5">INDEX(InputArea,_xlfn.XMATCH(LEFT(BC3),ColName),_xlfn.XMATCH($K$70,RowName))</f>
        <v>0</v>
      </c>
    </row>
    <row r="6" spans="1:59" x14ac:dyDescent="0.4">
      <c r="A6" s="103" cm="1">
        <f t="array" ref="A6">INDEX(InputArea,_xlfn.XMATCH(LEFT(A3),ColName),_xlfn.XMATCH($A$71,RowName))</f>
        <v>0</v>
      </c>
      <c r="B6" s="103" cm="1">
        <f t="array" ref="B6">INDEX(InputArea,_xlfn.XMATCH(LEFT(A3),ColName),_xlfn.XMATCH($B$71,RowName))</f>
        <v>0</v>
      </c>
      <c r="C6" s="103" cm="1">
        <f t="array" ref="C6">INDEX(InputArea,_xlfn.XMATCH(LEFT(A3),ColName),_xlfn.XMATCH($C$71,RowName))</f>
        <v>0</v>
      </c>
      <c r="D6" s="103" cm="1">
        <f t="array" ref="D6">INDEX(InputArea,_xlfn.XMATCH(LEFT(A3),ColName),_xlfn.XMATCH($D$71,RowName))</f>
        <v>0</v>
      </c>
      <c r="E6" s="103" cm="1">
        <f t="array" ref="E6">INDEX(InputArea,_xlfn.XMATCH(LEFT(A3),ColName),_xlfn.XMATCH($E$71,RowName))</f>
        <v>0</v>
      </c>
      <c r="F6" s="79"/>
      <c r="G6" s="103" cm="1">
        <f t="array" ref="G6">INDEX(InputArea,_xlfn.XMATCH(LEFT(G3),ColName),_xlfn.XMATCH($A$71,RowName))</f>
        <v>0</v>
      </c>
      <c r="H6" s="103" cm="1">
        <f t="array" ref="H6">INDEX(InputArea,_xlfn.XMATCH(LEFT(G3),ColName),_xlfn.XMATCH($B$71,RowName))</f>
        <v>0</v>
      </c>
      <c r="I6" s="103" cm="1">
        <f t="array" ref="I6">INDEX(InputArea,_xlfn.XMATCH(LEFT(G3),ColName),_xlfn.XMATCH($C$71,RowName))</f>
        <v>0</v>
      </c>
      <c r="J6" s="103" cm="1">
        <f t="array" ref="J6">INDEX(InputArea,_xlfn.XMATCH(LEFT(G3),ColName),_xlfn.XMATCH($D$71,RowName))</f>
        <v>0</v>
      </c>
      <c r="K6" s="103" cm="1">
        <f t="array" ref="K6">INDEX(InputArea,_xlfn.XMATCH(LEFT(G3),ColName),_xlfn.XMATCH($E$71,RowName))</f>
        <v>0</v>
      </c>
      <c r="L6" s="79"/>
      <c r="M6" s="103" cm="1">
        <f t="array" ref="M6">INDEX(InputArea,_xlfn.XMATCH(LEFT(M3),ColName),_xlfn.XMATCH($A$71,RowName))</f>
        <v>0</v>
      </c>
      <c r="N6" s="103" cm="1">
        <f t="array" ref="N6">INDEX(InputArea,_xlfn.XMATCH(LEFT(M3),ColName),_xlfn.XMATCH($B$71,RowName))</f>
        <v>0</v>
      </c>
      <c r="O6" s="103" cm="1">
        <f t="array" ref="O6">INDEX(InputArea,_xlfn.XMATCH(LEFT(M3),ColName),_xlfn.XMATCH($C$71,RowName))</f>
        <v>0</v>
      </c>
      <c r="P6" s="103" cm="1">
        <f t="array" ref="P6">INDEX(InputArea,_xlfn.XMATCH(LEFT(M3),ColName),_xlfn.XMATCH($D$71,RowName))</f>
        <v>0</v>
      </c>
      <c r="Q6" s="103" cm="1">
        <f t="array" ref="Q6">INDEX(InputArea,_xlfn.XMATCH(LEFT(M3),ColName),_xlfn.XMATCH($E$71,RowName))</f>
        <v>0</v>
      </c>
      <c r="R6" s="79"/>
      <c r="S6" s="103" cm="1">
        <f t="array" ref="S6">INDEX(InputArea,_xlfn.XMATCH(LEFT(S3),ColName),_xlfn.XMATCH($A$71,RowName))</f>
        <v>0</v>
      </c>
      <c r="T6" s="103" cm="1">
        <f t="array" ref="T6">INDEX(InputArea,_xlfn.XMATCH(LEFT(S3),ColName),_xlfn.XMATCH($B$71,RowName))</f>
        <v>0</v>
      </c>
      <c r="U6" s="103" cm="1">
        <f t="array" ref="U6">INDEX(InputArea,_xlfn.XMATCH(LEFT(S3),ColName),_xlfn.XMATCH($C$71,RowName))</f>
        <v>0</v>
      </c>
      <c r="V6" s="103" cm="1">
        <f t="array" ref="V6">INDEX(InputArea,_xlfn.XMATCH(LEFT(S3),ColName),_xlfn.XMATCH($D$71,RowName))</f>
        <v>0</v>
      </c>
      <c r="W6" s="103" cm="1">
        <f t="array" ref="W6">INDEX(InputArea,_xlfn.XMATCH(LEFT(S3),ColName),_xlfn.XMATCH($E$71,RowName))</f>
        <v>0</v>
      </c>
      <c r="X6" s="79"/>
      <c r="Y6" s="103" cm="1">
        <f t="array" ref="Y6">INDEX(InputArea,_xlfn.XMATCH(LEFT(Y3),ColName),_xlfn.XMATCH($A$71,RowName))</f>
        <v>0</v>
      </c>
      <c r="Z6" s="103" cm="1">
        <f t="array" ref="Z6">INDEX(InputArea,_xlfn.XMATCH(LEFT(Y3),ColName),_xlfn.XMATCH($B$71,RowName))</f>
        <v>0</v>
      </c>
      <c r="AA6" s="103" cm="1">
        <f t="array" ref="AA6">INDEX(InputArea,_xlfn.XMATCH(LEFT(Y3),ColName),_xlfn.XMATCH($C$71,RowName))</f>
        <v>0</v>
      </c>
      <c r="AB6" s="103" cm="1">
        <f t="array" ref="AB6">INDEX(InputArea,_xlfn.XMATCH(LEFT(Y3),ColName),_xlfn.XMATCH($D$71,RowName))</f>
        <v>0</v>
      </c>
      <c r="AC6" s="103" cm="1">
        <f t="array" ref="AC6">INDEX(InputArea,_xlfn.XMATCH(LEFT(Y3),ColName),_xlfn.XMATCH($E$71,RowName))</f>
        <v>0</v>
      </c>
      <c r="AD6" s="79"/>
      <c r="AE6" s="103" cm="1">
        <f t="array" ref="AE6">INDEX(InputArea,_xlfn.XMATCH(LEFT(AE3),ColName),_xlfn.XMATCH($G$71,RowName))</f>
        <v>0</v>
      </c>
      <c r="AF6" s="103" cm="1">
        <f t="array" ref="AF6">INDEX(InputArea,_xlfn.XMATCH(LEFT(AE3),ColName),_xlfn.XMATCH($H$71,RowName))</f>
        <v>0</v>
      </c>
      <c r="AG6" s="103" cm="1">
        <f t="array" ref="AG6">INDEX(InputArea,_xlfn.XMATCH(LEFT(AE3),ColName),_xlfn.XMATCH($I$71,RowName))</f>
        <v>0</v>
      </c>
      <c r="AH6" s="103" cm="1">
        <f t="array" ref="AH6">INDEX(InputArea,_xlfn.XMATCH(LEFT(AE3),ColName),_xlfn.XMATCH($J$71,RowName))</f>
        <v>0</v>
      </c>
      <c r="AI6" s="103" cm="1">
        <f t="array" ref="AI6">INDEX(InputArea,_xlfn.XMATCH(LEFT(AE3),ColName),_xlfn.XMATCH($K$71,RowName))</f>
        <v>0</v>
      </c>
      <c r="AJ6" s="79"/>
      <c r="AK6" s="103" cm="1">
        <f t="array" ref="AK6">INDEX(InputArea,_xlfn.XMATCH(LEFT(AK3),ColName),_xlfn.XMATCH($G$71,RowName))</f>
        <v>0</v>
      </c>
      <c r="AL6" s="103" cm="1">
        <f t="array" ref="AL6">INDEX(InputArea,_xlfn.XMATCH(LEFT(AK3),ColName),_xlfn.XMATCH($H$71,RowName))</f>
        <v>0</v>
      </c>
      <c r="AM6" s="103" cm="1">
        <f t="array" ref="AM6">INDEX(InputArea,_xlfn.XMATCH(LEFT(AK3),ColName),_xlfn.XMATCH($I$71,RowName))</f>
        <v>0</v>
      </c>
      <c r="AN6" s="103" cm="1">
        <f t="array" ref="AN6">INDEX(InputArea,_xlfn.XMATCH(LEFT(AK3),ColName),_xlfn.XMATCH($J$71,RowName))</f>
        <v>0</v>
      </c>
      <c r="AO6" s="103" cm="1">
        <f t="array" ref="AO6">INDEX(InputArea,_xlfn.XMATCH(LEFT(AK3),ColName),_xlfn.XMATCH($K$71,RowName))</f>
        <v>0</v>
      </c>
      <c r="AP6" s="79"/>
      <c r="AQ6" s="103" cm="1">
        <f t="array" ref="AQ6">INDEX(InputArea,_xlfn.XMATCH(LEFT(AQ3),ColName),_xlfn.XMATCH($G$71,RowName))</f>
        <v>0</v>
      </c>
      <c r="AR6" s="103" cm="1">
        <f t="array" ref="AR6">INDEX(InputArea,_xlfn.XMATCH(LEFT(AQ3),ColName),_xlfn.XMATCH($H$71,RowName))</f>
        <v>0</v>
      </c>
      <c r="AS6" s="103" cm="1">
        <f t="array" ref="AS6">INDEX(InputArea,_xlfn.XMATCH(LEFT(AQ3),ColName),_xlfn.XMATCH($I$71,RowName))</f>
        <v>0</v>
      </c>
      <c r="AT6" s="103" cm="1">
        <f t="array" ref="AT6">INDEX(InputArea,_xlfn.XMATCH(LEFT(AQ3),ColName),_xlfn.XMATCH($J$71,RowName))</f>
        <v>0</v>
      </c>
      <c r="AU6" s="103" cm="1">
        <f t="array" ref="AU6">INDEX(InputArea,_xlfn.XMATCH(LEFT(AQ3),ColName),_xlfn.XMATCH($K$71,RowName))</f>
        <v>0</v>
      </c>
      <c r="AV6" s="79"/>
      <c r="AW6" s="103" cm="1">
        <f t="array" ref="AW6">INDEX(InputArea,_xlfn.XMATCH(LEFT(AW3),ColName),_xlfn.XMATCH($G$71,RowName))</f>
        <v>0</v>
      </c>
      <c r="AX6" s="103" cm="1">
        <f t="array" ref="AX6">INDEX(InputArea,_xlfn.XMATCH(LEFT(AW3),ColName),_xlfn.XMATCH($H$71,RowName))</f>
        <v>0</v>
      </c>
      <c r="AY6" s="103" cm="1">
        <f t="array" ref="AY6">INDEX(InputArea,_xlfn.XMATCH(LEFT(AW3),ColName),_xlfn.XMATCH($I$71,RowName))</f>
        <v>0</v>
      </c>
      <c r="AZ6" s="103" cm="1">
        <f t="array" ref="AZ6">INDEX(InputArea,_xlfn.XMATCH(LEFT(AW3),ColName),_xlfn.XMATCH($J$71,RowName))</f>
        <v>0</v>
      </c>
      <c r="BA6" s="103" cm="1">
        <f t="array" ref="BA6">INDEX(InputArea,_xlfn.XMATCH(LEFT(AW3),ColName),_xlfn.XMATCH($K$71,RowName))</f>
        <v>0</v>
      </c>
      <c r="BB6" s="79"/>
      <c r="BC6" s="103" cm="1">
        <f t="array" ref="BC6">INDEX(InputArea,_xlfn.XMATCH(LEFT(BC3),ColName),_xlfn.XMATCH($G$71,RowName))</f>
        <v>0</v>
      </c>
      <c r="BD6" s="103" cm="1">
        <f t="array" ref="BD6">INDEX(InputArea,_xlfn.XMATCH(LEFT(BC3),ColName),_xlfn.XMATCH($H$71,RowName))</f>
        <v>0</v>
      </c>
      <c r="BE6" s="103" cm="1">
        <f t="array" ref="BE6">INDEX(InputArea,_xlfn.XMATCH(LEFT(BC3),ColName),_xlfn.XMATCH($I$71,RowName))</f>
        <v>0</v>
      </c>
      <c r="BF6" s="103" cm="1">
        <f t="array" ref="BF6">INDEX(InputArea,_xlfn.XMATCH(LEFT(BC3),ColName),_xlfn.XMATCH($J$71,RowName))</f>
        <v>0</v>
      </c>
      <c r="BG6" s="103" cm="1">
        <f t="array" ref="BG6">INDEX(InputArea,_xlfn.XMATCH(LEFT(BC3),ColName),_xlfn.XMATCH($K$71,RowName))</f>
        <v>0</v>
      </c>
    </row>
    <row r="7" spans="1:59" x14ac:dyDescent="0.4">
      <c r="A7" s="79" t="s">
        <v>3</v>
      </c>
      <c r="B7" s="79"/>
      <c r="C7" s="79"/>
      <c r="D7" s="79"/>
      <c r="E7" s="79"/>
      <c r="F7" s="79"/>
      <c r="G7" s="79" t="s">
        <v>6</v>
      </c>
      <c r="H7" s="79"/>
      <c r="I7" s="79"/>
      <c r="J7" s="79"/>
      <c r="K7" s="79"/>
      <c r="L7" s="79"/>
      <c r="M7" s="79" t="s">
        <v>7</v>
      </c>
      <c r="N7" s="79"/>
      <c r="O7" s="79"/>
      <c r="P7" s="79"/>
      <c r="Q7" s="79"/>
      <c r="R7" s="79"/>
      <c r="S7" s="79" t="s">
        <v>8</v>
      </c>
      <c r="T7" s="79"/>
      <c r="U7" s="79"/>
      <c r="V7" s="79"/>
      <c r="W7" s="79"/>
      <c r="X7" s="79"/>
      <c r="Y7" s="79" t="s">
        <v>11</v>
      </c>
      <c r="Z7" s="79"/>
      <c r="AA7" s="79"/>
      <c r="AB7" s="79"/>
      <c r="AC7" s="79"/>
      <c r="AD7" s="79"/>
      <c r="AE7" s="79" t="s">
        <v>22</v>
      </c>
      <c r="AF7" s="79"/>
      <c r="AG7" s="79"/>
      <c r="AH7" s="79"/>
      <c r="AI7" s="79"/>
      <c r="AJ7" s="79"/>
      <c r="AK7" s="79" t="s">
        <v>24</v>
      </c>
      <c r="AL7" s="79"/>
      <c r="AM7" s="79"/>
      <c r="AN7" s="79"/>
      <c r="AO7" s="79"/>
      <c r="AP7" s="79"/>
      <c r="AQ7" s="79" t="s">
        <v>27</v>
      </c>
      <c r="AR7" s="79"/>
      <c r="AS7" s="79"/>
      <c r="AT7" s="79"/>
      <c r="AU7" s="79"/>
      <c r="AV7" s="79"/>
      <c r="AW7" s="79" t="s">
        <v>28</v>
      </c>
      <c r="AX7" s="79"/>
      <c r="AY7" s="79"/>
      <c r="AZ7" s="79"/>
      <c r="BA7" s="79"/>
      <c r="BB7" s="79"/>
      <c r="BC7" s="79" t="s">
        <v>29</v>
      </c>
      <c r="BD7" s="79"/>
      <c r="BE7" s="79"/>
      <c r="BF7" s="79"/>
      <c r="BG7" s="79"/>
    </row>
    <row r="8" spans="1:59" ht="19.5" thickBot="1" x14ac:dyDescent="0.45">
      <c r="A8" s="103" cm="1">
        <f t="array" ref="A8">INDEX(InputArea,_xlfn.XMATCH(LEFT(A7),ColName),_xlfn.XMATCH($A$69,RowName))</f>
        <v>0</v>
      </c>
      <c r="B8" s="103" cm="1">
        <f t="array" ref="B8">INDEX(InputArea,_xlfn.XMATCH(LEFT(A7),ColName),_xlfn.XMATCH($B$69,RowName))</f>
        <v>0</v>
      </c>
      <c r="C8" s="103" cm="1">
        <f t="array" ref="C8">INDEX(InputArea,_xlfn.XMATCH(LEFT(A7),ColName),_xlfn.XMATCH($C$69,RowName))</f>
        <v>0</v>
      </c>
      <c r="D8" s="103" cm="1">
        <f t="array" ref="D8">INDEX(InputArea,_xlfn.XMATCH(LEFT(A7),ColName),_xlfn.XMATCH($D$69,RowName))</f>
        <v>0</v>
      </c>
      <c r="E8" s="103" cm="1">
        <f t="array" ref="E8">INDEX(InputArea,_xlfn.XMATCH(LEFT(A7),ColName),_xlfn.XMATCH($E$69,RowName))</f>
        <v>0</v>
      </c>
      <c r="F8" s="79"/>
      <c r="G8" s="103" cm="1">
        <f t="array" ref="G8">INDEX(InputArea,_xlfn.XMATCH(LEFT(G7),ColName),_xlfn.XMATCH($A$69,RowName))</f>
        <v>0</v>
      </c>
      <c r="H8" s="103" cm="1">
        <f t="array" ref="H8">INDEX(InputArea,_xlfn.XMATCH(LEFT(G7),ColName),_xlfn.XMATCH($B$69,RowName))</f>
        <v>0</v>
      </c>
      <c r="I8" s="103" cm="1">
        <f t="array" ref="I8">INDEX(InputArea,_xlfn.XMATCH(LEFT(G7),ColName),_xlfn.XMATCH($C$69,RowName))</f>
        <v>0</v>
      </c>
      <c r="J8" s="103" cm="1">
        <f t="array" ref="J8">INDEX(InputArea,_xlfn.XMATCH(LEFT(G7),ColName),_xlfn.XMATCH($D$69,RowName))</f>
        <v>0</v>
      </c>
      <c r="K8" s="103" cm="1">
        <f t="array" ref="K8">INDEX(InputArea,_xlfn.XMATCH(LEFT(G7),ColName),_xlfn.XMATCH($E$69,RowName))</f>
        <v>0</v>
      </c>
      <c r="L8" s="79"/>
      <c r="M8" s="103" cm="1">
        <f t="array" ref="M8">INDEX(InputArea,_xlfn.XMATCH(LEFT(M7),ColName),_xlfn.XMATCH($A$69,RowName))</f>
        <v>0</v>
      </c>
      <c r="N8" s="103" cm="1">
        <f t="array" ref="N8">INDEX(InputArea,_xlfn.XMATCH(LEFT(M7),ColName),_xlfn.XMATCH($B$69,RowName))</f>
        <v>0</v>
      </c>
      <c r="O8" s="103" cm="1">
        <f t="array" ref="O8">INDEX(InputArea,_xlfn.XMATCH(LEFT(M7),ColName),_xlfn.XMATCH($C$69,RowName))</f>
        <v>0</v>
      </c>
      <c r="P8" s="103" cm="1">
        <f t="array" ref="P8">INDEX(InputArea,_xlfn.XMATCH(LEFT(M7),ColName),_xlfn.XMATCH($D$69,RowName))</f>
        <v>0</v>
      </c>
      <c r="Q8" s="103" cm="1">
        <f t="array" ref="Q8">INDEX(InputArea,_xlfn.XMATCH(LEFT(M7),ColName),_xlfn.XMATCH($E$69,RowName))</f>
        <v>0</v>
      </c>
      <c r="R8" s="79"/>
      <c r="S8" s="103" cm="1">
        <f t="array" ref="S8">INDEX(InputArea,_xlfn.XMATCH(LEFT(S7),ColName),_xlfn.XMATCH($A$69,RowName))</f>
        <v>0</v>
      </c>
      <c r="T8" s="103" cm="1">
        <f t="array" ref="T8">INDEX(InputArea,_xlfn.XMATCH(LEFT(S7),ColName),_xlfn.XMATCH($B$69,RowName))</f>
        <v>0</v>
      </c>
      <c r="U8" s="103" cm="1">
        <f t="array" ref="U8">INDEX(InputArea,_xlfn.XMATCH(LEFT(S7),ColName),_xlfn.XMATCH($C$69,RowName))</f>
        <v>0</v>
      </c>
      <c r="V8" s="103" cm="1">
        <f t="array" ref="V8">INDEX(InputArea,_xlfn.XMATCH(LEFT(S7),ColName),_xlfn.XMATCH($D$69,RowName))</f>
        <v>0</v>
      </c>
      <c r="W8" s="103" cm="1">
        <f t="array" ref="W8">INDEX(InputArea,_xlfn.XMATCH(LEFT(S7),ColName),_xlfn.XMATCH($E$69,RowName))</f>
        <v>0</v>
      </c>
      <c r="X8" s="79"/>
      <c r="Y8" s="103" cm="1">
        <f t="array" ref="Y8">INDEX(InputArea,_xlfn.XMATCH(LEFT(Y7),ColName),_xlfn.XMATCH($A$69,RowName))</f>
        <v>0</v>
      </c>
      <c r="Z8" s="103" cm="1">
        <f t="array" ref="Z8">INDEX(InputArea,_xlfn.XMATCH(LEFT(Y7),ColName),_xlfn.XMATCH($B$69,RowName))</f>
        <v>0</v>
      </c>
      <c r="AA8" s="103" cm="1">
        <f t="array" ref="AA8">INDEX(InputArea,_xlfn.XMATCH(LEFT(Y7),ColName),_xlfn.XMATCH($C$69,RowName))</f>
        <v>0</v>
      </c>
      <c r="AB8" s="103" cm="1">
        <f t="array" ref="AB8">INDEX(InputArea,_xlfn.XMATCH(LEFT(Y7),ColName),_xlfn.XMATCH($D$69,RowName))</f>
        <v>0</v>
      </c>
      <c r="AC8" s="103" cm="1">
        <f t="array" ref="AC8">INDEX(InputArea,_xlfn.XMATCH(LEFT(Y7),ColName),_xlfn.XMATCH($E$69,RowName))</f>
        <v>0</v>
      </c>
      <c r="AD8" s="79"/>
      <c r="AE8" s="103" cm="1">
        <f t="array" ref="AE8">INDEX(InputArea,_xlfn.XMATCH(LEFT(AE7),ColName),_xlfn.XMATCH($G$69,RowName))</f>
        <v>0</v>
      </c>
      <c r="AF8" s="103" cm="1">
        <f t="array" ref="AF8">INDEX(InputArea,_xlfn.XMATCH(LEFT(AE7),ColName),_xlfn.XMATCH($H$69,RowName))</f>
        <v>0</v>
      </c>
      <c r="AG8" s="103" cm="1">
        <f t="array" ref="AG8">INDEX(InputArea,_xlfn.XMATCH(LEFT(AE7),ColName),_xlfn.XMATCH($I$69,RowName))</f>
        <v>0</v>
      </c>
      <c r="AH8" s="103" cm="1">
        <f t="array" ref="AH8">INDEX(InputArea,_xlfn.XMATCH(LEFT(AE7),ColName),_xlfn.XMATCH($J$69,RowName))</f>
        <v>0</v>
      </c>
      <c r="AI8" s="103" cm="1">
        <f t="array" ref="AI8">INDEX(InputArea,_xlfn.XMATCH(LEFT(AE7),ColName),_xlfn.XMATCH($K$69,RowName))</f>
        <v>0</v>
      </c>
      <c r="AJ8" s="79"/>
      <c r="AK8" s="103" cm="1">
        <f t="array" ref="AK8">INDEX(InputArea,_xlfn.XMATCH(LEFT(AK7),ColName),_xlfn.XMATCH($G$69,RowName))</f>
        <v>0</v>
      </c>
      <c r="AL8" s="103" cm="1">
        <f t="array" ref="AL8">INDEX(InputArea,_xlfn.XMATCH(LEFT(AK7),ColName),_xlfn.XMATCH($H$69,RowName))</f>
        <v>0</v>
      </c>
      <c r="AM8" s="103" cm="1">
        <f t="array" ref="AM8">INDEX(InputArea,_xlfn.XMATCH(LEFT(AK7),ColName),_xlfn.XMATCH($I$69,RowName))</f>
        <v>0</v>
      </c>
      <c r="AN8" s="103" cm="1">
        <f t="array" ref="AN8">INDEX(InputArea,_xlfn.XMATCH(LEFT(AK7),ColName),_xlfn.XMATCH($J$69,RowName))</f>
        <v>0</v>
      </c>
      <c r="AO8" s="103" cm="1">
        <f t="array" ref="AO8">INDEX(InputArea,_xlfn.XMATCH(LEFT(AK7),ColName),_xlfn.XMATCH($K$69,RowName))</f>
        <v>0</v>
      </c>
      <c r="AP8" s="79"/>
      <c r="AQ8" s="103" cm="1">
        <f t="array" ref="AQ8">INDEX(InputArea,_xlfn.XMATCH(LEFT(AQ7),ColName),_xlfn.XMATCH($G$69,RowName))</f>
        <v>0</v>
      </c>
      <c r="AR8" s="103" cm="1">
        <f t="array" ref="AR8">INDEX(InputArea,_xlfn.XMATCH(LEFT(AQ7),ColName),_xlfn.XMATCH($H$69,RowName))</f>
        <v>0</v>
      </c>
      <c r="AS8" s="103" cm="1">
        <f t="array" ref="AS8">INDEX(InputArea,_xlfn.XMATCH(LEFT(AQ7),ColName),_xlfn.XMATCH($I$69,RowName))</f>
        <v>0</v>
      </c>
      <c r="AT8" s="103" cm="1">
        <f t="array" ref="AT8">INDEX(InputArea,_xlfn.XMATCH(LEFT(AQ7),ColName),_xlfn.XMATCH($J$69,RowName))</f>
        <v>0</v>
      </c>
      <c r="AU8" s="103" cm="1">
        <f t="array" ref="AU8">INDEX(InputArea,_xlfn.XMATCH(LEFT(AQ7),ColName),_xlfn.XMATCH($K$69,RowName))</f>
        <v>0</v>
      </c>
      <c r="AV8" s="79"/>
      <c r="AW8" s="103" cm="1">
        <f t="array" ref="AW8">INDEX(InputArea,_xlfn.XMATCH(LEFT(AW7),ColName),_xlfn.XMATCH($G$69,RowName))</f>
        <v>0</v>
      </c>
      <c r="AX8" s="103" cm="1">
        <f t="array" ref="AX8">INDEX(InputArea,_xlfn.XMATCH(LEFT(AW7),ColName),_xlfn.XMATCH($H$69,RowName))</f>
        <v>0</v>
      </c>
      <c r="AY8" s="103" cm="1">
        <f t="array" ref="AY8">INDEX(InputArea,_xlfn.XMATCH(LEFT(AW7),ColName),_xlfn.XMATCH($I$69,RowName))</f>
        <v>0</v>
      </c>
      <c r="AZ8" s="103" cm="1">
        <f t="array" ref="AZ8">INDEX(InputArea,_xlfn.XMATCH(LEFT(AW7),ColName),_xlfn.XMATCH($J$69,RowName))</f>
        <v>0</v>
      </c>
      <c r="BA8" s="103" cm="1">
        <f t="array" ref="BA8">INDEX(InputArea,_xlfn.XMATCH(LEFT(AW7),ColName),_xlfn.XMATCH($K$69,RowName))</f>
        <v>0</v>
      </c>
      <c r="BB8" s="79"/>
      <c r="BC8" s="103" cm="1">
        <f t="array" ref="BC8">INDEX(InputArea,_xlfn.XMATCH(LEFT(BC7),ColName),_xlfn.XMATCH($G$69,RowName))</f>
        <v>0</v>
      </c>
      <c r="BD8" s="103" cm="1">
        <f t="array" ref="BD8">INDEX(InputArea,_xlfn.XMATCH(LEFT(BC7),ColName),_xlfn.XMATCH($H$69,RowName))</f>
        <v>0</v>
      </c>
      <c r="BE8" s="103" cm="1">
        <f t="array" ref="BE8">INDEX(InputArea,_xlfn.XMATCH(LEFT(BC7),ColName),_xlfn.XMATCH($I$69,RowName))</f>
        <v>0</v>
      </c>
      <c r="BF8" s="103" cm="1">
        <f t="array" ref="BF8">INDEX(InputArea,_xlfn.XMATCH(LEFT(BC7),ColName),_xlfn.XMATCH($J$69,RowName))</f>
        <v>0</v>
      </c>
      <c r="BG8" s="103" cm="1">
        <f t="array" ref="BG8">INDEX(InputArea,_xlfn.XMATCH(LEFT(BC7),ColName),_xlfn.XMATCH($K$69,RowName))</f>
        <v>0</v>
      </c>
    </row>
    <row r="9" spans="1:59" ht="19.5" thickBot="1" x14ac:dyDescent="0.45">
      <c r="A9" s="105" cm="1">
        <f t="array" ref="A9">INDEX(InputArea,_xlfn.XMATCH(LEFT(A7),ColName),_xlfn.XMATCH($A$70,RowName))</f>
        <v>0</v>
      </c>
      <c r="B9" s="103" cm="1">
        <f t="array" ref="B9">INDEX(InputArea,_xlfn.XMATCH(LEFT(A7),ColName),_xlfn.XMATCH($B$70,RowName))</f>
        <v>0</v>
      </c>
      <c r="C9" s="103" cm="1">
        <f t="array" ref="C9">INDEX(InputArea,_xlfn.XMATCH(LEFT(A7),ColName),_xlfn.XMATCH($C$70,RowName))</f>
        <v>0</v>
      </c>
      <c r="D9" s="102" cm="1">
        <f t="array" ref="D9">INDEX(InputArea,_xlfn.XMATCH(LEFT(A7),ColName),_xlfn.XMATCH($D$70,RowName))</f>
        <v>0</v>
      </c>
      <c r="E9" s="103" cm="1">
        <f t="array" ref="E9">INDEX(InputArea,_xlfn.XMATCH(LEFT(A7),ColName),_xlfn.XMATCH($E$70,RowName))</f>
        <v>0</v>
      </c>
      <c r="F9" s="79"/>
      <c r="G9" s="103" cm="1">
        <f t="array" ref="G9">INDEX(InputArea,_xlfn.XMATCH(LEFT(G7),ColName),_xlfn.XMATCH($A$70,RowName))</f>
        <v>0</v>
      </c>
      <c r="H9" s="104" cm="1">
        <f t="array" ref="H9">INDEX(InputArea,_xlfn.XMATCH(LEFT(G7),ColName),_xlfn.XMATCH($B$70,RowName))</f>
        <v>0</v>
      </c>
      <c r="I9" s="103" cm="1">
        <f t="array" ref="I9">INDEX(InputArea,_xlfn.XMATCH(LEFT(G7),ColName),_xlfn.XMATCH($C$70,RowName))</f>
        <v>0</v>
      </c>
      <c r="J9" s="102" cm="1">
        <f t="array" ref="J9">INDEX(InputArea,_xlfn.XMATCH(LEFT(G7),ColName),_xlfn.XMATCH($D$70,RowName))</f>
        <v>0</v>
      </c>
      <c r="K9" s="103" cm="1">
        <f t="array" ref="K9">INDEX(InputArea,_xlfn.XMATCH(LEFT(G7),ColName),_xlfn.XMATCH($E$70,RowName))</f>
        <v>0</v>
      </c>
      <c r="L9" s="79"/>
      <c r="M9" s="103" cm="1">
        <f t="array" ref="M9">INDEX(InputArea,_xlfn.XMATCH(LEFT(M7),ColName),_xlfn.XMATCH($A$70,RowName))</f>
        <v>0</v>
      </c>
      <c r="N9" s="103" cm="1">
        <f t="array" ref="N9">INDEX(InputArea,_xlfn.XMATCH(LEFT(M7),ColName),_xlfn.XMATCH($B$70,RowName))</f>
        <v>0</v>
      </c>
      <c r="O9" s="104" cm="1">
        <f t="array" ref="O9">INDEX(InputArea,_xlfn.XMATCH(LEFT(M7),ColName),_xlfn.XMATCH($C$70,RowName))</f>
        <v>0</v>
      </c>
      <c r="P9" s="102" cm="1">
        <f t="array" ref="P9">INDEX(InputArea,_xlfn.XMATCH(LEFT(M7),ColName),_xlfn.XMATCH($D$70,RowName))</f>
        <v>0</v>
      </c>
      <c r="Q9" s="103" cm="1">
        <f t="array" ref="Q9">INDEX(InputArea,_xlfn.XMATCH(LEFT(M7),ColName),_xlfn.XMATCH($E$70,RowName))</f>
        <v>0</v>
      </c>
      <c r="R9" s="79"/>
      <c r="S9" s="103" cm="1">
        <f t="array" ref="S9">INDEX(InputArea,_xlfn.XMATCH(LEFT(S7),ColName),_xlfn.XMATCH($A$70,RowName))</f>
        <v>0</v>
      </c>
      <c r="T9" s="103" cm="1">
        <f t="array" ref="T9">INDEX(InputArea,_xlfn.XMATCH(LEFT(S7),ColName),_xlfn.XMATCH($B$70,RowName))</f>
        <v>0</v>
      </c>
      <c r="U9" s="103" cm="1">
        <f t="array" ref="U9">INDEX(InputArea,_xlfn.XMATCH(LEFT(S7),ColName),_xlfn.XMATCH($C$70,RowName))</f>
        <v>0</v>
      </c>
      <c r="V9" s="104" cm="1">
        <f t="array" ref="V9">INDEX(InputArea,_xlfn.XMATCH(LEFT(S7),ColName),_xlfn.XMATCH($D$70,RowName))</f>
        <v>0</v>
      </c>
      <c r="W9" s="103" cm="1">
        <f t="array" ref="W9">INDEX(InputArea,_xlfn.XMATCH(LEFT(S7),ColName),_xlfn.XMATCH($E$70,RowName))</f>
        <v>0</v>
      </c>
      <c r="X9" s="79"/>
      <c r="Y9" s="103" cm="1">
        <f t="array" ref="Y9">INDEX(InputArea,_xlfn.XMATCH(LEFT(Y7),ColName),_xlfn.XMATCH($A$70,RowName))</f>
        <v>0</v>
      </c>
      <c r="Z9" s="103" cm="1">
        <f t="array" ref="Z9">INDEX(InputArea,_xlfn.XMATCH(LEFT(Y7),ColName),_xlfn.XMATCH($B$70,RowName))</f>
        <v>0</v>
      </c>
      <c r="AA9" s="103" cm="1">
        <f t="array" ref="AA9">INDEX(InputArea,_xlfn.XMATCH(LEFT(Y7),ColName),_xlfn.XMATCH($C$70,RowName))</f>
        <v>0</v>
      </c>
      <c r="AB9" s="102" cm="1">
        <f t="array" ref="AB9">INDEX(InputArea,_xlfn.XMATCH(LEFT(Y7),ColName),_xlfn.XMATCH($D$70,RowName))</f>
        <v>0</v>
      </c>
      <c r="AC9" s="104" cm="1">
        <f t="array" ref="AC9">INDEX(InputArea,_xlfn.XMATCH(LEFT(Y7),ColName),_xlfn.XMATCH($E$70,RowName))</f>
        <v>0</v>
      </c>
      <c r="AD9" s="79"/>
      <c r="AE9" s="104" cm="1">
        <f t="array" ref="AE9">INDEX(InputArea,_xlfn.XMATCH(LEFT(AE7),ColName),_xlfn.XMATCH($G$70,RowName))</f>
        <v>0</v>
      </c>
      <c r="AF9" s="102" cm="1">
        <f t="array" ref="AF9">INDEX(InputArea,_xlfn.XMATCH(LEFT(AE7),ColName),_xlfn.XMATCH($H$70,RowName))</f>
        <v>0</v>
      </c>
      <c r="AG9" s="103" cm="1">
        <f t="array" ref="AG9">INDEX(InputArea,_xlfn.XMATCH(LEFT(AE7),ColName),_xlfn.XMATCH($I$70,RowName))</f>
        <v>0</v>
      </c>
      <c r="AH9" s="103" cm="1">
        <f t="array" ref="AH9">INDEX(InputArea,_xlfn.XMATCH(LEFT(AE7),ColName),_xlfn.XMATCH($J$70,RowName))</f>
        <v>0</v>
      </c>
      <c r="AI9" s="103" cm="1">
        <f t="array" ref="AI9">INDEX(InputArea,_xlfn.XMATCH(LEFT(AE7),ColName),_xlfn.XMATCH($K$70,RowName))</f>
        <v>0</v>
      </c>
      <c r="AJ9" s="79"/>
      <c r="AK9" s="103" cm="1">
        <f t="array" ref="AK9">INDEX(InputArea,_xlfn.XMATCH(LEFT(AK7),ColName),_xlfn.XMATCH($G$70,RowName))</f>
        <v>0</v>
      </c>
      <c r="AL9" s="104" cm="1">
        <f t="array" ref="AL9">INDEX(InputArea,_xlfn.XMATCH(LEFT(AK7),ColName),_xlfn.XMATCH($H$70,RowName))</f>
        <v>0</v>
      </c>
      <c r="AM9" s="103" cm="1">
        <f t="array" ref="AM9">INDEX(InputArea,_xlfn.XMATCH(LEFT(AK7),ColName),_xlfn.XMATCH($I$70,RowName))</f>
        <v>0</v>
      </c>
      <c r="AN9" s="103" cm="1">
        <f t="array" ref="AN9">INDEX(InputArea,_xlfn.XMATCH(LEFT(AK7),ColName),_xlfn.XMATCH($J$70,RowName))</f>
        <v>0</v>
      </c>
      <c r="AO9" s="103" cm="1">
        <f t="array" ref="AO9">INDEX(InputArea,_xlfn.XMATCH(LEFT(AK7),ColName),_xlfn.XMATCH($K$70,RowName))</f>
        <v>0</v>
      </c>
      <c r="AP9" s="79"/>
      <c r="AQ9" s="103" cm="1">
        <f t="array" ref="AQ9">INDEX(InputArea,_xlfn.XMATCH(LEFT(AQ7),ColName),_xlfn.XMATCH($G$70,RowName))</f>
        <v>0</v>
      </c>
      <c r="AR9" s="112" cm="1">
        <f t="array" ref="AR9">INDEX(InputArea,_xlfn.XMATCH(LEFT(AQ7),ColName),_xlfn.XMATCH($H$70,RowName))</f>
        <v>0</v>
      </c>
      <c r="AS9" s="104" cm="1">
        <f t="array" ref="AS9">INDEX(InputArea,_xlfn.XMATCH(LEFT(AQ7),ColName),_xlfn.XMATCH($I$70,RowName))</f>
        <v>0</v>
      </c>
      <c r="AT9" s="103" cm="1">
        <f t="array" ref="AT9">INDEX(InputArea,_xlfn.XMATCH(LEFT(AQ7),ColName),_xlfn.XMATCH($J$70,RowName))</f>
        <v>0</v>
      </c>
      <c r="AU9" s="103" cm="1">
        <f t="array" ref="AU9">INDEX(InputArea,_xlfn.XMATCH(LEFT(AQ7),ColName),_xlfn.XMATCH($K$70,RowName))</f>
        <v>0</v>
      </c>
      <c r="AV9" s="79"/>
      <c r="AW9" s="103" cm="1">
        <f t="array" ref="AW9">INDEX(InputArea,_xlfn.XMATCH(LEFT(AW7),ColName),_xlfn.XMATCH($G$70,RowName))</f>
        <v>0</v>
      </c>
      <c r="AX9" s="102" cm="1">
        <f t="array" ref="AX9">INDEX(InputArea,_xlfn.XMATCH(LEFT(AW7),ColName),_xlfn.XMATCH($H$70,RowName))</f>
        <v>0</v>
      </c>
      <c r="AY9" s="103" cm="1">
        <f t="array" ref="AY9">INDEX(InputArea,_xlfn.XMATCH(LEFT(AW7),ColName),_xlfn.XMATCH($I$70,RowName))</f>
        <v>0</v>
      </c>
      <c r="AZ9" s="104" cm="1">
        <f t="array" ref="AZ9">INDEX(InputArea,_xlfn.XMATCH(LEFT(AW7),ColName),_xlfn.XMATCH($J$70,RowName))</f>
        <v>0</v>
      </c>
      <c r="BA9" s="103" cm="1">
        <f t="array" ref="BA9">INDEX(InputArea,_xlfn.XMATCH(LEFT(AW7),ColName),_xlfn.XMATCH($K$70,RowName))</f>
        <v>0</v>
      </c>
      <c r="BB9" s="79"/>
      <c r="BC9" s="103" cm="1">
        <f t="array" ref="BC9">INDEX(InputArea,_xlfn.XMATCH(LEFT(BC7),ColName),_xlfn.XMATCH($G$70,RowName))</f>
        <v>0</v>
      </c>
      <c r="BD9" s="103" cm="1">
        <f t="array" ref="BD9">INDEX(InputArea,_xlfn.XMATCH(LEFT(BC7),ColName),_xlfn.XMATCH($H$70,RowName))</f>
        <v>0</v>
      </c>
      <c r="BE9" s="103" cm="1">
        <f t="array" ref="BE9">INDEX(InputArea,_xlfn.XMATCH(LEFT(BC7),ColName),_xlfn.XMATCH($I$70,RowName))</f>
        <v>0</v>
      </c>
      <c r="BF9" s="103" cm="1">
        <f t="array" ref="BF9">INDEX(InputArea,_xlfn.XMATCH(LEFT(BC7),ColName),_xlfn.XMATCH($J$70,RowName))</f>
        <v>0</v>
      </c>
      <c r="BG9" s="104" cm="1">
        <f t="array" ref="BG9">INDEX(InputArea,_xlfn.XMATCH(LEFT(BC7),ColName),_xlfn.XMATCH($K$70,RowName))</f>
        <v>0</v>
      </c>
    </row>
    <row r="10" spans="1:59" ht="19.5" thickBot="1" x14ac:dyDescent="0.45">
      <c r="A10" s="103" cm="1">
        <f t="array" ref="A10">INDEX(InputArea,_xlfn.XMATCH(LEFT(A7),ColName),_xlfn.XMATCH($A$71,RowName))</f>
        <v>0</v>
      </c>
      <c r="B10" s="103" cm="1">
        <f t="array" ref="B10">INDEX(InputArea,_xlfn.XMATCH(LEFT(A7),ColName),_xlfn.XMATCH($B$71,RowName))</f>
        <v>0</v>
      </c>
      <c r="C10" s="103" cm="1">
        <f t="array" ref="C10">INDEX(InputArea,_xlfn.XMATCH(LEFT(A7),ColName),_xlfn.XMATCH($C$71,RowName))</f>
        <v>0</v>
      </c>
      <c r="D10" s="103" cm="1">
        <f t="array" ref="D10">INDEX(InputArea,_xlfn.XMATCH(LEFT(A7),ColName),_xlfn.XMATCH($D$71,RowName))</f>
        <v>0</v>
      </c>
      <c r="E10" s="103" cm="1">
        <f t="array" ref="E10">INDEX(InputArea,_xlfn.XMATCH(LEFT(A7),ColName),_xlfn.XMATCH($E$71,RowName))</f>
        <v>0</v>
      </c>
      <c r="F10" s="79"/>
      <c r="G10" s="103" cm="1">
        <f t="array" ref="G10">INDEX(InputArea,_xlfn.XMATCH(LEFT(G7),ColName),_xlfn.XMATCH($A$71,RowName))</f>
        <v>0</v>
      </c>
      <c r="H10" s="103" cm="1">
        <f t="array" ref="H10">INDEX(InputArea,_xlfn.XMATCH(LEFT(G7),ColName),_xlfn.XMATCH($B$71,RowName))</f>
        <v>0</v>
      </c>
      <c r="I10" s="103" cm="1">
        <f t="array" ref="I10">INDEX(InputArea,_xlfn.XMATCH(LEFT(G7),ColName),_xlfn.XMATCH($C$71,RowName))</f>
        <v>0</v>
      </c>
      <c r="J10" s="103" cm="1">
        <f t="array" ref="J10">INDEX(InputArea,_xlfn.XMATCH(LEFT(G7),ColName),_xlfn.XMATCH($D$71,RowName))</f>
        <v>0</v>
      </c>
      <c r="K10" s="103" cm="1">
        <f t="array" ref="K10">INDEX(InputArea,_xlfn.XMATCH(LEFT(G7),ColName),_xlfn.XMATCH($E$71,RowName))</f>
        <v>0</v>
      </c>
      <c r="L10" s="79"/>
      <c r="M10" s="103" cm="1">
        <f t="array" ref="M10">INDEX(InputArea,_xlfn.XMATCH(LEFT(M7),ColName),_xlfn.XMATCH($A$71,RowName))</f>
        <v>0</v>
      </c>
      <c r="N10" s="103" cm="1">
        <f t="array" ref="N10">INDEX(InputArea,_xlfn.XMATCH(LEFT(M7),ColName),_xlfn.XMATCH($B$71,RowName))</f>
        <v>0</v>
      </c>
      <c r="O10" s="103" cm="1">
        <f t="array" ref="O10">INDEX(InputArea,_xlfn.XMATCH(LEFT(M7),ColName),_xlfn.XMATCH($C$71,RowName))</f>
        <v>0</v>
      </c>
      <c r="P10" s="103" cm="1">
        <f t="array" ref="P10">INDEX(InputArea,_xlfn.XMATCH(LEFT(M7),ColName),_xlfn.XMATCH($D$71,RowName))</f>
        <v>0</v>
      </c>
      <c r="Q10" s="103" cm="1">
        <f t="array" ref="Q10">INDEX(InputArea,_xlfn.XMATCH(LEFT(M7),ColName),_xlfn.XMATCH($E$71,RowName))</f>
        <v>0</v>
      </c>
      <c r="R10" s="79"/>
      <c r="S10" s="103" cm="1">
        <f t="array" ref="S10">INDEX(InputArea,_xlfn.XMATCH(LEFT(S7),ColName),_xlfn.XMATCH($A$71,RowName))</f>
        <v>0</v>
      </c>
      <c r="T10" s="103" cm="1">
        <f t="array" ref="T10">INDEX(InputArea,_xlfn.XMATCH(LEFT(S7),ColName),_xlfn.XMATCH($B$71,RowName))</f>
        <v>0</v>
      </c>
      <c r="U10" s="103" cm="1">
        <f t="array" ref="U10">INDEX(InputArea,_xlfn.XMATCH(LEFT(S7),ColName),_xlfn.XMATCH($C$71,RowName))</f>
        <v>0</v>
      </c>
      <c r="V10" s="103" cm="1">
        <f t="array" ref="V10">INDEX(InputArea,_xlfn.XMATCH(LEFT(S7),ColName),_xlfn.XMATCH($D$71,RowName))</f>
        <v>0</v>
      </c>
      <c r="W10" s="103" cm="1">
        <f t="array" ref="W10">INDEX(InputArea,_xlfn.XMATCH(LEFT(S7),ColName),_xlfn.XMATCH($E$71,RowName))</f>
        <v>0</v>
      </c>
      <c r="X10" s="79"/>
      <c r="Y10" s="103" cm="1">
        <f t="array" ref="Y10">INDEX(InputArea,_xlfn.XMATCH(LEFT(Y7),ColName),_xlfn.XMATCH($A$71,RowName))</f>
        <v>0</v>
      </c>
      <c r="Z10" s="103" cm="1">
        <f t="array" ref="Z10">INDEX(InputArea,_xlfn.XMATCH(LEFT(Y7),ColName),_xlfn.XMATCH($B$71,RowName))</f>
        <v>0</v>
      </c>
      <c r="AA10" s="103" cm="1">
        <f t="array" ref="AA10">INDEX(InputArea,_xlfn.XMATCH(LEFT(Y7),ColName),_xlfn.XMATCH($C$71,RowName))</f>
        <v>0</v>
      </c>
      <c r="AB10" s="103" cm="1">
        <f t="array" ref="AB10">INDEX(InputArea,_xlfn.XMATCH(LEFT(Y7),ColName),_xlfn.XMATCH($D$71,RowName))</f>
        <v>0</v>
      </c>
      <c r="AC10" s="103" cm="1">
        <f t="array" ref="AC10">INDEX(InputArea,_xlfn.XMATCH(LEFT(Y7),ColName),_xlfn.XMATCH($E$71,RowName))</f>
        <v>0</v>
      </c>
      <c r="AD10" s="79"/>
      <c r="AE10" s="103" cm="1">
        <f t="array" ref="AE10">INDEX(InputArea,_xlfn.XMATCH(LEFT(AE7),ColName),_xlfn.XMATCH($G$71,RowName))</f>
        <v>0</v>
      </c>
      <c r="AF10" s="103" cm="1">
        <f t="array" ref="AF10">INDEX(InputArea,_xlfn.XMATCH(LEFT(AE7),ColName),_xlfn.XMATCH($H$71,RowName))</f>
        <v>0</v>
      </c>
      <c r="AG10" s="103" cm="1">
        <f t="array" ref="AG10">INDEX(InputArea,_xlfn.XMATCH(LEFT(AE7),ColName),_xlfn.XMATCH($I$71,RowName))</f>
        <v>0</v>
      </c>
      <c r="AH10" s="103" cm="1">
        <f t="array" ref="AH10">INDEX(InputArea,_xlfn.XMATCH(LEFT(AE7),ColName),_xlfn.XMATCH($J$71,RowName))</f>
        <v>0</v>
      </c>
      <c r="AI10" s="103" cm="1">
        <f t="array" ref="AI10">INDEX(InputArea,_xlfn.XMATCH(LEFT(AE7),ColName),_xlfn.XMATCH($K$71,RowName))</f>
        <v>0</v>
      </c>
      <c r="AJ10" s="79"/>
      <c r="AK10" s="103" cm="1">
        <f t="array" ref="AK10">INDEX(InputArea,_xlfn.XMATCH(LEFT(AK7),ColName),_xlfn.XMATCH($G$71,RowName))</f>
        <v>0</v>
      </c>
      <c r="AL10" s="103" cm="1">
        <f t="array" ref="AL10">INDEX(InputArea,_xlfn.XMATCH(LEFT(AK7),ColName),_xlfn.XMATCH($H$71,RowName))</f>
        <v>0</v>
      </c>
      <c r="AM10" s="103" cm="1">
        <f t="array" ref="AM10">INDEX(InputArea,_xlfn.XMATCH(LEFT(AK7),ColName),_xlfn.XMATCH($I$71,RowName))</f>
        <v>0</v>
      </c>
      <c r="AN10" s="103" cm="1">
        <f t="array" ref="AN10">INDEX(InputArea,_xlfn.XMATCH(LEFT(AK7),ColName),_xlfn.XMATCH($J$71,RowName))</f>
        <v>0</v>
      </c>
      <c r="AO10" s="103" cm="1">
        <f t="array" ref="AO10">INDEX(InputArea,_xlfn.XMATCH(LEFT(AK7),ColName),_xlfn.XMATCH($K$71,RowName))</f>
        <v>0</v>
      </c>
      <c r="AP10" s="79"/>
      <c r="AQ10" s="103" cm="1">
        <f t="array" ref="AQ10">INDEX(InputArea,_xlfn.XMATCH(LEFT(AQ7),ColName),_xlfn.XMATCH($G$71,RowName))</f>
        <v>0</v>
      </c>
      <c r="AR10" s="103" cm="1">
        <f t="array" ref="AR10">INDEX(InputArea,_xlfn.XMATCH(LEFT(AQ7),ColName),_xlfn.XMATCH($H$71,RowName))</f>
        <v>0</v>
      </c>
      <c r="AS10" s="103" cm="1">
        <f t="array" ref="AS10">INDEX(InputArea,_xlfn.XMATCH(LEFT(AQ7),ColName),_xlfn.XMATCH($I$71,RowName))</f>
        <v>0</v>
      </c>
      <c r="AT10" s="103" cm="1">
        <f t="array" ref="AT10">INDEX(InputArea,_xlfn.XMATCH(LEFT(AQ7),ColName),_xlfn.XMATCH($J$71,RowName))</f>
        <v>0</v>
      </c>
      <c r="AU10" s="103" cm="1">
        <f t="array" ref="AU10">INDEX(InputArea,_xlfn.XMATCH(LEFT(AQ7),ColName),_xlfn.XMATCH($K$71,RowName))</f>
        <v>0</v>
      </c>
      <c r="AV10" s="79"/>
      <c r="AW10" s="103" cm="1">
        <f t="array" ref="AW10">INDEX(InputArea,_xlfn.XMATCH(LEFT(AW7),ColName),_xlfn.XMATCH($G$71,RowName))</f>
        <v>0</v>
      </c>
      <c r="AX10" s="103" cm="1">
        <f t="array" ref="AX10">INDEX(InputArea,_xlfn.XMATCH(LEFT(AW7),ColName),_xlfn.XMATCH($H$71,RowName))</f>
        <v>0</v>
      </c>
      <c r="AY10" s="103" cm="1">
        <f t="array" ref="AY10">INDEX(InputArea,_xlfn.XMATCH(LEFT(AW7),ColName),_xlfn.XMATCH($I$71,RowName))</f>
        <v>0</v>
      </c>
      <c r="AZ10" s="103" cm="1">
        <f t="array" ref="AZ10">INDEX(InputArea,_xlfn.XMATCH(LEFT(AW7),ColName),_xlfn.XMATCH($J$71,RowName))</f>
        <v>0</v>
      </c>
      <c r="BA10" s="103" cm="1">
        <f t="array" ref="BA10">INDEX(InputArea,_xlfn.XMATCH(LEFT(AW7),ColName),_xlfn.XMATCH($K$71,RowName))</f>
        <v>0</v>
      </c>
      <c r="BB10" s="79"/>
      <c r="BC10" s="103" cm="1">
        <f t="array" ref="BC10">INDEX(InputArea,_xlfn.XMATCH(LEFT(BC7),ColName),_xlfn.XMATCH($G$71,RowName))</f>
        <v>0</v>
      </c>
      <c r="BD10" s="102" cm="1">
        <f t="array" ref="BD10">INDEX(InputArea,_xlfn.XMATCH(LEFT(BC7),ColName),_xlfn.XMATCH($H$71,RowName))</f>
        <v>0</v>
      </c>
      <c r="BE10" s="103" cm="1">
        <f t="array" ref="BE10">INDEX(InputArea,_xlfn.XMATCH(LEFT(BC7),ColName),_xlfn.XMATCH($I$71,RowName))</f>
        <v>0</v>
      </c>
      <c r="BF10" s="103" cm="1">
        <f t="array" ref="BF10">INDEX(InputArea,_xlfn.XMATCH(LEFT(BC7),ColName),_xlfn.XMATCH($J$71,RowName))</f>
        <v>0</v>
      </c>
      <c r="BG10" s="103" cm="1">
        <f t="array" ref="BG10">INDEX(InputArea,_xlfn.XMATCH(LEFT(BC7),ColName),_xlfn.XMATCH($K$71,RowName))</f>
        <v>0</v>
      </c>
    </row>
    <row r="11" spans="1:59" x14ac:dyDescent="0.4">
      <c r="A11" s="79" t="s">
        <v>5</v>
      </c>
      <c r="B11" s="79"/>
      <c r="C11" s="79"/>
      <c r="D11" s="79"/>
      <c r="E11" s="79"/>
      <c r="F11" s="79"/>
      <c r="G11" s="79" t="s">
        <v>15</v>
      </c>
      <c r="H11" s="79"/>
      <c r="I11" s="79"/>
      <c r="J11" s="79"/>
      <c r="K11" s="79"/>
      <c r="L11" s="79"/>
      <c r="M11" s="79" t="s">
        <v>13</v>
      </c>
      <c r="N11" s="79"/>
      <c r="O11" s="79"/>
      <c r="P11" s="79"/>
      <c r="Q11" s="79"/>
      <c r="R11" s="79"/>
      <c r="S11" s="79" t="s">
        <v>14</v>
      </c>
      <c r="T11" s="79"/>
      <c r="U11" s="79"/>
      <c r="V11" s="79"/>
      <c r="W11" s="79"/>
      <c r="X11" s="79"/>
      <c r="Y11" s="79" t="s">
        <v>12</v>
      </c>
      <c r="Z11" s="79"/>
      <c r="AA11" s="79"/>
      <c r="AB11" s="79"/>
      <c r="AC11" s="79"/>
      <c r="AD11" s="79"/>
      <c r="AE11" s="79" t="s">
        <v>23</v>
      </c>
      <c r="AF11" s="79"/>
      <c r="AG11" s="79"/>
      <c r="AH11" s="79"/>
      <c r="AI11" s="79"/>
      <c r="AJ11" s="79"/>
      <c r="AK11" s="79" t="s">
        <v>25</v>
      </c>
      <c r="AL11" s="79"/>
      <c r="AM11" s="79"/>
      <c r="AN11" s="79"/>
      <c r="AO11" s="79"/>
      <c r="AP11" s="79"/>
      <c r="AQ11" s="79" t="s">
        <v>26</v>
      </c>
      <c r="AR11" s="79"/>
      <c r="AS11" s="79"/>
      <c r="AT11" s="79"/>
      <c r="AU11" s="79"/>
      <c r="AV11" s="79"/>
      <c r="AW11" s="79" t="s">
        <v>30</v>
      </c>
      <c r="AX11" s="79"/>
      <c r="AY11" s="79"/>
      <c r="AZ11" s="79"/>
      <c r="BA11" s="79"/>
      <c r="BB11" s="79"/>
      <c r="BC11" s="79" t="s">
        <v>31</v>
      </c>
      <c r="BD11" s="79"/>
      <c r="BE11" s="79"/>
      <c r="BF11" s="79"/>
      <c r="BG11" s="79"/>
    </row>
    <row r="12" spans="1:59" x14ac:dyDescent="0.4">
      <c r="A12" s="103" cm="1">
        <f t="array" ref="A12">INDEX(InputArea,_xlfn.XMATCH(LEFT(A11),ColName),_xlfn.XMATCH($A$69,RowName))</f>
        <v>0</v>
      </c>
      <c r="B12" s="103" cm="1">
        <f t="array" ref="B12">INDEX(InputArea,_xlfn.XMATCH(LEFT(A11),ColName),_xlfn.XMATCH($B$69,RowName))</f>
        <v>0</v>
      </c>
      <c r="C12" s="103" cm="1">
        <f t="array" ref="C12">INDEX(InputArea,_xlfn.XMATCH(LEFT(A11),ColName),_xlfn.XMATCH($C$69,RowName))</f>
        <v>0</v>
      </c>
      <c r="D12" s="103" cm="1">
        <f t="array" ref="D12">INDEX(InputArea,_xlfn.XMATCH(LEFT(A11),ColName),_xlfn.XMATCH($D$69,RowName))</f>
        <v>0</v>
      </c>
      <c r="E12" s="103" cm="1">
        <f t="array" ref="E12">INDEX(InputArea,_xlfn.XMATCH(LEFT(A11),ColName),_xlfn.XMATCH($E$69,RowName))</f>
        <v>0</v>
      </c>
      <c r="F12" s="79"/>
      <c r="G12" s="103" cm="1">
        <f t="array" ref="G12">INDEX(InputArea,_xlfn.XMATCH(LEFT(G11),ColName),_xlfn.XMATCH($A$69,RowName))</f>
        <v>0</v>
      </c>
      <c r="H12" s="103" cm="1">
        <f t="array" ref="H12">INDEX(InputArea,_xlfn.XMATCH(LEFT(G11),ColName),_xlfn.XMATCH($B$69,RowName))</f>
        <v>0</v>
      </c>
      <c r="I12" s="103" cm="1">
        <f t="array" ref="I12">INDEX(InputArea,_xlfn.XMATCH(LEFT(G11),ColName),_xlfn.XMATCH($C$69,RowName))</f>
        <v>0</v>
      </c>
      <c r="J12" s="103" cm="1">
        <f t="array" ref="J12">INDEX(InputArea,_xlfn.XMATCH(LEFT(G11),ColName),_xlfn.XMATCH($D$69,RowName))</f>
        <v>0</v>
      </c>
      <c r="K12" s="103" cm="1">
        <f t="array" ref="K12">INDEX(InputArea,_xlfn.XMATCH(LEFT(G11),ColName),_xlfn.XMATCH($E$69,RowName))</f>
        <v>0</v>
      </c>
      <c r="L12" s="79"/>
      <c r="M12" s="103" cm="1">
        <f t="array" ref="M12">INDEX(InputArea,_xlfn.XMATCH(LEFT(M11),ColName),_xlfn.XMATCH($A$69,RowName))</f>
        <v>0</v>
      </c>
      <c r="N12" s="103" cm="1">
        <f t="array" ref="N12">INDEX(InputArea,_xlfn.XMATCH(LEFT(M11),ColName),_xlfn.XMATCH($B$69,RowName))</f>
        <v>0</v>
      </c>
      <c r="O12" s="103" cm="1">
        <f t="array" ref="O12">INDEX(InputArea,_xlfn.XMATCH(LEFT(M11),ColName),_xlfn.XMATCH($C$69,RowName))</f>
        <v>0</v>
      </c>
      <c r="P12" s="103" cm="1">
        <f t="array" ref="P12">INDEX(InputArea,_xlfn.XMATCH(LEFT(M11),ColName),_xlfn.XMATCH($D$69,RowName))</f>
        <v>0</v>
      </c>
      <c r="Q12" s="103" cm="1">
        <f t="array" ref="Q12">INDEX(InputArea,_xlfn.XMATCH(LEFT(M11),ColName),_xlfn.XMATCH($E$69,RowName))</f>
        <v>0</v>
      </c>
      <c r="R12" s="79"/>
      <c r="S12" s="103" cm="1">
        <f t="array" ref="S12">INDEX(InputArea,_xlfn.XMATCH(LEFT(S11),ColName),_xlfn.XMATCH($A$69,RowName))</f>
        <v>0</v>
      </c>
      <c r="T12" s="103" cm="1">
        <f t="array" ref="T12">INDEX(InputArea,_xlfn.XMATCH(LEFT(S11),ColName),_xlfn.XMATCH($B$69,RowName))</f>
        <v>0</v>
      </c>
      <c r="U12" s="103" cm="1">
        <f t="array" ref="U12">INDEX(InputArea,_xlfn.XMATCH(LEFT(S11),ColName),_xlfn.XMATCH($C$69,RowName))</f>
        <v>0</v>
      </c>
      <c r="V12" s="103" cm="1">
        <f t="array" ref="V12">INDEX(InputArea,_xlfn.XMATCH(LEFT(S11),ColName),_xlfn.XMATCH($D$69,RowName))</f>
        <v>0</v>
      </c>
      <c r="W12" s="103" cm="1">
        <f t="array" ref="W12">INDEX(InputArea,_xlfn.XMATCH(LEFT(S11),ColName),_xlfn.XMATCH($E$69,RowName))</f>
        <v>0</v>
      </c>
      <c r="X12" s="79"/>
      <c r="Y12" s="103" cm="1">
        <f t="array" ref="Y12">INDEX(InputArea,_xlfn.XMATCH(LEFT(Y11),ColName),_xlfn.XMATCH($A$69,RowName))</f>
        <v>0</v>
      </c>
      <c r="Z12" s="103" cm="1">
        <f t="array" ref="Z12">INDEX(InputArea,_xlfn.XMATCH(LEFT(Y11),ColName),_xlfn.XMATCH($B$69,RowName))</f>
        <v>0</v>
      </c>
      <c r="AA12" s="103" cm="1">
        <f t="array" ref="AA12">INDEX(InputArea,_xlfn.XMATCH(LEFT(Y11),ColName),_xlfn.XMATCH($C$69,RowName))</f>
        <v>0</v>
      </c>
      <c r="AB12" s="103" cm="1">
        <f t="array" ref="AB12">INDEX(InputArea,_xlfn.XMATCH(LEFT(Y11),ColName),_xlfn.XMATCH($D$69,RowName))</f>
        <v>0</v>
      </c>
      <c r="AC12" s="103" cm="1">
        <f t="array" ref="AC12">INDEX(InputArea,_xlfn.XMATCH(LEFT(Y11),ColName),_xlfn.XMATCH($E$69,RowName))</f>
        <v>0</v>
      </c>
      <c r="AD12" s="79"/>
      <c r="AE12" s="103" cm="1">
        <f t="array" ref="AE12">INDEX(InputArea,_xlfn.XMATCH(LEFT(AE11),ColName),_xlfn.XMATCH($G$69,RowName))</f>
        <v>0</v>
      </c>
      <c r="AF12" s="103" cm="1">
        <f t="array" ref="AF12">INDEX(InputArea,_xlfn.XMATCH(LEFT(AE11),ColName),_xlfn.XMATCH($H$69,RowName))</f>
        <v>0</v>
      </c>
      <c r="AG12" s="103" cm="1">
        <f t="array" ref="AG12">INDEX(InputArea,_xlfn.XMATCH(LEFT(AE11),ColName),_xlfn.XMATCH($I$69,RowName))</f>
        <v>0</v>
      </c>
      <c r="AH12" s="103" cm="1">
        <f t="array" ref="AH12">INDEX(InputArea,_xlfn.XMATCH(LEFT(AE11),ColName),_xlfn.XMATCH($J$69,RowName))</f>
        <v>0</v>
      </c>
      <c r="AI12" s="103" cm="1">
        <f t="array" ref="AI12">INDEX(InputArea,_xlfn.XMATCH(LEFT(AE11),ColName),_xlfn.XMATCH($K$69,RowName))</f>
        <v>0</v>
      </c>
      <c r="AJ12" s="79"/>
      <c r="AK12" s="103" cm="1">
        <f t="array" ref="AK12">INDEX(InputArea,_xlfn.XMATCH(LEFT(AK11),ColName),_xlfn.XMATCH($G$69,RowName))</f>
        <v>0</v>
      </c>
      <c r="AL12" s="103" cm="1">
        <f t="array" ref="AL12">INDEX(InputArea,_xlfn.XMATCH(LEFT(AK11),ColName),_xlfn.XMATCH($H$69,RowName))</f>
        <v>0</v>
      </c>
      <c r="AM12" s="103" cm="1">
        <f t="array" ref="AM12">INDEX(InputArea,_xlfn.XMATCH(LEFT(AK11),ColName),_xlfn.XMATCH($I$69,RowName))</f>
        <v>0</v>
      </c>
      <c r="AN12" s="103" cm="1">
        <f t="array" ref="AN12">INDEX(InputArea,_xlfn.XMATCH(LEFT(AK11),ColName),_xlfn.XMATCH($J$69,RowName))</f>
        <v>0</v>
      </c>
      <c r="AO12" s="103" cm="1">
        <f t="array" ref="AO12">INDEX(InputArea,_xlfn.XMATCH(LEFT(AK11),ColName),_xlfn.XMATCH($K$69,RowName))</f>
        <v>0</v>
      </c>
      <c r="AP12" s="79"/>
      <c r="AQ12" s="103" cm="1">
        <f t="array" ref="AQ12">INDEX(InputArea,_xlfn.XMATCH(LEFT(AQ11),ColName),_xlfn.XMATCH($G$69,RowName))</f>
        <v>0</v>
      </c>
      <c r="AR12" s="103" cm="1">
        <f t="array" ref="AR12">INDEX(InputArea,_xlfn.XMATCH(LEFT(AQ11),ColName),_xlfn.XMATCH($H$69,RowName))</f>
        <v>0</v>
      </c>
      <c r="AS12" s="103" cm="1">
        <f t="array" ref="AS12">INDEX(InputArea,_xlfn.XMATCH(LEFT(AQ11),ColName),_xlfn.XMATCH($I$69,RowName))</f>
        <v>0</v>
      </c>
      <c r="AT12" s="103" cm="1">
        <f t="array" ref="AT12">INDEX(InputArea,_xlfn.XMATCH(LEFT(AQ11),ColName),_xlfn.XMATCH($J$69,RowName))</f>
        <v>0</v>
      </c>
      <c r="AU12" s="103" cm="1">
        <f t="array" ref="AU12">INDEX(InputArea,_xlfn.XMATCH(LEFT(AQ11),ColName),_xlfn.XMATCH($K$69,RowName))</f>
        <v>0</v>
      </c>
      <c r="AV12" s="79"/>
      <c r="AW12" s="103" cm="1">
        <f t="array" ref="AW12">INDEX(InputArea,_xlfn.XMATCH(LEFT(AW11),ColName),_xlfn.XMATCH($G$69,RowName))</f>
        <v>0</v>
      </c>
      <c r="AX12" s="103" cm="1">
        <f t="array" ref="AX12">INDEX(InputArea,_xlfn.XMATCH(LEFT(AW11),ColName),_xlfn.XMATCH($H$69,RowName))</f>
        <v>0</v>
      </c>
      <c r="AY12" s="103" cm="1">
        <f t="array" ref="AY12">INDEX(InputArea,_xlfn.XMATCH(LEFT(AW11),ColName),_xlfn.XMATCH($I$69,RowName))</f>
        <v>0</v>
      </c>
      <c r="AZ12" s="103" cm="1">
        <f t="array" ref="AZ12">INDEX(InputArea,_xlfn.XMATCH(LEFT(AW11),ColName),_xlfn.XMATCH($J$69,RowName))</f>
        <v>0</v>
      </c>
      <c r="BA12" s="103" cm="1">
        <f t="array" ref="BA12">INDEX(InputArea,_xlfn.XMATCH(LEFT(AW11),ColName),_xlfn.XMATCH($K$69,RowName))</f>
        <v>0</v>
      </c>
      <c r="BB12" s="79"/>
      <c r="BC12" s="103" cm="1">
        <f t="array" ref="BC12">INDEX(InputArea,_xlfn.XMATCH(LEFT(BC11),ColName),_xlfn.XMATCH($G$69,RowName))</f>
        <v>0</v>
      </c>
      <c r="BD12" s="103" cm="1">
        <f t="array" ref="BD12">INDEX(InputArea,_xlfn.XMATCH(LEFT(BC11),ColName),_xlfn.XMATCH($H$69,RowName))</f>
        <v>0</v>
      </c>
      <c r="BE12" s="103" cm="1">
        <f t="array" ref="BE12">INDEX(InputArea,_xlfn.XMATCH(LEFT(BC11),ColName),_xlfn.XMATCH($I$69,RowName))</f>
        <v>0</v>
      </c>
      <c r="BF12" s="103" cm="1">
        <f t="array" ref="BF12">INDEX(InputArea,_xlfn.XMATCH(LEFT(BC11),ColName),_xlfn.XMATCH($J$69,RowName))</f>
        <v>0</v>
      </c>
      <c r="BG12" s="103" cm="1">
        <f t="array" ref="BG12">INDEX(InputArea,_xlfn.XMATCH(LEFT(BC11),ColName),_xlfn.XMATCH($K$69,RowName))</f>
        <v>0</v>
      </c>
    </row>
    <row r="13" spans="1:59" ht="19.5" thickBot="1" x14ac:dyDescent="0.45">
      <c r="A13" s="103" cm="1">
        <f t="array" ref="A13">INDEX(InputArea,_xlfn.XMATCH(LEFT(A11),ColName),_xlfn.XMATCH($A$70,RowName))</f>
        <v>0</v>
      </c>
      <c r="B13" s="103" cm="1">
        <f t="array" ref="B13">INDEX(InputArea,_xlfn.XMATCH(LEFT(A11),ColName),_xlfn.XMATCH($B$70,RowName))</f>
        <v>0</v>
      </c>
      <c r="C13" s="103" cm="1">
        <f t="array" ref="C13">INDEX(InputArea,_xlfn.XMATCH(LEFT(A11),ColName),_xlfn.XMATCH($C$70,RowName))</f>
        <v>0</v>
      </c>
      <c r="D13" s="102" cm="1">
        <f t="array" ref="D13">INDEX(InputArea,_xlfn.XMATCH(LEFT(A11),ColName),_xlfn.XMATCH($D$70,RowName))</f>
        <v>0</v>
      </c>
      <c r="E13" s="103" cm="1">
        <f t="array" ref="E13">INDEX(InputArea,_xlfn.XMATCH(LEFT(A11),ColName),_xlfn.XMATCH($E$70,RowName))</f>
        <v>0</v>
      </c>
      <c r="F13" s="79"/>
      <c r="G13" s="103" cm="1">
        <f t="array" ref="G13">INDEX(InputArea,_xlfn.XMATCH(LEFT(G11),ColName),_xlfn.XMATCH($A$70,RowName))</f>
        <v>0</v>
      </c>
      <c r="H13" s="103" cm="1">
        <f t="array" ref="H13">INDEX(InputArea,_xlfn.XMATCH(LEFT(G11),ColName),_xlfn.XMATCH($B$70,RowName))</f>
        <v>0</v>
      </c>
      <c r="I13" s="103" cm="1">
        <f t="array" ref="I13">INDEX(InputArea,_xlfn.XMATCH(LEFT(G11),ColName),_xlfn.XMATCH($C$70,RowName))</f>
        <v>0</v>
      </c>
      <c r="J13" s="102" cm="1">
        <f t="array" ref="J13">INDEX(InputArea,_xlfn.XMATCH(LEFT(G11),ColName),_xlfn.XMATCH($D$70,RowName))</f>
        <v>0</v>
      </c>
      <c r="K13" s="103" cm="1">
        <f t="array" ref="K13">INDEX(InputArea,_xlfn.XMATCH(LEFT(G11),ColName),_xlfn.XMATCH($E$70,RowName))</f>
        <v>0</v>
      </c>
      <c r="L13" s="79"/>
      <c r="M13" s="103" cm="1">
        <f t="array" ref="M13">INDEX(InputArea,_xlfn.XMATCH(LEFT(M11),ColName),_xlfn.XMATCH($A$70,RowName))</f>
        <v>0</v>
      </c>
      <c r="N13" s="103" cm="1">
        <f t="array" ref="N13">INDEX(InputArea,_xlfn.XMATCH(LEFT(M11),ColName),_xlfn.XMATCH($B$70,RowName))</f>
        <v>0</v>
      </c>
      <c r="O13" s="103" cm="1">
        <f t="array" ref="O13">INDEX(InputArea,_xlfn.XMATCH(LEFT(M11),ColName),_xlfn.XMATCH($C$70,RowName))</f>
        <v>0</v>
      </c>
      <c r="P13" s="102" cm="1">
        <f t="array" ref="P13">INDEX(InputArea,_xlfn.XMATCH(LEFT(M11),ColName),_xlfn.XMATCH($D$70,RowName))</f>
        <v>0</v>
      </c>
      <c r="Q13" s="103" cm="1">
        <f t="array" ref="Q13">INDEX(InputArea,_xlfn.XMATCH(LEFT(M11),ColName),_xlfn.XMATCH($E$70,RowName))</f>
        <v>0</v>
      </c>
      <c r="R13" s="79"/>
      <c r="S13" s="103" cm="1">
        <f t="array" ref="S13">INDEX(InputArea,_xlfn.XMATCH(LEFT(S11),ColName),_xlfn.XMATCH($A$70,RowName))</f>
        <v>0</v>
      </c>
      <c r="T13" s="103" cm="1">
        <f t="array" ref="T13">INDEX(InputArea,_xlfn.XMATCH(LEFT(S11),ColName),_xlfn.XMATCH($B$70,RowName))</f>
        <v>0</v>
      </c>
      <c r="U13" s="103" cm="1">
        <f t="array" ref="U13">INDEX(InputArea,_xlfn.XMATCH(LEFT(S11),ColName),_xlfn.XMATCH($C$70,RowName))</f>
        <v>0</v>
      </c>
      <c r="V13" s="102" cm="1">
        <f t="array" ref="V13">INDEX(InputArea,_xlfn.XMATCH(LEFT(S11),ColName),_xlfn.XMATCH($D$70,RowName))</f>
        <v>0</v>
      </c>
      <c r="W13" s="103" cm="1">
        <f t="array" ref="W13">INDEX(InputArea,_xlfn.XMATCH(LEFT(S11),ColName),_xlfn.XMATCH($E$70,RowName))</f>
        <v>0</v>
      </c>
      <c r="X13" s="79"/>
      <c r="Y13" s="103" cm="1">
        <f t="array" ref="Y13">INDEX(InputArea,_xlfn.XMATCH(LEFT(Y11),ColName),_xlfn.XMATCH($A$70,RowName))</f>
        <v>0</v>
      </c>
      <c r="Z13" s="103" cm="1">
        <f t="array" ref="Z13">INDEX(InputArea,_xlfn.XMATCH(LEFT(Y11),ColName),_xlfn.XMATCH($B$70,RowName))</f>
        <v>0</v>
      </c>
      <c r="AA13" s="103" cm="1">
        <f t="array" ref="AA13">INDEX(InputArea,_xlfn.XMATCH(LEFT(Y11),ColName),_xlfn.XMATCH($C$70,RowName))</f>
        <v>0</v>
      </c>
      <c r="AB13" s="102" cm="1">
        <f t="array" ref="AB13">INDEX(InputArea,_xlfn.XMATCH(LEFT(Y11),ColName),_xlfn.XMATCH($D$70,RowName))</f>
        <v>0</v>
      </c>
      <c r="AC13" s="103" cm="1">
        <f t="array" ref="AC13">INDEX(InputArea,_xlfn.XMATCH(LEFT(Y11),ColName),_xlfn.XMATCH($E$70,RowName))</f>
        <v>0</v>
      </c>
      <c r="AD13" s="79"/>
      <c r="AE13" s="103" cm="1">
        <f t="array" ref="AE13">INDEX(InputArea,_xlfn.XMATCH(LEFT(AE11),ColName),_xlfn.XMATCH($G$70,RowName))</f>
        <v>0</v>
      </c>
      <c r="AF13" s="102" cm="1">
        <f t="array" ref="AF13">INDEX(InputArea,_xlfn.XMATCH(LEFT(AE11),ColName),_xlfn.XMATCH($H$70,RowName))</f>
        <v>0</v>
      </c>
      <c r="AG13" s="103" cm="1">
        <f t="array" ref="AG13">INDEX(InputArea,_xlfn.XMATCH(LEFT(AE11),ColName),_xlfn.XMATCH($I$70,RowName))</f>
        <v>0</v>
      </c>
      <c r="AH13" s="103" cm="1">
        <f t="array" ref="AH13">INDEX(InputArea,_xlfn.XMATCH(LEFT(AE11),ColName),_xlfn.XMATCH($J$70,RowName))</f>
        <v>0</v>
      </c>
      <c r="AI13" s="103" cm="1">
        <f t="array" ref="AI13">INDEX(InputArea,_xlfn.XMATCH(LEFT(AE11),ColName),_xlfn.XMATCH($K$70,RowName))</f>
        <v>0</v>
      </c>
      <c r="AJ13" s="79"/>
      <c r="AK13" s="103" cm="1">
        <f t="array" ref="AK13">INDEX(InputArea,_xlfn.XMATCH(LEFT(AK11),ColName),_xlfn.XMATCH($G$70,RowName))</f>
        <v>0</v>
      </c>
      <c r="AL13" s="102" cm="1">
        <f t="array" ref="AL13">INDEX(InputArea,_xlfn.XMATCH(LEFT(AK11),ColName),_xlfn.XMATCH($H$70,RowName))</f>
        <v>0</v>
      </c>
      <c r="AM13" s="103" cm="1">
        <f t="array" ref="AM13">INDEX(InputArea,_xlfn.XMATCH(LEFT(AK11),ColName),_xlfn.XMATCH($I$70,RowName))</f>
        <v>0</v>
      </c>
      <c r="AN13" s="103" cm="1">
        <f t="array" ref="AN13">INDEX(InputArea,_xlfn.XMATCH(LEFT(AK11),ColName),_xlfn.XMATCH($J$70,RowName))</f>
        <v>0</v>
      </c>
      <c r="AO13" s="103" cm="1">
        <f t="array" ref="AO13">INDEX(InputArea,_xlfn.XMATCH(LEFT(AK11),ColName),_xlfn.XMATCH($K$70,RowName))</f>
        <v>0</v>
      </c>
      <c r="AP13" s="79"/>
      <c r="AQ13" s="103" cm="1">
        <f t="array" ref="AQ13">INDEX(InputArea,_xlfn.XMATCH(LEFT(AQ11),ColName),_xlfn.XMATCH($G$70,RowName))</f>
        <v>0</v>
      </c>
      <c r="AR13" s="102" cm="1">
        <f t="array" ref="AR13">INDEX(InputArea,_xlfn.XMATCH(LEFT(AQ11),ColName),_xlfn.XMATCH($H$70,RowName))</f>
        <v>0</v>
      </c>
      <c r="AS13" s="103" cm="1">
        <f t="array" ref="AS13">INDEX(InputArea,_xlfn.XMATCH(LEFT(AQ11),ColName),_xlfn.XMATCH($I$70,RowName))</f>
        <v>0</v>
      </c>
      <c r="AT13" s="103" cm="1">
        <f t="array" ref="AT13">INDEX(InputArea,_xlfn.XMATCH(LEFT(AQ11),ColName),_xlfn.XMATCH($J$70,RowName))</f>
        <v>0</v>
      </c>
      <c r="AU13" s="103" cm="1">
        <f t="array" ref="AU13">INDEX(InputArea,_xlfn.XMATCH(LEFT(AQ11),ColName),_xlfn.XMATCH($K$70,RowName))</f>
        <v>0</v>
      </c>
      <c r="AV13" s="79"/>
      <c r="AW13" s="103" cm="1">
        <f t="array" ref="AW13">INDEX(InputArea,_xlfn.XMATCH(LEFT(AW11),ColName),_xlfn.XMATCH($G$70,RowName))</f>
        <v>0</v>
      </c>
      <c r="AX13" s="102" cm="1">
        <f t="array" ref="AX13">INDEX(InputArea,_xlfn.XMATCH(LEFT(AW11),ColName),_xlfn.XMATCH($H$70,RowName))</f>
        <v>0</v>
      </c>
      <c r="AY13" s="103" cm="1">
        <f t="array" ref="AY13">INDEX(InputArea,_xlfn.XMATCH(LEFT(AW11),ColName),_xlfn.XMATCH($I$70,RowName))</f>
        <v>0</v>
      </c>
      <c r="AZ13" s="103" cm="1">
        <f t="array" ref="AZ13">INDEX(InputArea,_xlfn.XMATCH(LEFT(AW11),ColName),_xlfn.XMATCH($J$70,RowName))</f>
        <v>0</v>
      </c>
      <c r="BA13" s="103" cm="1">
        <f t="array" ref="BA13">INDEX(InputArea,_xlfn.XMATCH(LEFT(AW11),ColName),_xlfn.XMATCH($K$70,RowName))</f>
        <v>0</v>
      </c>
      <c r="BB13" s="79"/>
      <c r="BC13" s="103" cm="1">
        <f t="array" ref="BC13">INDEX(InputArea,_xlfn.XMATCH(LEFT(BC11),ColName),_xlfn.XMATCH($G$70,RowName))</f>
        <v>0</v>
      </c>
      <c r="BD13" s="102" cm="1">
        <f t="array" ref="BD13">INDEX(InputArea,_xlfn.XMATCH(LEFT(BC11),ColName),_xlfn.XMATCH($H$70,RowName))</f>
        <v>0</v>
      </c>
      <c r="BE13" s="103" cm="1">
        <f t="array" ref="BE13">INDEX(InputArea,_xlfn.XMATCH(LEFT(BC11),ColName),_xlfn.XMATCH($I$70,RowName))</f>
        <v>0</v>
      </c>
      <c r="BF13" s="103" cm="1">
        <f t="array" ref="BF13">INDEX(InputArea,_xlfn.XMATCH(LEFT(BC11),ColName),_xlfn.XMATCH($J$70,RowName))</f>
        <v>0</v>
      </c>
      <c r="BG13" s="103" cm="1">
        <f t="array" ref="BG13">INDEX(InputArea,_xlfn.XMATCH(LEFT(BC11),ColName),_xlfn.XMATCH($K$70,RowName))</f>
        <v>0</v>
      </c>
    </row>
    <row r="14" spans="1:59" ht="19.5" thickBot="1" x14ac:dyDescent="0.45">
      <c r="A14" s="104" cm="1">
        <f t="array" ref="A14">INDEX(InputArea,_xlfn.XMATCH(LEFT(A11),ColName),_xlfn.XMATCH($A$71,RowName))</f>
        <v>0</v>
      </c>
      <c r="B14" s="103" cm="1">
        <f t="array" ref="B14">INDEX(InputArea,_xlfn.XMATCH(LEFT(A11),ColName),_xlfn.XMATCH($B$71,RowName))</f>
        <v>0</v>
      </c>
      <c r="C14" s="103" cm="1">
        <f t="array" ref="C14">INDEX(InputArea,_xlfn.XMATCH(LEFT(A11),ColName),_xlfn.XMATCH($C$71,RowName))</f>
        <v>0</v>
      </c>
      <c r="D14" s="103" cm="1">
        <f t="array" ref="D14">INDEX(InputArea,_xlfn.XMATCH(LEFT(A11),ColName),_xlfn.XMATCH($D$71,RowName))</f>
        <v>0</v>
      </c>
      <c r="E14" s="103" cm="1">
        <f t="array" ref="E14">INDEX(InputArea,_xlfn.XMATCH(LEFT(A11),ColName),_xlfn.XMATCH($E$71,RowName))</f>
        <v>0</v>
      </c>
      <c r="F14" s="79"/>
      <c r="G14" s="103" cm="1">
        <f t="array" ref="G14">INDEX(InputArea,_xlfn.XMATCH(LEFT(G11),ColName),_xlfn.XMATCH($A$71,RowName))</f>
        <v>0</v>
      </c>
      <c r="H14" s="104" cm="1">
        <f t="array" ref="H14">INDEX(InputArea,_xlfn.XMATCH(LEFT(G11),ColName),_xlfn.XMATCH($B$71,RowName))</f>
        <v>0</v>
      </c>
      <c r="I14" s="103" cm="1">
        <f t="array" ref="I14">INDEX(InputArea,_xlfn.XMATCH(LEFT(G11),ColName),_xlfn.XMATCH($C$71,RowName))</f>
        <v>0</v>
      </c>
      <c r="J14" s="103" cm="1">
        <f t="array" ref="J14">INDEX(InputArea,_xlfn.XMATCH(LEFT(G11),ColName),_xlfn.XMATCH($D$71,RowName))</f>
        <v>0</v>
      </c>
      <c r="K14" s="103" cm="1">
        <f t="array" ref="K14">INDEX(InputArea,_xlfn.XMATCH(LEFT(G11),ColName),_xlfn.XMATCH($E$71,RowName))</f>
        <v>0</v>
      </c>
      <c r="L14" s="79"/>
      <c r="M14" s="103" cm="1">
        <f t="array" ref="M14">INDEX(InputArea,_xlfn.XMATCH(LEFT(M11),ColName),_xlfn.XMATCH($A$71,RowName))</f>
        <v>0</v>
      </c>
      <c r="N14" s="103" cm="1">
        <f t="array" ref="N14">INDEX(InputArea,_xlfn.XMATCH(LEFT(M11),ColName),_xlfn.XMATCH($B$71,RowName))</f>
        <v>0</v>
      </c>
      <c r="O14" s="104" cm="1">
        <f t="array" ref="O14">INDEX(InputArea,_xlfn.XMATCH(LEFT(M11),ColName),_xlfn.XMATCH($C$71,RowName))</f>
        <v>0</v>
      </c>
      <c r="P14" s="103" cm="1">
        <f t="array" ref="P14">INDEX(InputArea,_xlfn.XMATCH(LEFT(M11),ColName),_xlfn.XMATCH($D$71,RowName))</f>
        <v>0</v>
      </c>
      <c r="Q14" s="103" cm="1">
        <f t="array" ref="Q14">INDEX(InputArea,_xlfn.XMATCH(LEFT(M11),ColName),_xlfn.XMATCH($E$71,RowName))</f>
        <v>0</v>
      </c>
      <c r="R14" s="79"/>
      <c r="S14" s="103" cm="1">
        <f t="array" ref="S14">INDEX(InputArea,_xlfn.XMATCH(LEFT(S11),ColName),_xlfn.XMATCH($A$71,RowName))</f>
        <v>0</v>
      </c>
      <c r="T14" s="103" cm="1">
        <f t="array" ref="T14">INDEX(InputArea,_xlfn.XMATCH(LEFT(S11),ColName),_xlfn.XMATCH($B$71,RowName))</f>
        <v>0</v>
      </c>
      <c r="U14" s="103" cm="1">
        <f t="array" ref="U14">INDEX(InputArea,_xlfn.XMATCH(LEFT(S11),ColName),_xlfn.XMATCH($C$71,RowName))</f>
        <v>0</v>
      </c>
      <c r="V14" s="106" cm="1">
        <f t="array" ref="V14">INDEX(InputArea,_xlfn.XMATCH(LEFT(S11),ColName),_xlfn.XMATCH($D$71,RowName))</f>
        <v>0</v>
      </c>
      <c r="W14" s="103" cm="1">
        <f t="array" ref="W14">INDEX(InputArea,_xlfn.XMATCH(LEFT(S11),ColName),_xlfn.XMATCH($E$71,RowName))</f>
        <v>0</v>
      </c>
      <c r="X14" s="79"/>
      <c r="Y14" s="103" cm="1">
        <f t="array" ref="Y14">INDEX(InputArea,_xlfn.XMATCH(LEFT(Y11),ColName),_xlfn.XMATCH($A$71,RowName))</f>
        <v>0</v>
      </c>
      <c r="Z14" s="103" cm="1">
        <f t="array" ref="Z14">INDEX(InputArea,_xlfn.XMATCH(LEFT(Y11),ColName),_xlfn.XMATCH($B$71,RowName))</f>
        <v>0</v>
      </c>
      <c r="AA14" s="103" cm="1">
        <f t="array" ref="AA14">INDEX(InputArea,_xlfn.XMATCH(LEFT(Y11),ColName),_xlfn.XMATCH($C$71,RowName))</f>
        <v>0</v>
      </c>
      <c r="AB14" s="103" cm="1">
        <f t="array" ref="AB14">INDEX(InputArea,_xlfn.XMATCH(LEFT(Y11),ColName),_xlfn.XMATCH($D$71,RowName))</f>
        <v>0</v>
      </c>
      <c r="AC14" s="104" cm="1">
        <f t="array" ref="AC14">INDEX(InputArea,_xlfn.XMATCH(LEFT(Y11),ColName),_xlfn.XMATCH($E$71,RowName))</f>
        <v>0</v>
      </c>
      <c r="AD14" s="79"/>
      <c r="AE14" s="104" cm="1">
        <f t="array" ref="AE14">INDEX(InputArea,_xlfn.XMATCH(LEFT(AE11),ColName),_xlfn.XMATCH($G$71,RowName))</f>
        <v>0</v>
      </c>
      <c r="AF14" s="103" cm="1">
        <f t="array" ref="AF14">INDEX(InputArea,_xlfn.XMATCH(LEFT(AE11),ColName),_xlfn.XMATCH($H$71,RowName))</f>
        <v>0</v>
      </c>
      <c r="AG14" s="103" cm="1">
        <f t="array" ref="AG14">INDEX(InputArea,_xlfn.XMATCH(LEFT(AE11),ColName),_xlfn.XMATCH($I$71,RowName))</f>
        <v>0</v>
      </c>
      <c r="AH14" s="103" cm="1">
        <f t="array" ref="AH14">INDEX(InputArea,_xlfn.XMATCH(LEFT(AE11),ColName),_xlfn.XMATCH($J$71,RowName))</f>
        <v>0</v>
      </c>
      <c r="AI14" s="103" cm="1">
        <f t="array" ref="AI14">INDEX(InputArea,_xlfn.XMATCH(LEFT(AE11),ColName),_xlfn.XMATCH($K$71,RowName))</f>
        <v>0</v>
      </c>
      <c r="AJ14" s="79"/>
      <c r="AK14" s="103" cm="1">
        <f t="array" ref="AK14">INDEX(InputArea,_xlfn.XMATCH(LEFT(AK11),ColName),_xlfn.XMATCH($G$71,RowName))</f>
        <v>0</v>
      </c>
      <c r="AL14" s="106" cm="1">
        <f t="array" ref="AL14">INDEX(InputArea,_xlfn.XMATCH(LEFT(AK11),ColName),_xlfn.XMATCH($H$71,RowName))</f>
        <v>0</v>
      </c>
      <c r="AM14" s="103" cm="1">
        <f t="array" ref="AM14">INDEX(InputArea,_xlfn.XMATCH(LEFT(AK11),ColName),_xlfn.XMATCH($I$71,RowName))</f>
        <v>0</v>
      </c>
      <c r="AN14" s="103" cm="1">
        <f t="array" ref="AN14">INDEX(InputArea,_xlfn.XMATCH(LEFT(AK11),ColName),_xlfn.XMATCH($J$71,RowName))</f>
        <v>0</v>
      </c>
      <c r="AO14" s="103" cm="1">
        <f t="array" ref="AO14">INDEX(InputArea,_xlfn.XMATCH(LEFT(AK11),ColName),_xlfn.XMATCH($K$71,RowName))</f>
        <v>0</v>
      </c>
      <c r="AP14" s="79"/>
      <c r="AQ14" s="103" cm="1">
        <f t="array" ref="AQ14">INDEX(InputArea,_xlfn.XMATCH(LEFT(AQ11),ColName),_xlfn.XMATCH($G$71,RowName))</f>
        <v>0</v>
      </c>
      <c r="AR14" s="103" cm="1">
        <f t="array" ref="AR14">INDEX(InputArea,_xlfn.XMATCH(LEFT(AQ11),ColName),_xlfn.XMATCH($H$71,RowName))</f>
        <v>0</v>
      </c>
      <c r="AS14" s="104" cm="1">
        <f t="array" ref="AS14">INDEX(InputArea,_xlfn.XMATCH(LEFT(AQ11),ColName),_xlfn.XMATCH($I$71,RowName))</f>
        <v>0</v>
      </c>
      <c r="AT14" s="103" cm="1">
        <f t="array" ref="AT14">INDEX(InputArea,_xlfn.XMATCH(LEFT(AQ11),ColName),_xlfn.XMATCH($J$71,RowName))</f>
        <v>0</v>
      </c>
      <c r="AU14" s="103" cm="1">
        <f t="array" ref="AU14">INDEX(InputArea,_xlfn.XMATCH(LEFT(AQ11),ColName),_xlfn.XMATCH($K$71,RowName))</f>
        <v>0</v>
      </c>
      <c r="AV14" s="79"/>
      <c r="AW14" s="103" cm="1">
        <f t="array" ref="AW14">INDEX(InputArea,_xlfn.XMATCH(LEFT(AW11),ColName),_xlfn.XMATCH($G$71,RowName))</f>
        <v>0</v>
      </c>
      <c r="AX14" s="103" cm="1">
        <f t="array" ref="AX14">INDEX(InputArea,_xlfn.XMATCH(LEFT(AW11),ColName),_xlfn.XMATCH($H$71,RowName))</f>
        <v>0</v>
      </c>
      <c r="AY14" s="103" cm="1">
        <f t="array" ref="AY14">INDEX(InputArea,_xlfn.XMATCH(LEFT(AW11),ColName),_xlfn.XMATCH($I$71,RowName))</f>
        <v>0</v>
      </c>
      <c r="AZ14" s="104" cm="1">
        <f t="array" ref="AZ14">INDEX(InputArea,_xlfn.XMATCH(LEFT(AW11),ColName),_xlfn.XMATCH($J$71,RowName))</f>
        <v>0</v>
      </c>
      <c r="BA14" s="103" cm="1">
        <f t="array" ref="BA14">INDEX(InputArea,_xlfn.XMATCH(LEFT(AW11),ColName),_xlfn.XMATCH($K$71,RowName))</f>
        <v>0</v>
      </c>
      <c r="BB14" s="79"/>
      <c r="BC14" s="103" cm="1">
        <f t="array" ref="BC14">INDEX(InputArea,_xlfn.XMATCH(LEFT(BC11),ColName),_xlfn.XMATCH($G$71,RowName))</f>
        <v>0</v>
      </c>
      <c r="BD14" s="103" cm="1">
        <f t="array" ref="BD14">INDEX(InputArea,_xlfn.XMATCH(LEFT(BC11),ColName),_xlfn.XMATCH($H$71,RowName))</f>
        <v>0</v>
      </c>
      <c r="BE14" s="103" cm="1">
        <f t="array" ref="BE14">INDEX(InputArea,_xlfn.XMATCH(LEFT(BC11),ColName),_xlfn.XMATCH($I$71,RowName))</f>
        <v>0</v>
      </c>
      <c r="BF14" s="103" cm="1">
        <f t="array" ref="BF14">INDEX(InputArea,_xlfn.XMATCH(LEFT(BC11),ColName),_xlfn.XMATCH($J$71,RowName))</f>
        <v>0</v>
      </c>
      <c r="BG14" s="104" cm="1">
        <f t="array" ref="BG14">INDEX(InputArea,_xlfn.XMATCH(LEFT(BC11),ColName),_xlfn.XMATCH($K$71,RowName))</f>
        <v>0</v>
      </c>
    </row>
    <row r="15" spans="1:59" x14ac:dyDescent="0.4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</row>
    <row r="16" spans="1:59" ht="25.5" x14ac:dyDescent="0.4">
      <c r="A16" s="10" t="s">
        <v>4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10" t="s">
        <v>16</v>
      </c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</row>
    <row r="17" spans="1:59" x14ac:dyDescent="0.4">
      <c r="A17" s="79" t="s">
        <v>0</v>
      </c>
      <c r="B17" s="79"/>
      <c r="C17" s="79"/>
      <c r="D17" s="79"/>
      <c r="E17" s="79"/>
      <c r="F17" s="79"/>
      <c r="G17" s="79" t="s">
        <v>1</v>
      </c>
      <c r="H17" s="79"/>
      <c r="I17" s="79"/>
      <c r="J17" s="79"/>
      <c r="K17" s="79"/>
      <c r="L17" s="79"/>
      <c r="M17" s="79" t="s">
        <v>2</v>
      </c>
      <c r="N17" s="79"/>
      <c r="O17" s="79"/>
      <c r="P17" s="79"/>
      <c r="Q17" s="79"/>
      <c r="R17" s="79"/>
      <c r="S17" s="79" t="s">
        <v>9</v>
      </c>
      <c r="T17" s="79"/>
      <c r="U17" s="79"/>
      <c r="V17" s="79"/>
      <c r="W17" s="79"/>
      <c r="X17" s="79"/>
      <c r="Y17" s="79" t="s">
        <v>10</v>
      </c>
      <c r="Z17" s="79"/>
      <c r="AA17" s="79"/>
      <c r="AB17" s="79"/>
      <c r="AC17" s="79"/>
      <c r="AD17" s="79"/>
      <c r="AE17" s="79" t="s">
        <v>17</v>
      </c>
      <c r="AF17" s="79"/>
      <c r="AG17" s="79"/>
      <c r="AH17" s="79"/>
      <c r="AI17" s="79"/>
      <c r="AJ17" s="79"/>
      <c r="AK17" s="79" t="s">
        <v>18</v>
      </c>
      <c r="AL17" s="79"/>
      <c r="AM17" s="79"/>
      <c r="AN17" s="79"/>
      <c r="AO17" s="79"/>
      <c r="AP17" s="79"/>
      <c r="AQ17" s="79" t="s">
        <v>19</v>
      </c>
      <c r="AR17" s="79"/>
      <c r="AS17" s="79"/>
      <c r="AT17" s="79"/>
      <c r="AU17" s="79"/>
      <c r="AV17" s="79"/>
      <c r="AW17" s="79" t="s">
        <v>20</v>
      </c>
      <c r="AX17" s="79"/>
      <c r="AY17" s="79"/>
      <c r="AZ17" s="79"/>
      <c r="BA17" s="79"/>
      <c r="BB17" s="79"/>
      <c r="BC17" s="79" t="s">
        <v>21</v>
      </c>
      <c r="BD17" s="79"/>
      <c r="BE17" s="79"/>
      <c r="BF17" s="79"/>
      <c r="BG17" s="79"/>
    </row>
    <row r="18" spans="1:59" x14ac:dyDescent="0.4">
      <c r="A18" s="103" cm="1">
        <f t="array" ref="A18">INDEX(InputArea,_xlfn.XMATCH(LEFT(A17),ColName),_xlfn.XMATCH($A$74,RowName))</f>
        <v>0</v>
      </c>
      <c r="B18" s="103" cm="1">
        <f t="array" ref="B18">INDEX(InputArea,_xlfn.XMATCH(LEFT(A17),ColName),_xlfn.XMATCH($B$74,RowName))</f>
        <v>0</v>
      </c>
      <c r="C18" s="103" cm="1">
        <f t="array" ref="C18">INDEX(InputArea,_xlfn.XMATCH(LEFT(A17),ColName),_xlfn.XMATCH($C$74,RowName))</f>
        <v>0</v>
      </c>
      <c r="D18" s="103" cm="1">
        <f t="array" ref="D18">INDEX(InputArea,_xlfn.XMATCH(LEFT(A17),ColName),_xlfn.XMATCH($D$74,RowName))</f>
        <v>0</v>
      </c>
      <c r="E18" s="103" cm="1">
        <f t="array" ref="E18">INDEX(InputArea,_xlfn.XMATCH(LEFT(A17),ColName),_xlfn.XMATCH($E$74,RowName))</f>
        <v>0</v>
      </c>
      <c r="F18" s="79"/>
      <c r="G18" s="103" cm="1">
        <f t="array" ref="G18">INDEX(InputArea,_xlfn.XMATCH(LEFT(G17),ColName),_xlfn.XMATCH($A$74,RowName))</f>
        <v>0</v>
      </c>
      <c r="H18" s="103" cm="1">
        <f t="array" ref="H18">INDEX(InputArea,_xlfn.XMATCH(LEFT(G17),ColName),_xlfn.XMATCH($B$74,RowName))</f>
        <v>0</v>
      </c>
      <c r="I18" s="103" cm="1">
        <f t="array" ref="I18">INDEX(InputArea,_xlfn.XMATCH(LEFT(G17),ColName),_xlfn.XMATCH($C$74,RowName))</f>
        <v>0</v>
      </c>
      <c r="J18" s="103" cm="1">
        <f t="array" ref="J18">INDEX(InputArea,_xlfn.XMATCH(LEFT(G17),ColName),_xlfn.XMATCH($D$74,RowName))</f>
        <v>0</v>
      </c>
      <c r="K18" s="103" cm="1">
        <f t="array" ref="K18">INDEX(InputArea,_xlfn.XMATCH(LEFT(G17),ColName),_xlfn.XMATCH($E$74,RowName))</f>
        <v>0</v>
      </c>
      <c r="L18" s="79"/>
      <c r="M18" s="103" cm="1">
        <f t="array" ref="M18">INDEX(InputArea,_xlfn.XMATCH(LEFT(M17),ColName),_xlfn.XMATCH($A$74,RowName))</f>
        <v>0</v>
      </c>
      <c r="N18" s="103" cm="1">
        <f t="array" ref="N18">INDEX(InputArea,_xlfn.XMATCH(LEFT(M17),ColName),_xlfn.XMATCH($B$74,RowName))</f>
        <v>0</v>
      </c>
      <c r="O18" s="103" cm="1">
        <f t="array" ref="O18">INDEX(InputArea,_xlfn.XMATCH(LEFT(M17),ColName),_xlfn.XMATCH($C$74,RowName))</f>
        <v>0</v>
      </c>
      <c r="P18" s="103" cm="1">
        <f t="array" ref="P18">INDEX(InputArea,_xlfn.XMATCH(LEFT(M17),ColName),_xlfn.XMATCH($D$74,RowName))</f>
        <v>0</v>
      </c>
      <c r="Q18" s="103" cm="1">
        <f t="array" ref="Q18">INDEX(InputArea,_xlfn.XMATCH(LEFT(M17),ColName),_xlfn.XMATCH($E$74,RowName))</f>
        <v>0</v>
      </c>
      <c r="R18" s="79"/>
      <c r="S18" s="103" cm="1">
        <f t="array" ref="S18">INDEX(InputArea,_xlfn.XMATCH(LEFT(S17),ColName),_xlfn.XMATCH($A$74,RowName))</f>
        <v>0</v>
      </c>
      <c r="T18" s="103" cm="1">
        <f t="array" ref="T18">INDEX(InputArea,_xlfn.XMATCH(LEFT(S17),ColName),_xlfn.XMATCH($B$74,RowName))</f>
        <v>0</v>
      </c>
      <c r="U18" s="103" cm="1">
        <f t="array" ref="U18">INDEX(InputArea,_xlfn.XMATCH(LEFT(S17),ColName),_xlfn.XMATCH($C$74,RowName))</f>
        <v>0</v>
      </c>
      <c r="V18" s="103" cm="1">
        <f t="array" ref="V18">INDEX(InputArea,_xlfn.XMATCH(LEFT(S17),ColName),_xlfn.XMATCH($D$74,RowName))</f>
        <v>0</v>
      </c>
      <c r="W18" s="103" cm="1">
        <f t="array" ref="W18">INDEX(InputArea,_xlfn.XMATCH(LEFT(S17),ColName),_xlfn.XMATCH($E$74,RowName))</f>
        <v>0</v>
      </c>
      <c r="X18" s="79"/>
      <c r="Y18" s="103" cm="1">
        <f t="array" ref="Y18">INDEX(InputArea,_xlfn.XMATCH(LEFT(Y17),ColName),_xlfn.XMATCH($A$74,RowName))</f>
        <v>0</v>
      </c>
      <c r="Z18" s="103" cm="1">
        <f t="array" ref="Z18">INDEX(InputArea,_xlfn.XMATCH(LEFT(Y17),ColName),_xlfn.XMATCH($B$74,RowName))</f>
        <v>0</v>
      </c>
      <c r="AA18" s="103" cm="1">
        <f t="array" ref="AA18">INDEX(InputArea,_xlfn.XMATCH(LEFT(Y17),ColName),_xlfn.XMATCH($C$74,RowName))</f>
        <v>0</v>
      </c>
      <c r="AB18" s="103" cm="1">
        <f t="array" ref="AB18">INDEX(InputArea,_xlfn.XMATCH(LEFT(Y17),ColName),_xlfn.XMATCH($D$74,RowName))</f>
        <v>0</v>
      </c>
      <c r="AC18" s="103" cm="1">
        <f t="array" ref="AC18">INDEX(InputArea,_xlfn.XMATCH(LEFT(Y17),ColName),_xlfn.XMATCH($E$74,RowName))</f>
        <v>0</v>
      </c>
      <c r="AD18" s="79"/>
      <c r="AE18" s="103" cm="1">
        <f t="array" ref="AE18">INDEX(InputArea,_xlfn.XMATCH(LEFT(AE17),ColName),_xlfn.XMATCH($G$74,RowName))</f>
        <v>0</v>
      </c>
      <c r="AF18" s="103" cm="1">
        <f t="array" ref="AF18">INDEX(InputArea,_xlfn.XMATCH(LEFT(AE17),ColName),_xlfn.XMATCH($H$74,RowName))</f>
        <v>0</v>
      </c>
      <c r="AG18" s="103" cm="1">
        <f t="array" ref="AG18">INDEX(InputArea,_xlfn.XMATCH(LEFT(AE17),ColName),_xlfn.XMATCH($I$74,RowName))</f>
        <v>0</v>
      </c>
      <c r="AH18" s="103" cm="1">
        <f t="array" ref="AH18">INDEX(InputArea,_xlfn.XMATCH(LEFT(AE17),ColName),_xlfn.XMATCH($J$74,RowName))</f>
        <v>0</v>
      </c>
      <c r="AI18" s="103" cm="1">
        <f t="array" ref="AI18">INDEX(InputArea,_xlfn.XMATCH(LEFT(AE17),ColName),_xlfn.XMATCH($K$74,RowName))</f>
        <v>0</v>
      </c>
      <c r="AJ18" s="79"/>
      <c r="AK18" s="103" cm="1">
        <f t="array" ref="AK18">INDEX(InputArea,_xlfn.XMATCH(LEFT(AK17),ColName),_xlfn.XMATCH($G$74,RowName))</f>
        <v>0</v>
      </c>
      <c r="AL18" s="103" cm="1">
        <f t="array" ref="AL18">INDEX(InputArea,_xlfn.XMATCH(LEFT(AK17),ColName),_xlfn.XMATCH($H$74,RowName))</f>
        <v>0</v>
      </c>
      <c r="AM18" s="103" cm="1">
        <f t="array" ref="AM18">INDEX(InputArea,_xlfn.XMATCH(LEFT(AK17),ColName),_xlfn.XMATCH($I$74,RowName))</f>
        <v>0</v>
      </c>
      <c r="AN18" s="103" cm="1">
        <f t="array" ref="AN18">INDEX(InputArea,_xlfn.XMATCH(LEFT(AK17),ColName),_xlfn.XMATCH($J$74,RowName))</f>
        <v>0</v>
      </c>
      <c r="AO18" s="103" cm="1">
        <f t="array" ref="AO18">INDEX(InputArea,_xlfn.XMATCH(LEFT(AK17),ColName),_xlfn.XMATCH($K$74,RowName))</f>
        <v>0</v>
      </c>
      <c r="AP18" s="79"/>
      <c r="AQ18" s="103" cm="1">
        <f t="array" ref="AQ18">INDEX(InputArea,_xlfn.XMATCH(LEFT(AQ17),ColName),_xlfn.XMATCH($G$74,RowName))</f>
        <v>0</v>
      </c>
      <c r="AR18" s="103" cm="1">
        <f t="array" ref="AR18">INDEX(InputArea,_xlfn.XMATCH(LEFT(AQ17),ColName),_xlfn.XMATCH($H$74,RowName))</f>
        <v>0</v>
      </c>
      <c r="AS18" s="103" cm="1">
        <f t="array" ref="AS18">INDEX(InputArea,_xlfn.XMATCH(LEFT(AQ17),ColName),_xlfn.XMATCH($I$74,RowName))</f>
        <v>0</v>
      </c>
      <c r="AT18" s="103" cm="1">
        <f t="array" ref="AT18">INDEX(InputArea,_xlfn.XMATCH(LEFT(AQ17),ColName),_xlfn.XMATCH($J$74,RowName))</f>
        <v>0</v>
      </c>
      <c r="AU18" s="103" cm="1">
        <f t="array" ref="AU18">INDEX(InputArea,_xlfn.XMATCH(LEFT(AQ17),ColName),_xlfn.XMATCH($K$74,RowName))</f>
        <v>0</v>
      </c>
      <c r="AV18" s="79"/>
      <c r="AW18" s="103" cm="1">
        <f t="array" ref="AW18">INDEX(InputArea,_xlfn.XMATCH(LEFT(AW17),ColName),_xlfn.XMATCH($G$74,RowName))</f>
        <v>0</v>
      </c>
      <c r="AX18" s="103" cm="1">
        <f t="array" ref="AX18">INDEX(InputArea,_xlfn.XMATCH(LEFT(AW17),ColName),_xlfn.XMATCH($H$74,RowName))</f>
        <v>0</v>
      </c>
      <c r="AY18" s="103" cm="1">
        <f t="array" ref="AY18">INDEX(InputArea,_xlfn.XMATCH(LEFT(AW17),ColName),_xlfn.XMATCH($I$74,RowName))</f>
        <v>0</v>
      </c>
      <c r="AZ18" s="103" cm="1">
        <f t="array" ref="AZ18">INDEX(InputArea,_xlfn.XMATCH(LEFT(AW17),ColName),_xlfn.XMATCH($J$74,RowName))</f>
        <v>0</v>
      </c>
      <c r="BA18" s="103" cm="1">
        <f t="array" ref="BA18">INDEX(InputArea,_xlfn.XMATCH(LEFT(AW17),ColName),_xlfn.XMATCH($K$74,RowName))</f>
        <v>0</v>
      </c>
      <c r="BB18" s="79"/>
      <c r="BC18" s="103" cm="1">
        <f t="array" ref="BC18">INDEX(InputArea,_xlfn.XMATCH(LEFT(BC17),ColName),_xlfn.XMATCH($G$74,RowName))</f>
        <v>0</v>
      </c>
      <c r="BD18" s="103" cm="1">
        <f t="array" ref="BD18">INDEX(InputArea,_xlfn.XMATCH(LEFT(BC17),ColName),_xlfn.XMATCH($H$74,RowName))</f>
        <v>0</v>
      </c>
      <c r="BE18" s="103" cm="1">
        <f t="array" ref="BE18">INDEX(InputArea,_xlfn.XMATCH(LEFT(BC17),ColName),_xlfn.XMATCH($I$74,RowName))</f>
        <v>0</v>
      </c>
      <c r="BF18" s="103" cm="1">
        <f t="array" ref="BF18">INDEX(InputArea,_xlfn.XMATCH(LEFT(BC17),ColName),_xlfn.XMATCH($J$74,RowName))</f>
        <v>0</v>
      </c>
      <c r="BG18" s="103" cm="1">
        <f t="array" ref="BG18">INDEX(InputArea,_xlfn.XMATCH(LEFT(BC17),ColName),_xlfn.XMATCH($K$74,RowName))</f>
        <v>0</v>
      </c>
    </row>
    <row r="19" spans="1:59" ht="19.5" thickBot="1" x14ac:dyDescent="0.45">
      <c r="A19" s="103" cm="1">
        <f t="array" ref="A19">INDEX(InputArea,_xlfn.XMATCH(LEFT(A17),ColName),_xlfn.XMATCH($A$75,RowName))</f>
        <v>0</v>
      </c>
      <c r="B19" s="102" cm="1">
        <f t="array" ref="B19">INDEX(InputArea,_xlfn.XMATCH(LEFT(A17),ColName),_xlfn.XMATCH($B$75,RowName))</f>
        <v>0</v>
      </c>
      <c r="C19" s="103" cm="1">
        <f t="array" ref="C19">INDEX(InputArea,_xlfn.XMATCH(LEFT(A17),ColName),_xlfn.XMATCH($C$75,RowName))</f>
        <v>0</v>
      </c>
      <c r="D19" s="103" cm="1">
        <f t="array" ref="D19">INDEX(InputArea,_xlfn.XMATCH(LEFT(A17),ColName),_xlfn.XMATCH($D$75,RowName))</f>
        <v>0</v>
      </c>
      <c r="E19" s="103" cm="1">
        <f t="array" ref="E19">INDEX(InputArea,_xlfn.XMATCH(LEFT(A17),ColName),_xlfn.XMATCH($E$75,RowName))</f>
        <v>0</v>
      </c>
      <c r="F19" s="79"/>
      <c r="G19" s="103" cm="1">
        <f t="array" ref="G19">INDEX(InputArea,_xlfn.XMATCH(LEFT(G17),ColName),_xlfn.XMATCH($A$75,RowName))</f>
        <v>0</v>
      </c>
      <c r="H19" s="102" cm="1">
        <f t="array" ref="H19">INDEX(InputArea,_xlfn.XMATCH(LEFT(G17),ColName),_xlfn.XMATCH($B$75,RowName))</f>
        <v>0</v>
      </c>
      <c r="I19" s="103" cm="1">
        <f t="array" ref="I19">INDEX(InputArea,_xlfn.XMATCH(LEFT(G17),ColName),_xlfn.XMATCH($C$75,RowName))</f>
        <v>0</v>
      </c>
      <c r="J19" s="103" cm="1">
        <f t="array" ref="J19">INDEX(InputArea,_xlfn.XMATCH(LEFT(G17),ColName),_xlfn.XMATCH($D$75,RowName))</f>
        <v>0</v>
      </c>
      <c r="K19" s="103" cm="1">
        <f t="array" ref="K19">INDEX(InputArea,_xlfn.XMATCH(LEFT(G17),ColName),_xlfn.XMATCH($E$75,RowName))</f>
        <v>0</v>
      </c>
      <c r="L19" s="79"/>
      <c r="M19" s="103" cm="1">
        <f t="array" ref="M19">INDEX(InputArea,_xlfn.XMATCH(LEFT(M17),ColName),_xlfn.XMATCH($A$75,RowName))</f>
        <v>0</v>
      </c>
      <c r="N19" s="102" cm="1">
        <f t="array" ref="N19">INDEX(InputArea,_xlfn.XMATCH(LEFT(M17),ColName),_xlfn.XMATCH($B$75,RowName))</f>
        <v>0</v>
      </c>
      <c r="O19" s="103" cm="1">
        <f t="array" ref="O19">INDEX(InputArea,_xlfn.XMATCH(LEFT(M17),ColName),_xlfn.XMATCH($C$75,RowName))</f>
        <v>0</v>
      </c>
      <c r="P19" s="103" cm="1">
        <f t="array" ref="P19">INDEX(InputArea,_xlfn.XMATCH(LEFT(M17),ColName),_xlfn.XMATCH($D$75,RowName))</f>
        <v>0</v>
      </c>
      <c r="Q19" s="103" cm="1">
        <f t="array" ref="Q19">INDEX(InputArea,_xlfn.XMATCH(LEFT(M17),ColName),_xlfn.XMATCH($E$75,RowName))</f>
        <v>0</v>
      </c>
      <c r="R19" s="79"/>
      <c r="S19" s="103" cm="1">
        <f t="array" ref="S19">INDEX(InputArea,_xlfn.XMATCH(LEFT(S17),ColName),_xlfn.XMATCH($A$75,RowName))</f>
        <v>0</v>
      </c>
      <c r="T19" s="102" cm="1">
        <f t="array" ref="T19">INDEX(InputArea,_xlfn.XMATCH(LEFT(S17),ColName),_xlfn.XMATCH($B$75,RowName))</f>
        <v>0</v>
      </c>
      <c r="U19" s="103" cm="1">
        <f t="array" ref="U19">INDEX(InputArea,_xlfn.XMATCH(LEFT(S17),ColName),_xlfn.XMATCH($C$75,RowName))</f>
        <v>0</v>
      </c>
      <c r="V19" s="103" cm="1">
        <f t="array" ref="V19">INDEX(InputArea,_xlfn.XMATCH(LEFT(S17),ColName),_xlfn.XMATCH($D$75,RowName))</f>
        <v>0</v>
      </c>
      <c r="W19" s="103" cm="1">
        <f t="array" ref="W19">INDEX(InputArea,_xlfn.XMATCH(LEFT(S17),ColName),_xlfn.XMATCH($E$75,RowName))</f>
        <v>0</v>
      </c>
      <c r="X19" s="79"/>
      <c r="Y19" s="103" cm="1">
        <f t="array" ref="Y19">INDEX(InputArea,_xlfn.XMATCH(LEFT(Y17),ColName),_xlfn.XMATCH($A$75,RowName))</f>
        <v>0</v>
      </c>
      <c r="Z19" s="102" cm="1">
        <f t="array" ref="Z19">INDEX(InputArea,_xlfn.XMATCH(LEFT(Y17),ColName),_xlfn.XMATCH($B$75,RowName))</f>
        <v>0</v>
      </c>
      <c r="AA19" s="103" cm="1">
        <f t="array" ref="AA19">INDEX(InputArea,_xlfn.XMATCH(LEFT(Y17),ColName),_xlfn.XMATCH($C$75,RowName))</f>
        <v>0</v>
      </c>
      <c r="AB19" s="103" cm="1">
        <f t="array" ref="AB19">INDEX(InputArea,_xlfn.XMATCH(LEFT(Y17),ColName),_xlfn.XMATCH($D$75,RowName))</f>
        <v>0</v>
      </c>
      <c r="AC19" s="103" cm="1">
        <f t="array" ref="AC19">INDEX(InputArea,_xlfn.XMATCH(LEFT(Y17),ColName),_xlfn.XMATCH($E$75,RowName))</f>
        <v>0</v>
      </c>
      <c r="AD19" s="79"/>
      <c r="AE19" s="103" cm="1">
        <f t="array" ref="AE19">INDEX(InputArea,_xlfn.XMATCH(LEFT(AE17),ColName),_xlfn.XMATCH($G$75,RowName))</f>
        <v>0</v>
      </c>
      <c r="AF19" s="103" cm="1">
        <f t="array" ref="AF19">INDEX(InputArea,_xlfn.XMATCH(LEFT(AE17),ColName),_xlfn.XMATCH($H$75,RowName))</f>
        <v>0</v>
      </c>
      <c r="AG19" s="103" cm="1">
        <f t="array" ref="AG19">INDEX(InputArea,_xlfn.XMATCH(LEFT(AE17),ColName),_xlfn.XMATCH($I$75,RowName))</f>
        <v>0</v>
      </c>
      <c r="AH19" s="102" cm="1">
        <f t="array" ref="AH19">INDEX(InputArea,_xlfn.XMATCH(LEFT(AE17),ColName),_xlfn.XMATCH($J$75,RowName))</f>
        <v>0</v>
      </c>
      <c r="AI19" s="103" cm="1">
        <f t="array" ref="AI19">INDEX(InputArea,_xlfn.XMATCH(LEFT(AE17),ColName),_xlfn.XMATCH($K$75,RowName))</f>
        <v>0</v>
      </c>
      <c r="AJ19" s="79"/>
      <c r="AK19" s="103" cm="1">
        <f t="array" ref="AK19">INDEX(InputArea,_xlfn.XMATCH(LEFT(AK17),ColName),_xlfn.XMATCH($G$75,RowName))</f>
        <v>0</v>
      </c>
      <c r="AL19" s="103" cm="1">
        <f t="array" ref="AL19">INDEX(InputArea,_xlfn.XMATCH(LEFT(AK17),ColName),_xlfn.XMATCH($H$75,RowName))</f>
        <v>0</v>
      </c>
      <c r="AM19" s="103" cm="1">
        <f t="array" ref="AM19">INDEX(InputArea,_xlfn.XMATCH(LEFT(AK17),ColName),_xlfn.XMATCH($I$75,RowName))</f>
        <v>0</v>
      </c>
      <c r="AN19" s="102" cm="1">
        <f t="array" ref="AN19">INDEX(InputArea,_xlfn.XMATCH(LEFT(AK17),ColName),_xlfn.XMATCH($J$75,RowName))</f>
        <v>0</v>
      </c>
      <c r="AO19" s="103" cm="1">
        <f t="array" ref="AO19">INDEX(InputArea,_xlfn.XMATCH(LEFT(AK17),ColName),_xlfn.XMATCH($K$75,RowName))</f>
        <v>0</v>
      </c>
      <c r="AP19" s="79"/>
      <c r="AQ19" s="103" cm="1">
        <f t="array" ref="AQ19">INDEX(InputArea,_xlfn.XMATCH(LEFT(AQ17),ColName),_xlfn.XMATCH($G$75,RowName))</f>
        <v>0</v>
      </c>
      <c r="AR19" s="103" cm="1">
        <f t="array" ref="AR19">INDEX(InputArea,_xlfn.XMATCH(LEFT(AQ17),ColName),_xlfn.XMATCH($H$75,RowName))</f>
        <v>0</v>
      </c>
      <c r="AS19" s="103" cm="1">
        <f t="array" ref="AS19">INDEX(InputArea,_xlfn.XMATCH(LEFT(AQ17),ColName),_xlfn.XMATCH($I$75,RowName))</f>
        <v>0</v>
      </c>
      <c r="AT19" s="102" cm="1">
        <f t="array" ref="AT19">INDEX(InputArea,_xlfn.XMATCH(LEFT(AQ17),ColName),_xlfn.XMATCH($J$75,RowName))</f>
        <v>0</v>
      </c>
      <c r="AU19" s="103" cm="1">
        <f t="array" ref="AU19">INDEX(InputArea,_xlfn.XMATCH(LEFT(AQ17),ColName),_xlfn.XMATCH($K$75,RowName))</f>
        <v>0</v>
      </c>
      <c r="AV19" s="79"/>
      <c r="AW19" s="103" cm="1">
        <f t="array" ref="AW19">INDEX(InputArea,_xlfn.XMATCH(LEFT(AW17),ColName),_xlfn.XMATCH($G$75,RowName))</f>
        <v>0</v>
      </c>
      <c r="AX19" s="103" cm="1">
        <f t="array" ref="AX19">INDEX(InputArea,_xlfn.XMATCH(LEFT(AW17),ColName),_xlfn.XMATCH($H$75,RowName))</f>
        <v>0</v>
      </c>
      <c r="AY19" s="103" cm="1">
        <f t="array" ref="AY19">INDEX(InputArea,_xlfn.XMATCH(LEFT(AW17),ColName),_xlfn.XMATCH($I$75,RowName))</f>
        <v>0</v>
      </c>
      <c r="AZ19" s="102" cm="1">
        <f t="array" ref="AZ19">INDEX(InputArea,_xlfn.XMATCH(LEFT(AW17),ColName),_xlfn.XMATCH($J$75,RowName))</f>
        <v>0</v>
      </c>
      <c r="BA19" s="103" cm="1">
        <f t="array" ref="BA19">INDEX(InputArea,_xlfn.XMATCH(LEFT(AW17),ColName),_xlfn.XMATCH($K$75,RowName))</f>
        <v>0</v>
      </c>
      <c r="BB19" s="79"/>
      <c r="BC19" s="103" cm="1">
        <f t="array" ref="BC19">INDEX(InputArea,_xlfn.XMATCH(LEFT(BC17),ColName),_xlfn.XMATCH($G$75,RowName))</f>
        <v>0</v>
      </c>
      <c r="BD19" s="103" cm="1">
        <f t="array" ref="BD19">INDEX(InputArea,_xlfn.XMATCH(LEFT(BC17),ColName),_xlfn.XMATCH($H$75,RowName))</f>
        <v>0</v>
      </c>
      <c r="BE19" s="103" cm="1">
        <f t="array" ref="BE19">INDEX(InputArea,_xlfn.XMATCH(LEFT(BC17),ColName),_xlfn.XMATCH($I$75,RowName))</f>
        <v>0</v>
      </c>
      <c r="BF19" s="102" cm="1">
        <f t="array" ref="BF19">INDEX(InputArea,_xlfn.XMATCH(LEFT(BC17),ColName),_xlfn.XMATCH($J$75,RowName))</f>
        <v>0</v>
      </c>
      <c r="BG19" s="103" cm="1">
        <f t="array" ref="BG19">INDEX(InputArea,_xlfn.XMATCH(LEFT(BC17),ColName),_xlfn.XMATCH($K$75,RowName))</f>
        <v>0</v>
      </c>
    </row>
    <row r="20" spans="1:59" x14ac:dyDescent="0.4">
      <c r="A20" s="103" cm="1">
        <f t="array" ref="A20">INDEX(InputArea,_xlfn.XMATCH(LEFT(A17),ColName),_xlfn.XMATCH($A$76,RowName))</f>
        <v>0</v>
      </c>
      <c r="B20" s="103" cm="1">
        <f t="array" ref="B20">INDEX(InputArea,_xlfn.XMATCH(LEFT(A17),ColName),_xlfn.XMATCH($B$76,RowName))</f>
        <v>0</v>
      </c>
      <c r="C20" s="103" cm="1">
        <f t="array" ref="C20">INDEX(InputArea,_xlfn.XMATCH(LEFT(A17),ColName),_xlfn.XMATCH($C$76,RowName))</f>
        <v>0</v>
      </c>
      <c r="D20" s="103" cm="1">
        <f t="array" ref="D20">INDEX(InputArea,_xlfn.XMATCH(LEFT(A17),ColName),_xlfn.XMATCH($D$76,RowName))</f>
        <v>0</v>
      </c>
      <c r="E20" s="103" cm="1">
        <f t="array" ref="E20">INDEX(InputArea,_xlfn.XMATCH(LEFT(A17),ColName),_xlfn.XMATCH($E$76,RowName))</f>
        <v>0</v>
      </c>
      <c r="F20" s="79"/>
      <c r="G20" s="103" cm="1">
        <f t="array" ref="G20">INDEX(InputArea,_xlfn.XMATCH(LEFT(G17),ColName),_xlfn.XMATCH($A$76,RowName))</f>
        <v>0</v>
      </c>
      <c r="H20" s="103" cm="1">
        <f t="array" ref="H20">INDEX(InputArea,_xlfn.XMATCH(LEFT(G17),ColName),_xlfn.XMATCH($B$76,RowName))</f>
        <v>0</v>
      </c>
      <c r="I20" s="103" cm="1">
        <f t="array" ref="I20">INDEX(InputArea,_xlfn.XMATCH(LEFT(G17),ColName),_xlfn.XMATCH($C$76,RowName))</f>
        <v>0</v>
      </c>
      <c r="J20" s="103" cm="1">
        <f t="array" ref="J20">INDEX(InputArea,_xlfn.XMATCH(LEFT(G17),ColName),_xlfn.XMATCH($D$76,RowName))</f>
        <v>0</v>
      </c>
      <c r="K20" s="103" cm="1">
        <f t="array" ref="K20">INDEX(InputArea,_xlfn.XMATCH(LEFT(G17),ColName),_xlfn.XMATCH($E$76,RowName))</f>
        <v>0</v>
      </c>
      <c r="L20" s="79"/>
      <c r="M20" s="103" cm="1">
        <f t="array" ref="M20">INDEX(InputArea,_xlfn.XMATCH(LEFT(M17),ColName),_xlfn.XMATCH($A$76,RowName))</f>
        <v>0</v>
      </c>
      <c r="N20" s="103" cm="1">
        <f t="array" ref="N20">INDEX(InputArea,_xlfn.XMATCH(LEFT(M17),ColName),_xlfn.XMATCH($B$76,RowName))</f>
        <v>0</v>
      </c>
      <c r="O20" s="103" cm="1">
        <f t="array" ref="O20">INDEX(InputArea,_xlfn.XMATCH(LEFT(M17),ColName),_xlfn.XMATCH($C$76,RowName))</f>
        <v>0</v>
      </c>
      <c r="P20" s="103" cm="1">
        <f t="array" ref="P20">INDEX(InputArea,_xlfn.XMATCH(LEFT(M17),ColName),_xlfn.XMATCH($D$76,RowName))</f>
        <v>0</v>
      </c>
      <c r="Q20" s="103" cm="1">
        <f t="array" ref="Q20">INDEX(InputArea,_xlfn.XMATCH(LEFT(M17),ColName),_xlfn.XMATCH($E$76,RowName))</f>
        <v>0</v>
      </c>
      <c r="R20" s="79"/>
      <c r="S20" s="103" cm="1">
        <f t="array" ref="S20">INDEX(InputArea,_xlfn.XMATCH(LEFT(S17),ColName),_xlfn.XMATCH($A$76,RowName))</f>
        <v>0</v>
      </c>
      <c r="T20" s="103" cm="1">
        <f t="array" ref="T20">INDEX(InputArea,_xlfn.XMATCH(LEFT(S17),ColName),_xlfn.XMATCH($B$76,RowName))</f>
        <v>0</v>
      </c>
      <c r="U20" s="103" cm="1">
        <f t="array" ref="U20">INDEX(InputArea,_xlfn.XMATCH(LEFT(S17),ColName),_xlfn.XMATCH($C$76,RowName))</f>
        <v>0</v>
      </c>
      <c r="V20" s="103" cm="1">
        <f t="array" ref="V20">INDEX(InputArea,_xlfn.XMATCH(LEFT(S17),ColName),_xlfn.XMATCH($D$76,RowName))</f>
        <v>0</v>
      </c>
      <c r="W20" s="103" cm="1">
        <f t="array" ref="W20">INDEX(InputArea,_xlfn.XMATCH(LEFT(S17),ColName),_xlfn.XMATCH($E$76,RowName))</f>
        <v>0</v>
      </c>
      <c r="X20" s="79"/>
      <c r="Y20" s="103" cm="1">
        <f t="array" ref="Y20">INDEX(InputArea,_xlfn.XMATCH(LEFT(Y17),ColName),_xlfn.XMATCH($A$76,RowName))</f>
        <v>0</v>
      </c>
      <c r="Z20" s="103" cm="1">
        <f t="array" ref="Z20">INDEX(InputArea,_xlfn.XMATCH(LEFT(Y17),ColName),_xlfn.XMATCH($B$76,RowName))</f>
        <v>0</v>
      </c>
      <c r="AA20" s="103" cm="1">
        <f t="array" ref="AA20">INDEX(InputArea,_xlfn.XMATCH(LEFT(Y17),ColName),_xlfn.XMATCH($C$76,RowName))</f>
        <v>0</v>
      </c>
      <c r="AB20" s="103" cm="1">
        <f t="array" ref="AB20">INDEX(InputArea,_xlfn.XMATCH(LEFT(Y17),ColName),_xlfn.XMATCH($D$76,RowName))</f>
        <v>0</v>
      </c>
      <c r="AC20" s="103" cm="1">
        <f t="array" ref="AC20">INDEX(InputArea,_xlfn.XMATCH(LEFT(Y17),ColName),_xlfn.XMATCH($E$76,RowName))</f>
        <v>0</v>
      </c>
      <c r="AD20" s="79"/>
      <c r="AE20" s="103" cm="1">
        <f t="array" ref="AE20">INDEX(InputArea,_xlfn.XMATCH(LEFT(AE17),ColName),_xlfn.XMATCH($G$76,RowName))</f>
        <v>0</v>
      </c>
      <c r="AF20" s="103" cm="1">
        <f t="array" ref="AF20">INDEX(InputArea,_xlfn.XMATCH(LEFT(AE17),ColName),_xlfn.XMATCH($H$76,RowName))</f>
        <v>0</v>
      </c>
      <c r="AG20" s="103" cm="1">
        <f t="array" ref="AG20">INDEX(InputArea,_xlfn.XMATCH(LEFT(AE17),ColName),_xlfn.XMATCH($I$76,RowName))</f>
        <v>0</v>
      </c>
      <c r="AH20" s="103" cm="1">
        <f t="array" ref="AH20">INDEX(InputArea,_xlfn.XMATCH(LEFT(AE17),ColName),_xlfn.XMATCH($J$76,RowName))</f>
        <v>0</v>
      </c>
      <c r="AI20" s="103" cm="1">
        <f t="array" ref="AI20">INDEX(InputArea,_xlfn.XMATCH(LEFT(AE17),ColName),_xlfn.XMATCH($K$76,RowName))</f>
        <v>0</v>
      </c>
      <c r="AJ20" s="79"/>
      <c r="AK20" s="103" cm="1">
        <f t="array" ref="AK20">INDEX(InputArea,_xlfn.XMATCH(LEFT(AK17),ColName),_xlfn.XMATCH($G$76,RowName))</f>
        <v>0</v>
      </c>
      <c r="AL20" s="103" cm="1">
        <f t="array" ref="AL20">INDEX(InputArea,_xlfn.XMATCH(LEFT(AK17),ColName),_xlfn.XMATCH($H$76,RowName))</f>
        <v>0</v>
      </c>
      <c r="AM20" s="103" cm="1">
        <f t="array" ref="AM20">INDEX(InputArea,_xlfn.XMATCH(LEFT(AK17),ColName),_xlfn.XMATCH($I$76,RowName))</f>
        <v>0</v>
      </c>
      <c r="AN20" s="103" cm="1">
        <f t="array" ref="AN20">INDEX(InputArea,_xlfn.XMATCH(LEFT(AK17),ColName),_xlfn.XMATCH($J$76,RowName))</f>
        <v>0</v>
      </c>
      <c r="AO20" s="103" cm="1">
        <f t="array" ref="AO20">INDEX(InputArea,_xlfn.XMATCH(LEFT(AK17),ColName),_xlfn.XMATCH($K$76,RowName))</f>
        <v>0</v>
      </c>
      <c r="AP20" s="79"/>
      <c r="AQ20" s="103" cm="1">
        <f t="array" ref="AQ20">INDEX(InputArea,_xlfn.XMATCH(LEFT(AQ17),ColName),_xlfn.XMATCH($G$76,RowName))</f>
        <v>0</v>
      </c>
      <c r="AR20" s="103" cm="1">
        <f t="array" ref="AR20">INDEX(InputArea,_xlfn.XMATCH(LEFT(AQ17),ColName),_xlfn.XMATCH($H$76,RowName))</f>
        <v>0</v>
      </c>
      <c r="AS20" s="103" cm="1">
        <f t="array" ref="AS20">INDEX(InputArea,_xlfn.XMATCH(LEFT(AQ17),ColName),_xlfn.XMATCH($I$76,RowName))</f>
        <v>0</v>
      </c>
      <c r="AT20" s="103" cm="1">
        <f t="array" ref="AT20">INDEX(InputArea,_xlfn.XMATCH(LEFT(AQ17),ColName),_xlfn.XMATCH($J$76,RowName))</f>
        <v>0</v>
      </c>
      <c r="AU20" s="103" cm="1">
        <f t="array" ref="AU20">INDEX(InputArea,_xlfn.XMATCH(LEFT(AQ17),ColName),_xlfn.XMATCH($K$76,RowName))</f>
        <v>0</v>
      </c>
      <c r="AV20" s="79"/>
      <c r="AW20" s="103" cm="1">
        <f t="array" ref="AW20">INDEX(InputArea,_xlfn.XMATCH(LEFT(AW17),ColName),_xlfn.XMATCH($G$76,RowName))</f>
        <v>0</v>
      </c>
      <c r="AX20" s="103" cm="1">
        <f t="array" ref="AX20">INDEX(InputArea,_xlfn.XMATCH(LEFT(AW17),ColName),_xlfn.XMATCH($H$76,RowName))</f>
        <v>0</v>
      </c>
      <c r="AY20" s="103" cm="1">
        <f t="array" ref="AY20">INDEX(InputArea,_xlfn.XMATCH(LEFT(AW17),ColName),_xlfn.XMATCH($I$76,RowName))</f>
        <v>0</v>
      </c>
      <c r="AZ20" s="103" cm="1">
        <f t="array" ref="AZ20">INDEX(InputArea,_xlfn.XMATCH(LEFT(AW17),ColName),_xlfn.XMATCH($J$76,RowName))</f>
        <v>0</v>
      </c>
      <c r="BA20" s="103" cm="1">
        <f t="array" ref="BA20">INDEX(InputArea,_xlfn.XMATCH(LEFT(AW17),ColName),_xlfn.XMATCH($K$76,RowName))</f>
        <v>0</v>
      </c>
      <c r="BB20" s="79"/>
      <c r="BC20" s="103" cm="1">
        <f t="array" ref="BC20">INDEX(InputArea,_xlfn.XMATCH(LEFT(BC17),ColName),_xlfn.XMATCH($G$76,RowName))</f>
        <v>0</v>
      </c>
      <c r="BD20" s="103" cm="1">
        <f t="array" ref="BD20">INDEX(InputArea,_xlfn.XMATCH(LEFT(BC17),ColName),_xlfn.XMATCH($H$76,RowName))</f>
        <v>0</v>
      </c>
      <c r="BE20" s="103" cm="1">
        <f t="array" ref="BE20">INDEX(InputArea,_xlfn.XMATCH(LEFT(BC17),ColName),_xlfn.XMATCH($I$76,RowName))</f>
        <v>0</v>
      </c>
      <c r="BF20" s="103" cm="1">
        <f t="array" ref="BF20">INDEX(InputArea,_xlfn.XMATCH(LEFT(BC17),ColName),_xlfn.XMATCH($J$76,RowName))</f>
        <v>0</v>
      </c>
      <c r="BG20" s="103" cm="1">
        <f t="array" ref="BG20">INDEX(InputArea,_xlfn.XMATCH(LEFT(BC17),ColName),_xlfn.XMATCH($K$76,RowName))</f>
        <v>0</v>
      </c>
    </row>
    <row r="21" spans="1:59" x14ac:dyDescent="0.4">
      <c r="A21" s="79" t="s">
        <v>3</v>
      </c>
      <c r="B21" s="79"/>
      <c r="C21" s="79"/>
      <c r="D21" s="79"/>
      <c r="E21" s="79"/>
      <c r="F21" s="79"/>
      <c r="G21" s="79" t="s">
        <v>6</v>
      </c>
      <c r="H21" s="79"/>
      <c r="I21" s="79"/>
      <c r="J21" s="79"/>
      <c r="K21" s="79"/>
      <c r="L21" s="79"/>
      <c r="M21" s="79" t="s">
        <v>7</v>
      </c>
      <c r="N21" s="79"/>
      <c r="O21" s="79"/>
      <c r="P21" s="79"/>
      <c r="Q21" s="79"/>
      <c r="R21" s="79"/>
      <c r="S21" s="79" t="s">
        <v>8</v>
      </c>
      <c r="T21" s="79"/>
      <c r="U21" s="79"/>
      <c r="V21" s="79"/>
      <c r="W21" s="79"/>
      <c r="X21" s="79"/>
      <c r="Y21" s="79" t="s">
        <v>11</v>
      </c>
      <c r="Z21" s="79"/>
      <c r="AA21" s="79"/>
      <c r="AB21" s="79"/>
      <c r="AC21" s="79"/>
      <c r="AD21" s="79"/>
      <c r="AE21" s="79" t="s">
        <v>22</v>
      </c>
      <c r="AF21" s="79"/>
      <c r="AG21" s="79"/>
      <c r="AH21" s="79"/>
      <c r="AI21" s="79"/>
      <c r="AJ21" s="79"/>
      <c r="AK21" s="79" t="s">
        <v>24</v>
      </c>
      <c r="AL21" s="79"/>
      <c r="AM21" s="79"/>
      <c r="AN21" s="79"/>
      <c r="AO21" s="79"/>
      <c r="AP21" s="79"/>
      <c r="AQ21" s="79" t="s">
        <v>27</v>
      </c>
      <c r="AR21" s="79"/>
      <c r="AS21" s="79"/>
      <c r="AT21" s="79"/>
      <c r="AU21" s="79"/>
      <c r="AV21" s="79"/>
      <c r="AW21" s="79" t="s">
        <v>28</v>
      </c>
      <c r="AX21" s="79"/>
      <c r="AY21" s="79"/>
      <c r="AZ21" s="79"/>
      <c r="BA21" s="79"/>
      <c r="BB21" s="79"/>
      <c r="BC21" s="79" t="s">
        <v>29</v>
      </c>
      <c r="BD21" s="79"/>
      <c r="BE21" s="79"/>
      <c r="BF21" s="79"/>
      <c r="BG21" s="79"/>
    </row>
    <row r="22" spans="1:59" x14ac:dyDescent="0.4">
      <c r="A22" s="103" cm="1">
        <f t="array" ref="A22">INDEX(InputArea,_xlfn.XMATCH(LEFT(A21),ColName),_xlfn.XMATCH($A$74,RowName))</f>
        <v>0</v>
      </c>
      <c r="B22" s="103" cm="1">
        <f t="array" ref="B22">INDEX(InputArea,_xlfn.XMATCH(LEFT(A21),ColName),_xlfn.XMATCH($B$74,RowName))</f>
        <v>0</v>
      </c>
      <c r="C22" s="103" cm="1">
        <f t="array" ref="C22">INDEX(InputArea,_xlfn.XMATCH(LEFT(A21),ColName),_xlfn.XMATCH($C$74,RowName))</f>
        <v>0</v>
      </c>
      <c r="D22" s="103" cm="1">
        <f t="array" ref="D22">INDEX(InputArea,_xlfn.XMATCH(LEFT(A21),ColName),_xlfn.XMATCH($D$74,RowName))</f>
        <v>0</v>
      </c>
      <c r="E22" s="103" cm="1">
        <f t="array" ref="E22">INDEX(InputArea,_xlfn.XMATCH(LEFT(A21),ColName),_xlfn.XMATCH($E$74,RowName))</f>
        <v>0</v>
      </c>
      <c r="F22" s="79"/>
      <c r="G22" s="103" cm="1">
        <f t="array" ref="G22">INDEX(InputArea,_xlfn.XMATCH(LEFT(G21),ColName),_xlfn.XMATCH($A$74,RowName))</f>
        <v>0</v>
      </c>
      <c r="H22" s="103" cm="1">
        <f t="array" ref="H22">INDEX(InputArea,_xlfn.XMATCH(LEFT(G21),ColName),_xlfn.XMATCH($B$74,RowName))</f>
        <v>0</v>
      </c>
      <c r="I22" s="103" cm="1">
        <f t="array" ref="I22">INDEX(InputArea,_xlfn.XMATCH(LEFT(G21),ColName),_xlfn.XMATCH($C$74,RowName))</f>
        <v>0</v>
      </c>
      <c r="J22" s="103" cm="1">
        <f t="array" ref="J22">INDEX(InputArea,_xlfn.XMATCH(LEFT(G21),ColName),_xlfn.XMATCH($D$74,RowName))</f>
        <v>0</v>
      </c>
      <c r="K22" s="103" cm="1">
        <f t="array" ref="K22">INDEX(InputArea,_xlfn.XMATCH(LEFT(G21),ColName),_xlfn.XMATCH($E$74,RowName))</f>
        <v>0</v>
      </c>
      <c r="L22" s="79"/>
      <c r="M22" s="103" cm="1">
        <f t="array" ref="M22">INDEX(InputArea,_xlfn.XMATCH(LEFT(M21),ColName),_xlfn.XMATCH($A$74,RowName))</f>
        <v>0</v>
      </c>
      <c r="N22" s="103" cm="1">
        <f t="array" ref="N22">INDEX(InputArea,_xlfn.XMATCH(LEFT(M21),ColName),_xlfn.XMATCH($B$74,RowName))</f>
        <v>0</v>
      </c>
      <c r="O22" s="103" cm="1">
        <f t="array" ref="O22">INDEX(InputArea,_xlfn.XMATCH(LEFT(M21),ColName),_xlfn.XMATCH($C$74,RowName))</f>
        <v>0</v>
      </c>
      <c r="P22" s="103" cm="1">
        <f t="array" ref="P22">INDEX(InputArea,_xlfn.XMATCH(LEFT(M21),ColName),_xlfn.XMATCH($D$74,RowName))</f>
        <v>0</v>
      </c>
      <c r="Q22" s="103" cm="1">
        <f t="array" ref="Q22">INDEX(InputArea,_xlfn.XMATCH(LEFT(M21),ColName),_xlfn.XMATCH($E$74,RowName))</f>
        <v>0</v>
      </c>
      <c r="R22" s="79"/>
      <c r="S22" s="103" cm="1">
        <f t="array" ref="S22">INDEX(InputArea,_xlfn.XMATCH(LEFT(S21),ColName),_xlfn.XMATCH($A$74,RowName))</f>
        <v>0</v>
      </c>
      <c r="T22" s="103" cm="1">
        <f t="array" ref="T22">INDEX(InputArea,_xlfn.XMATCH(LEFT(S21),ColName),_xlfn.XMATCH($B$74,RowName))</f>
        <v>0</v>
      </c>
      <c r="U22" s="103" cm="1">
        <f t="array" ref="U22">INDEX(InputArea,_xlfn.XMATCH(LEFT(S21),ColName),_xlfn.XMATCH($C$74,RowName))</f>
        <v>0</v>
      </c>
      <c r="V22" s="103" cm="1">
        <f t="array" ref="V22">INDEX(InputArea,_xlfn.XMATCH(LEFT(S21),ColName),_xlfn.XMATCH($D$74,RowName))</f>
        <v>0</v>
      </c>
      <c r="W22" s="103" cm="1">
        <f t="array" ref="W22">INDEX(InputArea,_xlfn.XMATCH(LEFT(S21),ColName),_xlfn.XMATCH($E$74,RowName))</f>
        <v>0</v>
      </c>
      <c r="X22" s="79"/>
      <c r="Y22" s="103" cm="1">
        <f t="array" ref="Y22">INDEX(InputArea,_xlfn.XMATCH(LEFT(Y21),ColName),_xlfn.XMATCH($A$74,RowName))</f>
        <v>0</v>
      </c>
      <c r="Z22" s="103" cm="1">
        <f t="array" ref="Z22">INDEX(InputArea,_xlfn.XMATCH(LEFT(Y21),ColName),_xlfn.XMATCH($B$74,RowName))</f>
        <v>0</v>
      </c>
      <c r="AA22" s="103" cm="1">
        <f t="array" ref="AA22">INDEX(InputArea,_xlfn.XMATCH(LEFT(Y21),ColName),_xlfn.XMATCH($C$74,RowName))</f>
        <v>0</v>
      </c>
      <c r="AB22" s="103" cm="1">
        <f t="array" ref="AB22">INDEX(InputArea,_xlfn.XMATCH(LEFT(Y21),ColName),_xlfn.XMATCH($D$74,RowName))</f>
        <v>0</v>
      </c>
      <c r="AC22" s="103" cm="1">
        <f t="array" ref="AC22">INDEX(InputArea,_xlfn.XMATCH(LEFT(Y21),ColName),_xlfn.XMATCH($E$74,RowName))</f>
        <v>0</v>
      </c>
      <c r="AD22" s="79"/>
      <c r="AE22" s="103" cm="1">
        <f t="array" ref="AE22">INDEX(InputArea,_xlfn.XMATCH(LEFT(AE21),ColName),_xlfn.XMATCH($G$74,RowName))</f>
        <v>0</v>
      </c>
      <c r="AF22" s="103" cm="1">
        <f t="array" ref="AF22">INDEX(InputArea,_xlfn.XMATCH(LEFT(AE21),ColName),_xlfn.XMATCH($H$74,RowName))</f>
        <v>0</v>
      </c>
      <c r="AG22" s="103" cm="1">
        <f t="array" ref="AG22">INDEX(InputArea,_xlfn.XMATCH(LEFT(AE21),ColName),_xlfn.XMATCH($I$74,RowName))</f>
        <v>0</v>
      </c>
      <c r="AH22" s="103" cm="1">
        <f t="array" ref="AH22">INDEX(InputArea,_xlfn.XMATCH(LEFT(AE21),ColName),_xlfn.XMATCH($J$74,RowName))</f>
        <v>0</v>
      </c>
      <c r="AI22" s="103" cm="1">
        <f t="array" ref="AI22">INDEX(InputArea,_xlfn.XMATCH(LEFT(AE21),ColName),_xlfn.XMATCH($K$74,RowName))</f>
        <v>0</v>
      </c>
      <c r="AJ22" s="79"/>
      <c r="AK22" s="103" cm="1">
        <f t="array" ref="AK22">INDEX(InputArea,_xlfn.XMATCH(LEFT(AK21),ColName),_xlfn.XMATCH($G$74,RowName))</f>
        <v>0</v>
      </c>
      <c r="AL22" s="103" cm="1">
        <f t="array" ref="AL22">INDEX(InputArea,_xlfn.XMATCH(LEFT(AK21),ColName),_xlfn.XMATCH($H$74,RowName))</f>
        <v>0</v>
      </c>
      <c r="AM22" s="103" cm="1">
        <f t="array" ref="AM22">INDEX(InputArea,_xlfn.XMATCH(LEFT(AK21),ColName),_xlfn.XMATCH($I$74,RowName))</f>
        <v>0</v>
      </c>
      <c r="AN22" s="103" cm="1">
        <f t="array" ref="AN22">INDEX(InputArea,_xlfn.XMATCH(LEFT(AK21),ColName),_xlfn.XMATCH($J$74,RowName))</f>
        <v>0</v>
      </c>
      <c r="AO22" s="103" cm="1">
        <f t="array" ref="AO22">INDEX(InputArea,_xlfn.XMATCH(LEFT(AK21),ColName),_xlfn.XMATCH($K$74,RowName))</f>
        <v>0</v>
      </c>
      <c r="AP22" s="79"/>
      <c r="AQ22" s="103" cm="1">
        <f t="array" ref="AQ22">INDEX(InputArea,_xlfn.XMATCH(LEFT(AQ21),ColName),_xlfn.XMATCH($G$74,RowName))</f>
        <v>0</v>
      </c>
      <c r="AR22" s="103" cm="1">
        <f t="array" ref="AR22">INDEX(InputArea,_xlfn.XMATCH(LEFT(AQ21),ColName),_xlfn.XMATCH($H$74,RowName))</f>
        <v>0</v>
      </c>
      <c r="AS22" s="103" cm="1">
        <f t="array" ref="AS22">INDEX(InputArea,_xlfn.XMATCH(LEFT(AQ21),ColName),_xlfn.XMATCH($I$74,RowName))</f>
        <v>0</v>
      </c>
      <c r="AT22" s="103" cm="1">
        <f t="array" ref="AT22">INDEX(InputArea,_xlfn.XMATCH(LEFT(AQ21),ColName),_xlfn.XMATCH($J$74,RowName))</f>
        <v>0</v>
      </c>
      <c r="AU22" s="103" cm="1">
        <f t="array" ref="AU22">INDEX(InputArea,_xlfn.XMATCH(LEFT(AQ21),ColName),_xlfn.XMATCH($K$74,RowName))</f>
        <v>0</v>
      </c>
      <c r="AV22" s="79"/>
      <c r="AW22" s="103" cm="1">
        <f t="array" ref="AW22">INDEX(InputArea,_xlfn.XMATCH(LEFT(AW21),ColName),_xlfn.XMATCH($G$74,RowName))</f>
        <v>0</v>
      </c>
      <c r="AX22" s="103" cm="1">
        <f t="array" ref="AX22">INDEX(InputArea,_xlfn.XMATCH(LEFT(AW21),ColName),_xlfn.XMATCH($H$74,RowName))</f>
        <v>0</v>
      </c>
      <c r="AY22" s="103" cm="1">
        <f t="array" ref="AY22">INDEX(InputArea,_xlfn.XMATCH(LEFT(AW21),ColName),_xlfn.XMATCH($I$74,RowName))</f>
        <v>0</v>
      </c>
      <c r="AZ22" s="103" cm="1">
        <f t="array" ref="AZ22">INDEX(InputArea,_xlfn.XMATCH(LEFT(AW21),ColName),_xlfn.XMATCH($J$74,RowName))</f>
        <v>0</v>
      </c>
      <c r="BA22" s="103" cm="1">
        <f t="array" ref="BA22">INDEX(InputArea,_xlfn.XMATCH(LEFT(AW21),ColName),_xlfn.XMATCH($K$74,RowName))</f>
        <v>0</v>
      </c>
      <c r="BB22" s="79"/>
      <c r="BC22" s="103" cm="1">
        <f t="array" ref="BC22">INDEX(InputArea,_xlfn.XMATCH(LEFT(BC21),ColName),_xlfn.XMATCH($G$74,RowName))</f>
        <v>0</v>
      </c>
      <c r="BD22" s="103" cm="1">
        <f t="array" ref="BD22">INDEX(InputArea,_xlfn.XMATCH(LEFT(BC21),ColName),_xlfn.XMATCH($H$74,RowName))</f>
        <v>0</v>
      </c>
      <c r="BE22" s="103" cm="1">
        <f t="array" ref="BE22">INDEX(InputArea,_xlfn.XMATCH(LEFT(BC21),ColName),_xlfn.XMATCH($I$74,RowName))</f>
        <v>0</v>
      </c>
      <c r="BF22" s="103" cm="1">
        <f t="array" ref="BF22">INDEX(InputArea,_xlfn.XMATCH(LEFT(BC21),ColName),_xlfn.XMATCH($J$74,RowName))</f>
        <v>0</v>
      </c>
      <c r="BG22" s="103" cm="1">
        <f t="array" ref="BG22">INDEX(InputArea,_xlfn.XMATCH(LEFT(BC21),ColName),_xlfn.XMATCH($K$74,RowName))</f>
        <v>0</v>
      </c>
    </row>
    <row r="23" spans="1:59" ht="19.5" thickBot="1" x14ac:dyDescent="0.45">
      <c r="A23" s="103" cm="1">
        <f t="array" ref="A23">INDEX(InputArea,_xlfn.XMATCH(LEFT(A21),ColName),_xlfn.XMATCH($A$75,RowName))</f>
        <v>0</v>
      </c>
      <c r="B23" s="102" cm="1">
        <f t="array" ref="B23">INDEX(InputArea,_xlfn.XMATCH(LEFT(A21),ColName),_xlfn.XMATCH($B$75,RowName))</f>
        <v>0</v>
      </c>
      <c r="C23" s="103" cm="1">
        <f t="array" ref="C23">INDEX(InputArea,_xlfn.XMATCH(LEFT(A21),ColName),_xlfn.XMATCH($C$75,RowName))</f>
        <v>0</v>
      </c>
      <c r="D23" s="103" cm="1">
        <f t="array" ref="D23">INDEX(InputArea,_xlfn.XMATCH(LEFT(A21),ColName),_xlfn.XMATCH($D$75,RowName))</f>
        <v>0</v>
      </c>
      <c r="E23" s="103" cm="1">
        <f t="array" ref="E23">INDEX(InputArea,_xlfn.XMATCH(LEFT(A21),ColName),_xlfn.XMATCH($E$75,RowName))</f>
        <v>0</v>
      </c>
      <c r="F23" s="79"/>
      <c r="G23" s="103" cm="1">
        <f t="array" ref="G23">INDEX(InputArea,_xlfn.XMATCH(LEFT(G21),ColName),_xlfn.XMATCH($A$75,RowName))</f>
        <v>0</v>
      </c>
      <c r="H23" s="102" cm="1">
        <f t="array" ref="H23">INDEX(InputArea,_xlfn.XMATCH(LEFT(G21),ColName),_xlfn.XMATCH($B$75,RowName))</f>
        <v>0</v>
      </c>
      <c r="I23" s="103" cm="1">
        <f t="array" ref="I23">INDEX(InputArea,_xlfn.XMATCH(LEFT(G21),ColName),_xlfn.XMATCH($C$75,RowName))</f>
        <v>0</v>
      </c>
      <c r="J23" s="103" cm="1">
        <f t="array" ref="J23">INDEX(InputArea,_xlfn.XMATCH(LEFT(G21),ColName),_xlfn.XMATCH($D$75,RowName))</f>
        <v>0</v>
      </c>
      <c r="K23" s="103" cm="1">
        <f t="array" ref="K23">INDEX(InputArea,_xlfn.XMATCH(LEFT(G21),ColName),_xlfn.XMATCH($E$75,RowName))</f>
        <v>0</v>
      </c>
      <c r="L23" s="79"/>
      <c r="M23" s="103" cm="1">
        <f t="array" ref="M23">INDEX(InputArea,_xlfn.XMATCH(LEFT(M21),ColName),_xlfn.XMATCH($A$75,RowName))</f>
        <v>0</v>
      </c>
      <c r="N23" s="102" cm="1">
        <f t="array" ref="N23">INDEX(InputArea,_xlfn.XMATCH(LEFT(M21),ColName),_xlfn.XMATCH($B$75,RowName))</f>
        <v>0</v>
      </c>
      <c r="O23" s="103" cm="1">
        <f t="array" ref="O23">INDEX(InputArea,_xlfn.XMATCH(LEFT(M21),ColName),_xlfn.XMATCH($C$75,RowName))</f>
        <v>0</v>
      </c>
      <c r="P23" s="103" cm="1">
        <f t="array" ref="P23">INDEX(InputArea,_xlfn.XMATCH(LEFT(M21),ColName),_xlfn.XMATCH($D$75,RowName))</f>
        <v>0</v>
      </c>
      <c r="Q23" s="103" cm="1">
        <f t="array" ref="Q23">INDEX(InputArea,_xlfn.XMATCH(LEFT(M21),ColName),_xlfn.XMATCH($E$75,RowName))</f>
        <v>0</v>
      </c>
      <c r="R23" s="79"/>
      <c r="S23" s="103" cm="1">
        <f t="array" ref="S23">INDEX(InputArea,_xlfn.XMATCH(LEFT(S21),ColName),_xlfn.XMATCH($A$75,RowName))</f>
        <v>0</v>
      </c>
      <c r="T23" s="102" cm="1">
        <f t="array" ref="T23">INDEX(InputArea,_xlfn.XMATCH(LEFT(S21),ColName),_xlfn.XMATCH($B$75,RowName))</f>
        <v>0</v>
      </c>
      <c r="U23" s="103" cm="1">
        <f t="array" ref="U23">INDEX(InputArea,_xlfn.XMATCH(LEFT(S21),ColName),_xlfn.XMATCH($C$75,RowName))</f>
        <v>0</v>
      </c>
      <c r="V23" s="103" cm="1">
        <f t="array" ref="V23">INDEX(InputArea,_xlfn.XMATCH(LEFT(S21),ColName),_xlfn.XMATCH($D$75,RowName))</f>
        <v>0</v>
      </c>
      <c r="W23" s="103" cm="1">
        <f t="array" ref="W23">INDEX(InputArea,_xlfn.XMATCH(LEFT(S21),ColName),_xlfn.XMATCH($E$75,RowName))</f>
        <v>0</v>
      </c>
      <c r="X23" s="79"/>
      <c r="Y23" s="103" cm="1">
        <f t="array" ref="Y23">INDEX(InputArea,_xlfn.XMATCH(LEFT(Y21),ColName),_xlfn.XMATCH($A$75,RowName))</f>
        <v>0</v>
      </c>
      <c r="Z23" s="102" cm="1">
        <f t="array" ref="Z23">INDEX(InputArea,_xlfn.XMATCH(LEFT(Y21),ColName),_xlfn.XMATCH($B$75,RowName))</f>
        <v>0</v>
      </c>
      <c r="AA23" s="103" cm="1">
        <f t="array" ref="AA23">INDEX(InputArea,_xlfn.XMATCH(LEFT(Y21),ColName),_xlfn.XMATCH($C$75,RowName))</f>
        <v>0</v>
      </c>
      <c r="AB23" s="103" cm="1">
        <f t="array" ref="AB23">INDEX(InputArea,_xlfn.XMATCH(LEFT(Y21),ColName),_xlfn.XMATCH($D$75,RowName))</f>
        <v>0</v>
      </c>
      <c r="AC23" s="103" cm="1">
        <f t="array" ref="AC23">INDEX(InputArea,_xlfn.XMATCH(LEFT(Y21),ColName),_xlfn.XMATCH($E$75,RowName))</f>
        <v>0</v>
      </c>
      <c r="AD23" s="79"/>
      <c r="AE23" s="103" cm="1">
        <f t="array" ref="AE23">INDEX(InputArea,_xlfn.XMATCH(LEFT(AE21),ColName),_xlfn.XMATCH($G$75,RowName))</f>
        <v>0</v>
      </c>
      <c r="AF23" s="103" cm="1">
        <f t="array" ref="AF23">INDEX(InputArea,_xlfn.XMATCH(LEFT(AE21),ColName),_xlfn.XMATCH($H$75,RowName))</f>
        <v>0</v>
      </c>
      <c r="AG23" s="103" cm="1">
        <f t="array" ref="AG23">INDEX(InputArea,_xlfn.XMATCH(LEFT(AE21),ColName),_xlfn.XMATCH($I$75,RowName))</f>
        <v>0</v>
      </c>
      <c r="AH23" s="102" cm="1">
        <f t="array" ref="AH23">INDEX(InputArea,_xlfn.XMATCH(LEFT(AE21),ColName),_xlfn.XMATCH($J$75,RowName))</f>
        <v>0</v>
      </c>
      <c r="AI23" s="103" cm="1">
        <f t="array" ref="AI23">INDEX(InputArea,_xlfn.XMATCH(LEFT(AE21),ColName),_xlfn.XMATCH($K$75,RowName))</f>
        <v>0</v>
      </c>
      <c r="AJ23" s="79"/>
      <c r="AK23" s="103" cm="1">
        <f t="array" ref="AK23">INDEX(InputArea,_xlfn.XMATCH(LEFT(AK21),ColName),_xlfn.XMATCH($G$75,RowName))</f>
        <v>0</v>
      </c>
      <c r="AL23" s="103" cm="1">
        <f t="array" ref="AL23">INDEX(InputArea,_xlfn.XMATCH(LEFT(AK21),ColName),_xlfn.XMATCH($H$75,RowName))</f>
        <v>0</v>
      </c>
      <c r="AM23" s="103" cm="1">
        <f t="array" ref="AM23">INDEX(InputArea,_xlfn.XMATCH(LEFT(AK21),ColName),_xlfn.XMATCH($I$75,RowName))</f>
        <v>0</v>
      </c>
      <c r="AN23" s="102" cm="1">
        <f t="array" ref="AN23">INDEX(InputArea,_xlfn.XMATCH(LEFT(AK21),ColName),_xlfn.XMATCH($J$75,RowName))</f>
        <v>0</v>
      </c>
      <c r="AO23" s="103" cm="1">
        <f t="array" ref="AO23">INDEX(InputArea,_xlfn.XMATCH(LEFT(AK21),ColName),_xlfn.XMATCH($K$75,RowName))</f>
        <v>0</v>
      </c>
      <c r="AP23" s="79"/>
      <c r="AQ23" s="103" cm="1">
        <f t="array" ref="AQ23">INDEX(InputArea,_xlfn.XMATCH(LEFT(AQ21),ColName),_xlfn.XMATCH($G$75,RowName))</f>
        <v>0</v>
      </c>
      <c r="AR23" s="103" cm="1">
        <f t="array" ref="AR23">INDEX(InputArea,_xlfn.XMATCH(LEFT(AQ21),ColName),_xlfn.XMATCH($H$75,RowName))</f>
        <v>0</v>
      </c>
      <c r="AS23" s="103" cm="1">
        <f t="array" ref="AS23">INDEX(InputArea,_xlfn.XMATCH(LEFT(AQ21),ColName),_xlfn.XMATCH($I$75,RowName))</f>
        <v>0</v>
      </c>
      <c r="AT23" s="102" cm="1">
        <f t="array" ref="AT23">INDEX(InputArea,_xlfn.XMATCH(LEFT(AQ21),ColName),_xlfn.XMATCH($J$75,RowName))</f>
        <v>0</v>
      </c>
      <c r="AU23" s="103" cm="1">
        <f t="array" ref="AU23">INDEX(InputArea,_xlfn.XMATCH(LEFT(AQ21),ColName),_xlfn.XMATCH($K$75,RowName))</f>
        <v>0</v>
      </c>
      <c r="AV23" s="79"/>
      <c r="AW23" s="103" cm="1">
        <f t="array" ref="AW23">INDEX(InputArea,_xlfn.XMATCH(LEFT(AW21),ColName),_xlfn.XMATCH($G$75,RowName))</f>
        <v>0</v>
      </c>
      <c r="AX23" s="103" cm="1">
        <f t="array" ref="AX23">INDEX(InputArea,_xlfn.XMATCH(LEFT(AW21),ColName),_xlfn.XMATCH($H$75,RowName))</f>
        <v>0</v>
      </c>
      <c r="AY23" s="103" cm="1">
        <f t="array" ref="AY23">INDEX(InputArea,_xlfn.XMATCH(LEFT(AW21),ColName),_xlfn.XMATCH($I$75,RowName))</f>
        <v>0</v>
      </c>
      <c r="AZ23" s="102" cm="1">
        <f t="array" ref="AZ23">INDEX(InputArea,_xlfn.XMATCH(LEFT(AW21),ColName),_xlfn.XMATCH($J$75,RowName))</f>
        <v>0</v>
      </c>
      <c r="BA23" s="103" cm="1">
        <f t="array" ref="BA23">INDEX(InputArea,_xlfn.XMATCH(LEFT(AW21),ColName),_xlfn.XMATCH($K$75,RowName))</f>
        <v>0</v>
      </c>
      <c r="BB23" s="79"/>
      <c r="BC23" s="103" cm="1">
        <f t="array" ref="BC23">INDEX(InputArea,_xlfn.XMATCH(LEFT(BC21),ColName),_xlfn.XMATCH($G$75,RowName))</f>
        <v>0</v>
      </c>
      <c r="BD23" s="103" cm="1">
        <f t="array" ref="BD23">INDEX(InputArea,_xlfn.XMATCH(LEFT(BC21),ColName),_xlfn.XMATCH($H$75,RowName))</f>
        <v>0</v>
      </c>
      <c r="BE23" s="103" cm="1">
        <f t="array" ref="BE23">INDEX(InputArea,_xlfn.XMATCH(LEFT(BC21),ColName),_xlfn.XMATCH($I$75,RowName))</f>
        <v>0</v>
      </c>
      <c r="BF23" s="102" cm="1">
        <f t="array" ref="BF23">INDEX(InputArea,_xlfn.XMATCH(LEFT(BC21),ColName),_xlfn.XMATCH($J$75,RowName))</f>
        <v>0</v>
      </c>
      <c r="BG23" s="103" cm="1">
        <f t="array" ref="BG23">INDEX(InputArea,_xlfn.XMATCH(LEFT(BC21),ColName),_xlfn.XMATCH($K$75,RowName))</f>
        <v>0</v>
      </c>
    </row>
    <row r="24" spans="1:59" x14ac:dyDescent="0.4">
      <c r="A24" s="103" cm="1">
        <f t="array" ref="A24">INDEX(InputArea,_xlfn.XMATCH(LEFT(A21),ColName),_xlfn.XMATCH($A$76,RowName))</f>
        <v>0</v>
      </c>
      <c r="B24" s="103" cm="1">
        <f t="array" ref="B24">INDEX(InputArea,_xlfn.XMATCH(LEFT(A21),ColName),_xlfn.XMATCH($B$76,RowName))</f>
        <v>0</v>
      </c>
      <c r="C24" s="103" cm="1">
        <f t="array" ref="C24">INDEX(InputArea,_xlfn.XMATCH(LEFT(A21),ColName),_xlfn.XMATCH($C$76,RowName))</f>
        <v>0</v>
      </c>
      <c r="D24" s="103" cm="1">
        <f t="array" ref="D24">INDEX(InputArea,_xlfn.XMATCH(LEFT(A21),ColName),_xlfn.XMATCH($D$76,RowName))</f>
        <v>0</v>
      </c>
      <c r="E24" s="103" cm="1">
        <f t="array" ref="E24">INDEX(InputArea,_xlfn.XMATCH(LEFT(A21),ColName),_xlfn.XMATCH($E$76,RowName))</f>
        <v>0</v>
      </c>
      <c r="F24" s="79"/>
      <c r="G24" s="103" cm="1">
        <f t="array" ref="G24">INDEX(InputArea,_xlfn.XMATCH(LEFT(G21),ColName),_xlfn.XMATCH($A$76,RowName))</f>
        <v>0</v>
      </c>
      <c r="H24" s="103" cm="1">
        <f t="array" ref="H24">INDEX(InputArea,_xlfn.XMATCH(LEFT(G21),ColName),_xlfn.XMATCH($B$76,RowName))</f>
        <v>0</v>
      </c>
      <c r="I24" s="103" cm="1">
        <f t="array" ref="I24">INDEX(InputArea,_xlfn.XMATCH(LEFT(G21),ColName),_xlfn.XMATCH($C$76,RowName))</f>
        <v>0</v>
      </c>
      <c r="J24" s="103" cm="1">
        <f t="array" ref="J24">INDEX(InputArea,_xlfn.XMATCH(LEFT(G21),ColName),_xlfn.XMATCH($D$76,RowName))</f>
        <v>0</v>
      </c>
      <c r="K24" s="103" cm="1">
        <f t="array" ref="K24">INDEX(InputArea,_xlfn.XMATCH(LEFT(G21),ColName),_xlfn.XMATCH($E$76,RowName))</f>
        <v>0</v>
      </c>
      <c r="L24" s="79"/>
      <c r="M24" s="103" cm="1">
        <f t="array" ref="M24">INDEX(InputArea,_xlfn.XMATCH(LEFT(M21),ColName),_xlfn.XMATCH($A$76,RowName))</f>
        <v>0</v>
      </c>
      <c r="N24" s="103" cm="1">
        <f t="array" ref="N24">INDEX(InputArea,_xlfn.XMATCH(LEFT(M21),ColName),_xlfn.XMATCH($B$76,RowName))</f>
        <v>0</v>
      </c>
      <c r="O24" s="103" cm="1">
        <f t="array" ref="O24">INDEX(InputArea,_xlfn.XMATCH(LEFT(M21),ColName),_xlfn.XMATCH($C$76,RowName))</f>
        <v>0</v>
      </c>
      <c r="P24" s="103" cm="1">
        <f t="array" ref="P24">INDEX(InputArea,_xlfn.XMATCH(LEFT(M21),ColName),_xlfn.XMATCH($D$76,RowName))</f>
        <v>0</v>
      </c>
      <c r="Q24" s="103" cm="1">
        <f t="array" ref="Q24">INDEX(InputArea,_xlfn.XMATCH(LEFT(M21),ColName),_xlfn.XMATCH($E$76,RowName))</f>
        <v>0</v>
      </c>
      <c r="R24" s="79"/>
      <c r="S24" s="103" cm="1">
        <f t="array" ref="S24">INDEX(InputArea,_xlfn.XMATCH(LEFT(S21),ColName),_xlfn.XMATCH($A$76,RowName))</f>
        <v>0</v>
      </c>
      <c r="T24" s="103" cm="1">
        <f t="array" ref="T24">INDEX(InputArea,_xlfn.XMATCH(LEFT(S21),ColName),_xlfn.XMATCH($B$76,RowName))</f>
        <v>0</v>
      </c>
      <c r="U24" s="103" cm="1">
        <f t="array" ref="U24">INDEX(InputArea,_xlfn.XMATCH(LEFT(S21),ColName),_xlfn.XMATCH($C$76,RowName))</f>
        <v>0</v>
      </c>
      <c r="V24" s="103" cm="1">
        <f t="array" ref="V24">INDEX(InputArea,_xlfn.XMATCH(LEFT(S21),ColName),_xlfn.XMATCH($D$76,RowName))</f>
        <v>0</v>
      </c>
      <c r="W24" s="103" cm="1">
        <f t="array" ref="W24">INDEX(InputArea,_xlfn.XMATCH(LEFT(S21),ColName),_xlfn.XMATCH($E$76,RowName))</f>
        <v>0</v>
      </c>
      <c r="X24" s="79"/>
      <c r="Y24" s="103" cm="1">
        <f t="array" ref="Y24">INDEX(InputArea,_xlfn.XMATCH(LEFT(Y21),ColName),_xlfn.XMATCH($A$76,RowName))</f>
        <v>0</v>
      </c>
      <c r="Z24" s="103" cm="1">
        <f t="array" ref="Z24">INDEX(InputArea,_xlfn.XMATCH(LEFT(Y21),ColName),_xlfn.XMATCH($B$76,RowName))</f>
        <v>0</v>
      </c>
      <c r="AA24" s="103" cm="1">
        <f t="array" ref="AA24">INDEX(InputArea,_xlfn.XMATCH(LEFT(Y21),ColName),_xlfn.XMATCH($C$76,RowName))</f>
        <v>0</v>
      </c>
      <c r="AB24" s="103" cm="1">
        <f t="array" ref="AB24">INDEX(InputArea,_xlfn.XMATCH(LEFT(Y21),ColName),_xlfn.XMATCH($D$76,RowName))</f>
        <v>0</v>
      </c>
      <c r="AC24" s="103" cm="1">
        <f t="array" ref="AC24">INDEX(InputArea,_xlfn.XMATCH(LEFT(Y21),ColName),_xlfn.XMATCH($E$76,RowName))</f>
        <v>0</v>
      </c>
      <c r="AD24" s="79"/>
      <c r="AE24" s="103" cm="1">
        <f t="array" ref="AE24">INDEX(InputArea,_xlfn.XMATCH(LEFT(AE21),ColName),_xlfn.XMATCH($G$76,RowName))</f>
        <v>0</v>
      </c>
      <c r="AF24" s="103" cm="1">
        <f t="array" ref="AF24">INDEX(InputArea,_xlfn.XMATCH(LEFT(AE21),ColName),_xlfn.XMATCH($H$76,RowName))</f>
        <v>0</v>
      </c>
      <c r="AG24" s="103" cm="1">
        <f t="array" ref="AG24">INDEX(InputArea,_xlfn.XMATCH(LEFT(AE21),ColName),_xlfn.XMATCH($I$76,RowName))</f>
        <v>0</v>
      </c>
      <c r="AH24" s="103" cm="1">
        <f t="array" ref="AH24">INDEX(InputArea,_xlfn.XMATCH(LEFT(AE21),ColName),_xlfn.XMATCH($J$76,RowName))</f>
        <v>0</v>
      </c>
      <c r="AI24" s="103" cm="1">
        <f t="array" ref="AI24">INDEX(InputArea,_xlfn.XMATCH(LEFT(AE21),ColName),_xlfn.XMATCH($K$76,RowName))</f>
        <v>0</v>
      </c>
      <c r="AJ24" s="79"/>
      <c r="AK24" s="103" cm="1">
        <f t="array" ref="AK24">INDEX(InputArea,_xlfn.XMATCH(LEFT(AK21),ColName),_xlfn.XMATCH($G$76,RowName))</f>
        <v>0</v>
      </c>
      <c r="AL24" s="103" cm="1">
        <f t="array" ref="AL24">INDEX(InputArea,_xlfn.XMATCH(LEFT(AK21),ColName),_xlfn.XMATCH($H$76,RowName))</f>
        <v>0</v>
      </c>
      <c r="AM24" s="103" cm="1">
        <f t="array" ref="AM24">INDEX(InputArea,_xlfn.XMATCH(LEFT(AK21),ColName),_xlfn.XMATCH($I$76,RowName))</f>
        <v>0</v>
      </c>
      <c r="AN24" s="103" cm="1">
        <f t="array" ref="AN24">INDEX(InputArea,_xlfn.XMATCH(LEFT(AK21),ColName),_xlfn.XMATCH($J$76,RowName))</f>
        <v>0</v>
      </c>
      <c r="AO24" s="103" cm="1">
        <f t="array" ref="AO24">INDEX(InputArea,_xlfn.XMATCH(LEFT(AK21),ColName),_xlfn.XMATCH($K$76,RowName))</f>
        <v>0</v>
      </c>
      <c r="AP24" s="79"/>
      <c r="AQ24" s="103" cm="1">
        <f t="array" ref="AQ24">INDEX(InputArea,_xlfn.XMATCH(LEFT(AQ21),ColName),_xlfn.XMATCH($G$76,RowName))</f>
        <v>0</v>
      </c>
      <c r="AR24" s="103" cm="1">
        <f t="array" ref="AR24">INDEX(InputArea,_xlfn.XMATCH(LEFT(AQ21),ColName),_xlfn.XMATCH($H$76,RowName))</f>
        <v>0</v>
      </c>
      <c r="AS24" s="103" cm="1">
        <f t="array" ref="AS24">INDEX(InputArea,_xlfn.XMATCH(LEFT(AQ21),ColName),_xlfn.XMATCH($I$76,RowName))</f>
        <v>0</v>
      </c>
      <c r="AT24" s="103" cm="1">
        <f t="array" ref="AT24">INDEX(InputArea,_xlfn.XMATCH(LEFT(AQ21),ColName),_xlfn.XMATCH($J$76,RowName))</f>
        <v>0</v>
      </c>
      <c r="AU24" s="103" cm="1">
        <f t="array" ref="AU24">INDEX(InputArea,_xlfn.XMATCH(LEFT(AQ21),ColName),_xlfn.XMATCH($K$76,RowName))</f>
        <v>0</v>
      </c>
      <c r="AV24" s="79"/>
      <c r="AW24" s="103" cm="1">
        <f t="array" ref="AW24">INDEX(InputArea,_xlfn.XMATCH(LEFT(AW21),ColName),_xlfn.XMATCH($G$76,RowName))</f>
        <v>0</v>
      </c>
      <c r="AX24" s="103" cm="1">
        <f t="array" ref="AX24">INDEX(InputArea,_xlfn.XMATCH(LEFT(AW21),ColName),_xlfn.XMATCH($H$76,RowName))</f>
        <v>0</v>
      </c>
      <c r="AY24" s="103" cm="1">
        <f t="array" ref="AY24">INDEX(InputArea,_xlfn.XMATCH(LEFT(AW21),ColName),_xlfn.XMATCH($I$76,RowName))</f>
        <v>0</v>
      </c>
      <c r="AZ24" s="103" cm="1">
        <f t="array" ref="AZ24">INDEX(InputArea,_xlfn.XMATCH(LEFT(AW21),ColName),_xlfn.XMATCH($J$76,RowName))</f>
        <v>0</v>
      </c>
      <c r="BA24" s="103" cm="1">
        <f t="array" ref="BA24">INDEX(InputArea,_xlfn.XMATCH(LEFT(AW21),ColName),_xlfn.XMATCH($K$76,RowName))</f>
        <v>0</v>
      </c>
      <c r="BB24" s="79"/>
      <c r="BC24" s="103" cm="1">
        <f t="array" ref="BC24">INDEX(InputArea,_xlfn.XMATCH(LEFT(BC21),ColName),_xlfn.XMATCH($G$76,RowName))</f>
        <v>0</v>
      </c>
      <c r="BD24" s="103" cm="1">
        <f t="array" ref="BD24">INDEX(InputArea,_xlfn.XMATCH(LEFT(BC21),ColName),_xlfn.XMATCH($H$76,RowName))</f>
        <v>0</v>
      </c>
      <c r="BE24" s="103" cm="1">
        <f t="array" ref="BE24">INDEX(InputArea,_xlfn.XMATCH(LEFT(BC21),ColName),_xlfn.XMATCH($I$76,RowName))</f>
        <v>0</v>
      </c>
      <c r="BF24" s="103" cm="1">
        <f t="array" ref="BF24">INDEX(InputArea,_xlfn.XMATCH(LEFT(BC21),ColName),_xlfn.XMATCH($J$76,RowName))</f>
        <v>0</v>
      </c>
      <c r="BG24" s="103" cm="1">
        <f t="array" ref="BG24">INDEX(InputArea,_xlfn.XMATCH(LEFT(BC21),ColName),_xlfn.XMATCH($K$76,RowName))</f>
        <v>0</v>
      </c>
    </row>
    <row r="25" spans="1:59" x14ac:dyDescent="0.4">
      <c r="A25" s="79" t="s">
        <v>5</v>
      </c>
      <c r="B25" s="79"/>
      <c r="C25" s="79"/>
      <c r="D25" s="79"/>
      <c r="E25" s="79"/>
      <c r="F25" s="79"/>
      <c r="G25" s="79" t="s">
        <v>15</v>
      </c>
      <c r="H25" s="79"/>
      <c r="I25" s="79"/>
      <c r="J25" s="79"/>
      <c r="K25" s="79"/>
      <c r="L25" s="79"/>
      <c r="M25" s="79" t="s">
        <v>13</v>
      </c>
      <c r="N25" s="79"/>
      <c r="O25" s="79"/>
      <c r="P25" s="79"/>
      <c r="Q25" s="79"/>
      <c r="R25" s="79"/>
      <c r="S25" s="79" t="s">
        <v>14</v>
      </c>
      <c r="T25" s="79"/>
      <c r="U25" s="79"/>
      <c r="V25" s="79"/>
      <c r="W25" s="79"/>
      <c r="X25" s="79"/>
      <c r="Y25" s="79" t="s">
        <v>12</v>
      </c>
      <c r="Z25" s="79"/>
      <c r="AA25" s="79"/>
      <c r="AB25" s="79"/>
      <c r="AC25" s="79"/>
      <c r="AD25" s="79"/>
      <c r="AE25" s="79" t="s">
        <v>23</v>
      </c>
      <c r="AF25" s="79"/>
      <c r="AG25" s="79"/>
      <c r="AH25" s="79"/>
      <c r="AI25" s="79"/>
      <c r="AJ25" s="79"/>
      <c r="AK25" s="79" t="s">
        <v>25</v>
      </c>
      <c r="AL25" s="79"/>
      <c r="AM25" s="79"/>
      <c r="AN25" s="79"/>
      <c r="AO25" s="79"/>
      <c r="AP25" s="79"/>
      <c r="AQ25" s="79" t="s">
        <v>26</v>
      </c>
      <c r="AR25" s="79"/>
      <c r="AS25" s="79"/>
      <c r="AT25" s="79"/>
      <c r="AU25" s="79"/>
      <c r="AV25" s="79"/>
      <c r="AW25" s="79" t="s">
        <v>30</v>
      </c>
      <c r="AX25" s="79"/>
      <c r="AY25" s="79"/>
      <c r="AZ25" s="79"/>
      <c r="BA25" s="79"/>
      <c r="BB25" s="79"/>
      <c r="BC25" s="79" t="s">
        <v>31</v>
      </c>
      <c r="BD25" s="79"/>
      <c r="BE25" s="79"/>
      <c r="BF25" s="79"/>
      <c r="BG25" s="79"/>
    </row>
    <row r="26" spans="1:59" x14ac:dyDescent="0.4">
      <c r="A26" s="103" cm="1">
        <f t="array" ref="A26">INDEX(InputArea,_xlfn.XMATCH(LEFT(A25),ColName),_xlfn.XMATCH($A$74,RowName))</f>
        <v>0</v>
      </c>
      <c r="B26" s="103" cm="1">
        <f t="array" ref="B26">INDEX(InputArea,_xlfn.XMATCH(LEFT(A25),ColName),_xlfn.XMATCH($B$74,RowName))</f>
        <v>0</v>
      </c>
      <c r="C26" s="103" cm="1">
        <f t="array" ref="C26">INDEX(InputArea,_xlfn.XMATCH(LEFT(A25),ColName),_xlfn.XMATCH($C$74,RowName))</f>
        <v>0</v>
      </c>
      <c r="D26" s="103" cm="1">
        <f t="array" ref="D26">INDEX(InputArea,_xlfn.XMATCH(LEFT(A25),ColName),_xlfn.XMATCH($D$74,RowName))</f>
        <v>0</v>
      </c>
      <c r="E26" s="103" cm="1">
        <f t="array" ref="E26">INDEX(InputArea,_xlfn.XMATCH(LEFT(A25),ColName),_xlfn.XMATCH($E$74,RowName))</f>
        <v>0</v>
      </c>
      <c r="F26" s="79"/>
      <c r="G26" s="103" cm="1">
        <f t="array" ref="G26">INDEX(InputArea,_xlfn.XMATCH(LEFT(G25),ColName),_xlfn.XMATCH($A$74,RowName))</f>
        <v>0</v>
      </c>
      <c r="H26" s="103" cm="1">
        <f t="array" ref="H26">INDEX(InputArea,_xlfn.XMATCH(LEFT(G25),ColName),_xlfn.XMATCH($B$74,RowName))</f>
        <v>0</v>
      </c>
      <c r="I26" s="103" cm="1">
        <f t="array" ref="I26">INDEX(InputArea,_xlfn.XMATCH(LEFT(G25),ColName),_xlfn.XMATCH($C$74,RowName))</f>
        <v>0</v>
      </c>
      <c r="J26" s="103" cm="1">
        <f t="array" ref="J26">INDEX(InputArea,_xlfn.XMATCH(LEFT(G25),ColName),_xlfn.XMATCH($D$74,RowName))</f>
        <v>0</v>
      </c>
      <c r="K26" s="103" cm="1">
        <f t="array" ref="K26">INDEX(InputArea,_xlfn.XMATCH(LEFT(G25),ColName),_xlfn.XMATCH($E$74,RowName))</f>
        <v>0</v>
      </c>
      <c r="L26" s="79"/>
      <c r="M26" s="103" cm="1">
        <f t="array" ref="M26">INDEX(InputArea,_xlfn.XMATCH(LEFT(M25),ColName),_xlfn.XMATCH($A$74,RowName))</f>
        <v>0</v>
      </c>
      <c r="N26" s="103" cm="1">
        <f t="array" ref="N26">INDEX(InputArea,_xlfn.XMATCH(LEFT(M25),ColName),_xlfn.XMATCH($B$74,RowName))</f>
        <v>0</v>
      </c>
      <c r="O26" s="103" cm="1">
        <f t="array" ref="O26">INDEX(InputArea,_xlfn.XMATCH(LEFT(M25),ColName),_xlfn.XMATCH($C$74,RowName))</f>
        <v>0</v>
      </c>
      <c r="P26" s="103" cm="1">
        <f t="array" ref="P26">INDEX(InputArea,_xlfn.XMATCH(LEFT(M25),ColName),_xlfn.XMATCH($D$74,RowName))</f>
        <v>0</v>
      </c>
      <c r="Q26" s="103" cm="1">
        <f t="array" ref="Q26">INDEX(InputArea,_xlfn.XMATCH(LEFT(M25),ColName),_xlfn.XMATCH($E$74,RowName))</f>
        <v>0</v>
      </c>
      <c r="R26" s="79"/>
      <c r="S26" s="103" cm="1">
        <f t="array" ref="S26">INDEX(InputArea,_xlfn.XMATCH(LEFT(S25),ColName),_xlfn.XMATCH($A$74,RowName))</f>
        <v>0</v>
      </c>
      <c r="T26" s="103" cm="1">
        <f t="array" ref="T26">INDEX(InputArea,_xlfn.XMATCH(LEFT(S25),ColName),_xlfn.XMATCH($B$74,RowName))</f>
        <v>0</v>
      </c>
      <c r="U26" s="103" cm="1">
        <f t="array" ref="U26">INDEX(InputArea,_xlfn.XMATCH(LEFT(S25),ColName),_xlfn.XMATCH($C$74,RowName))</f>
        <v>0</v>
      </c>
      <c r="V26" s="103" cm="1">
        <f t="array" ref="V26">INDEX(InputArea,_xlfn.XMATCH(LEFT(S25),ColName),_xlfn.XMATCH($D$74,RowName))</f>
        <v>0</v>
      </c>
      <c r="W26" s="103" cm="1">
        <f t="array" ref="W26">INDEX(InputArea,_xlfn.XMATCH(LEFT(S25),ColName),_xlfn.XMATCH($E$74,RowName))</f>
        <v>0</v>
      </c>
      <c r="X26" s="79"/>
      <c r="Y26" s="103" cm="1">
        <f t="array" ref="Y26">INDEX(InputArea,_xlfn.XMATCH(LEFT(Y25),ColName),_xlfn.XMATCH($A$74,RowName))</f>
        <v>0</v>
      </c>
      <c r="Z26" s="103" cm="1">
        <f t="array" ref="Z26">INDEX(InputArea,_xlfn.XMATCH(LEFT(Y25),ColName),_xlfn.XMATCH($B$74,RowName))</f>
        <v>0</v>
      </c>
      <c r="AA26" s="103" cm="1">
        <f t="array" ref="AA26">INDEX(InputArea,_xlfn.XMATCH(LEFT(Y25),ColName),_xlfn.XMATCH($C$74,RowName))</f>
        <v>0</v>
      </c>
      <c r="AB26" s="103" cm="1">
        <f t="array" ref="AB26">INDEX(InputArea,_xlfn.XMATCH(LEFT(Y25),ColName),_xlfn.XMATCH($D$74,RowName))</f>
        <v>0</v>
      </c>
      <c r="AC26" s="103" cm="1">
        <f t="array" ref="AC26">INDEX(InputArea,_xlfn.XMATCH(LEFT(Y25),ColName),_xlfn.XMATCH($E$74,RowName))</f>
        <v>0</v>
      </c>
      <c r="AD26" s="79"/>
      <c r="AE26" s="103" cm="1">
        <f t="array" ref="AE26">INDEX(InputArea,_xlfn.XMATCH(LEFT(AE25),ColName),_xlfn.XMATCH($G$74,RowName))</f>
        <v>0</v>
      </c>
      <c r="AF26" s="103" cm="1">
        <f t="array" ref="AF26">INDEX(InputArea,_xlfn.XMATCH(LEFT(AE25),ColName),_xlfn.XMATCH($H$74,RowName))</f>
        <v>0</v>
      </c>
      <c r="AG26" s="103" cm="1">
        <f t="array" ref="AG26">INDEX(InputArea,_xlfn.XMATCH(LEFT(AE25),ColName),_xlfn.XMATCH($I$74,RowName))</f>
        <v>0</v>
      </c>
      <c r="AH26" s="103" cm="1">
        <f t="array" ref="AH26">INDEX(InputArea,_xlfn.XMATCH(LEFT(AE25),ColName),_xlfn.XMATCH($J$74,RowName))</f>
        <v>0</v>
      </c>
      <c r="AI26" s="103" cm="1">
        <f t="array" ref="AI26">INDEX(InputArea,_xlfn.XMATCH(LEFT(AE25),ColName),_xlfn.XMATCH($K$74,RowName))</f>
        <v>0</v>
      </c>
      <c r="AJ26" s="79"/>
      <c r="AK26" s="103" cm="1">
        <f t="array" ref="AK26">INDEX(InputArea,_xlfn.XMATCH(LEFT(AK25),ColName),_xlfn.XMATCH($G$74,RowName))</f>
        <v>0</v>
      </c>
      <c r="AL26" s="103" cm="1">
        <f t="array" ref="AL26">INDEX(InputArea,_xlfn.XMATCH(LEFT(AK25),ColName),_xlfn.XMATCH($H$74,RowName))</f>
        <v>0</v>
      </c>
      <c r="AM26" s="103" cm="1">
        <f t="array" ref="AM26">INDEX(InputArea,_xlfn.XMATCH(LEFT(AK25),ColName),_xlfn.XMATCH($I$74,RowName))</f>
        <v>0</v>
      </c>
      <c r="AN26" s="103" cm="1">
        <f t="array" ref="AN26">INDEX(InputArea,_xlfn.XMATCH(LEFT(AK25),ColName),_xlfn.XMATCH($J$74,RowName))</f>
        <v>0</v>
      </c>
      <c r="AO26" s="103" cm="1">
        <f t="array" ref="AO26">INDEX(InputArea,_xlfn.XMATCH(LEFT(AK25),ColName),_xlfn.XMATCH($K$74,RowName))</f>
        <v>0</v>
      </c>
      <c r="AP26" s="79"/>
      <c r="AQ26" s="103" cm="1">
        <f t="array" ref="AQ26">INDEX(InputArea,_xlfn.XMATCH(LEFT(AQ25),ColName),_xlfn.XMATCH($G$74,RowName))</f>
        <v>0</v>
      </c>
      <c r="AR26" s="103" cm="1">
        <f t="array" ref="AR26">INDEX(InputArea,_xlfn.XMATCH(LEFT(AQ25),ColName),_xlfn.XMATCH($H$74,RowName))</f>
        <v>0</v>
      </c>
      <c r="AS26" s="103" cm="1">
        <f t="array" ref="AS26">INDEX(InputArea,_xlfn.XMATCH(LEFT(AQ25),ColName),_xlfn.XMATCH($I$74,RowName))</f>
        <v>0</v>
      </c>
      <c r="AT26" s="103" cm="1">
        <f t="array" ref="AT26">INDEX(InputArea,_xlfn.XMATCH(LEFT(AQ25),ColName),_xlfn.XMATCH($J$74,RowName))</f>
        <v>0</v>
      </c>
      <c r="AU26" s="103" cm="1">
        <f t="array" ref="AU26">INDEX(InputArea,_xlfn.XMATCH(LEFT(AQ25),ColName),_xlfn.XMATCH($K$74,RowName))</f>
        <v>0</v>
      </c>
      <c r="AV26" s="79"/>
      <c r="AW26" s="103" cm="1">
        <f t="array" ref="AW26">INDEX(InputArea,_xlfn.XMATCH(LEFT(AW25),ColName),_xlfn.XMATCH($G$74,RowName))</f>
        <v>0</v>
      </c>
      <c r="AX26" s="103" cm="1">
        <f t="array" ref="AX26">INDEX(InputArea,_xlfn.XMATCH(LEFT(AW25),ColName),_xlfn.XMATCH($H$74,RowName))</f>
        <v>0</v>
      </c>
      <c r="AY26" s="103" cm="1">
        <f t="array" ref="AY26">INDEX(InputArea,_xlfn.XMATCH(LEFT(AW25),ColName),_xlfn.XMATCH($I$74,RowName))</f>
        <v>0</v>
      </c>
      <c r="AZ26" s="103" cm="1">
        <f t="array" ref="AZ26">INDEX(InputArea,_xlfn.XMATCH(LEFT(AW25),ColName),_xlfn.XMATCH($J$74,RowName))</f>
        <v>0</v>
      </c>
      <c r="BA26" s="103" cm="1">
        <f t="array" ref="BA26">INDEX(InputArea,_xlfn.XMATCH(LEFT(AW25),ColName),_xlfn.XMATCH($K$74,RowName))</f>
        <v>0</v>
      </c>
      <c r="BB26" s="79"/>
      <c r="BC26" s="103" cm="1">
        <f t="array" ref="BC26">INDEX(InputArea,_xlfn.XMATCH(LEFT(BC25),ColName),_xlfn.XMATCH($G$74,RowName))</f>
        <v>0</v>
      </c>
      <c r="BD26" s="103" cm="1">
        <f t="array" ref="BD26">INDEX(InputArea,_xlfn.XMATCH(LEFT(BC25),ColName),_xlfn.XMATCH($H$74,RowName))</f>
        <v>0</v>
      </c>
      <c r="BE26" s="103" cm="1">
        <f t="array" ref="BE26">INDEX(InputArea,_xlfn.XMATCH(LEFT(BC25),ColName),_xlfn.XMATCH($I$74,RowName))</f>
        <v>0</v>
      </c>
      <c r="BF26" s="103" cm="1">
        <f t="array" ref="BF26">INDEX(InputArea,_xlfn.XMATCH(LEFT(BC25),ColName),_xlfn.XMATCH($J$74,RowName))</f>
        <v>0</v>
      </c>
      <c r="BG26" s="103" cm="1">
        <f t="array" ref="BG26">INDEX(InputArea,_xlfn.XMATCH(LEFT(BC25),ColName),_xlfn.XMATCH($K$74,RowName))</f>
        <v>0</v>
      </c>
    </row>
    <row r="27" spans="1:59" ht="19.5" thickBot="1" x14ac:dyDescent="0.45">
      <c r="A27" s="103" cm="1">
        <f t="array" ref="A27">INDEX(InputArea,_xlfn.XMATCH(LEFT(A25),ColName),_xlfn.XMATCH($A$75,RowName))</f>
        <v>0</v>
      </c>
      <c r="B27" s="102" cm="1">
        <f t="array" ref="B27">INDEX(InputArea,_xlfn.XMATCH(LEFT(A25),ColName),_xlfn.XMATCH($B$75,RowName))</f>
        <v>0</v>
      </c>
      <c r="C27" s="103" cm="1">
        <f t="array" ref="C27">INDEX(InputArea,_xlfn.XMATCH(LEFT(A25),ColName),_xlfn.XMATCH($C$75,RowName))</f>
        <v>0</v>
      </c>
      <c r="D27" s="103" cm="1">
        <f t="array" ref="D27">INDEX(InputArea,_xlfn.XMATCH(LEFT(A25),ColName),_xlfn.XMATCH($D$75,RowName))</f>
        <v>0</v>
      </c>
      <c r="E27" s="103" cm="1">
        <f t="array" ref="E27">INDEX(InputArea,_xlfn.XMATCH(LEFT(A25),ColName),_xlfn.XMATCH($E$75,RowName))</f>
        <v>0</v>
      </c>
      <c r="F27" s="79"/>
      <c r="G27" s="103" cm="1">
        <f t="array" ref="G27">INDEX(InputArea,_xlfn.XMATCH(LEFT(G25),ColName),_xlfn.XMATCH($A$75,RowName))</f>
        <v>0</v>
      </c>
      <c r="H27" s="102" cm="1">
        <f t="array" ref="H27">INDEX(InputArea,_xlfn.XMATCH(LEFT(G25),ColName),_xlfn.XMATCH($B$75,RowName))</f>
        <v>0</v>
      </c>
      <c r="I27" s="103" cm="1">
        <f t="array" ref="I27">INDEX(InputArea,_xlfn.XMATCH(LEFT(G25),ColName),_xlfn.XMATCH($C$75,RowName))</f>
        <v>0</v>
      </c>
      <c r="J27" s="103" cm="1">
        <f t="array" ref="J27">INDEX(InputArea,_xlfn.XMATCH(LEFT(G25),ColName),_xlfn.XMATCH($D$75,RowName))</f>
        <v>0</v>
      </c>
      <c r="K27" s="103" cm="1">
        <f t="array" ref="K27">INDEX(InputArea,_xlfn.XMATCH(LEFT(G25),ColName),_xlfn.XMATCH($E$75,RowName))</f>
        <v>0</v>
      </c>
      <c r="L27" s="79"/>
      <c r="M27" s="103" cm="1">
        <f t="array" ref="M27">INDEX(InputArea,_xlfn.XMATCH(LEFT(M25),ColName),_xlfn.XMATCH($A$75,RowName))</f>
        <v>0</v>
      </c>
      <c r="N27" s="102" cm="1">
        <f t="array" ref="N27">INDEX(InputArea,_xlfn.XMATCH(LEFT(M25),ColName),_xlfn.XMATCH($B$75,RowName))</f>
        <v>0</v>
      </c>
      <c r="O27" s="103" cm="1">
        <f t="array" ref="O27">INDEX(InputArea,_xlfn.XMATCH(LEFT(M25),ColName),_xlfn.XMATCH($C$75,RowName))</f>
        <v>0</v>
      </c>
      <c r="P27" s="103" cm="1">
        <f t="array" ref="P27">INDEX(InputArea,_xlfn.XMATCH(LEFT(M25),ColName),_xlfn.XMATCH($D$75,RowName))</f>
        <v>0</v>
      </c>
      <c r="Q27" s="103" cm="1">
        <f t="array" ref="Q27">INDEX(InputArea,_xlfn.XMATCH(LEFT(M25),ColName),_xlfn.XMATCH($E$75,RowName))</f>
        <v>0</v>
      </c>
      <c r="R27" s="79"/>
      <c r="S27" s="103" cm="1">
        <f t="array" ref="S27">INDEX(InputArea,_xlfn.XMATCH(LEFT(S25),ColName),_xlfn.XMATCH($A$75,RowName))</f>
        <v>0</v>
      </c>
      <c r="T27" s="102" cm="1">
        <f t="array" ref="T27">INDEX(InputArea,_xlfn.XMATCH(LEFT(S25),ColName),_xlfn.XMATCH($B$75,RowName))</f>
        <v>0</v>
      </c>
      <c r="U27" s="103" cm="1">
        <f t="array" ref="U27">INDEX(InputArea,_xlfn.XMATCH(LEFT(S25),ColName),_xlfn.XMATCH($C$75,RowName))</f>
        <v>0</v>
      </c>
      <c r="V27" s="103" cm="1">
        <f t="array" ref="V27">INDEX(InputArea,_xlfn.XMATCH(LEFT(S25),ColName),_xlfn.XMATCH($D$75,RowName))</f>
        <v>0</v>
      </c>
      <c r="W27" s="103" cm="1">
        <f t="array" ref="W27">INDEX(InputArea,_xlfn.XMATCH(LEFT(S25),ColName),_xlfn.XMATCH($E$75,RowName))</f>
        <v>0</v>
      </c>
      <c r="X27" s="79"/>
      <c r="Y27" s="103" cm="1">
        <f t="array" ref="Y27">INDEX(InputArea,_xlfn.XMATCH(LEFT(Y25),ColName),_xlfn.XMATCH($A$75,RowName))</f>
        <v>0</v>
      </c>
      <c r="Z27" s="102" cm="1">
        <f t="array" ref="Z27">INDEX(InputArea,_xlfn.XMATCH(LEFT(Y25),ColName),_xlfn.XMATCH($B$75,RowName))</f>
        <v>0</v>
      </c>
      <c r="AA27" s="103" cm="1">
        <f t="array" ref="AA27">INDEX(InputArea,_xlfn.XMATCH(LEFT(Y25),ColName),_xlfn.XMATCH($C$75,RowName))</f>
        <v>0</v>
      </c>
      <c r="AB27" s="103" cm="1">
        <f t="array" ref="AB27">INDEX(InputArea,_xlfn.XMATCH(LEFT(Y25),ColName),_xlfn.XMATCH($D$75,RowName))</f>
        <v>0</v>
      </c>
      <c r="AC27" s="103" cm="1">
        <f t="array" ref="AC27">INDEX(InputArea,_xlfn.XMATCH(LEFT(Y25),ColName),_xlfn.XMATCH($E$75,RowName))</f>
        <v>0</v>
      </c>
      <c r="AD27" s="79"/>
      <c r="AE27" s="103" cm="1">
        <f t="array" ref="AE27">INDEX(InputArea,_xlfn.XMATCH(LEFT(AE25),ColName),_xlfn.XMATCH($G$75,RowName))</f>
        <v>0</v>
      </c>
      <c r="AF27" s="103" cm="1">
        <f t="array" ref="AF27">INDEX(InputArea,_xlfn.XMATCH(LEFT(AE25),ColName),_xlfn.XMATCH($H$75,RowName))</f>
        <v>0</v>
      </c>
      <c r="AG27" s="103" cm="1">
        <f t="array" ref="AG27">INDEX(InputArea,_xlfn.XMATCH(LEFT(AE25),ColName),_xlfn.XMATCH($I$75,RowName))</f>
        <v>0</v>
      </c>
      <c r="AH27" s="102" cm="1">
        <f t="array" ref="AH27">INDEX(InputArea,_xlfn.XMATCH(LEFT(AE25),ColName),_xlfn.XMATCH($J$75,RowName))</f>
        <v>0</v>
      </c>
      <c r="AI27" s="103" cm="1">
        <f t="array" ref="AI27">INDEX(InputArea,_xlfn.XMATCH(LEFT(AE25),ColName),_xlfn.XMATCH($K$75,RowName))</f>
        <v>0</v>
      </c>
      <c r="AJ27" s="79"/>
      <c r="AK27" s="103" cm="1">
        <f t="array" ref="AK27">INDEX(InputArea,_xlfn.XMATCH(LEFT(AK25),ColName),_xlfn.XMATCH($G$75,RowName))</f>
        <v>0</v>
      </c>
      <c r="AL27" s="103" cm="1">
        <f t="array" ref="AL27">INDEX(InputArea,_xlfn.XMATCH(LEFT(AK25),ColName),_xlfn.XMATCH($H$75,RowName))</f>
        <v>0</v>
      </c>
      <c r="AM27" s="103" cm="1">
        <f t="array" ref="AM27">INDEX(InputArea,_xlfn.XMATCH(LEFT(AK25),ColName),_xlfn.XMATCH($I$75,RowName))</f>
        <v>0</v>
      </c>
      <c r="AN27" s="102" cm="1">
        <f t="array" ref="AN27">INDEX(InputArea,_xlfn.XMATCH(LEFT(AK25),ColName),_xlfn.XMATCH($J$75,RowName))</f>
        <v>0</v>
      </c>
      <c r="AO27" s="103" cm="1">
        <f t="array" ref="AO27">INDEX(InputArea,_xlfn.XMATCH(LEFT(AK25),ColName),_xlfn.XMATCH($K$75,RowName))</f>
        <v>0</v>
      </c>
      <c r="AP27" s="79"/>
      <c r="AQ27" s="103" cm="1">
        <f t="array" ref="AQ27">INDEX(InputArea,_xlfn.XMATCH(LEFT(AQ25),ColName),_xlfn.XMATCH($G$75,RowName))</f>
        <v>0</v>
      </c>
      <c r="AR27" s="103" cm="1">
        <f t="array" ref="AR27">INDEX(InputArea,_xlfn.XMATCH(LEFT(AQ25),ColName),_xlfn.XMATCH($H$75,RowName))</f>
        <v>0</v>
      </c>
      <c r="AS27" s="103" cm="1">
        <f t="array" ref="AS27">INDEX(InputArea,_xlfn.XMATCH(LEFT(AQ25),ColName),_xlfn.XMATCH($I$75,RowName))</f>
        <v>0</v>
      </c>
      <c r="AT27" s="102" cm="1">
        <f t="array" ref="AT27">INDEX(InputArea,_xlfn.XMATCH(LEFT(AQ25),ColName),_xlfn.XMATCH($J$75,RowName))</f>
        <v>0</v>
      </c>
      <c r="AU27" s="103" cm="1">
        <f t="array" ref="AU27">INDEX(InputArea,_xlfn.XMATCH(LEFT(AQ25),ColName),_xlfn.XMATCH($K$75,RowName))</f>
        <v>0</v>
      </c>
      <c r="AV27" s="79"/>
      <c r="AW27" s="103" cm="1">
        <f t="array" ref="AW27">INDEX(InputArea,_xlfn.XMATCH(LEFT(AW25),ColName),_xlfn.XMATCH($G$75,RowName))</f>
        <v>0</v>
      </c>
      <c r="AX27" s="103" cm="1">
        <f t="array" ref="AX27">INDEX(InputArea,_xlfn.XMATCH(LEFT(AW25),ColName),_xlfn.XMATCH($H$75,RowName))</f>
        <v>0</v>
      </c>
      <c r="AY27" s="103" cm="1">
        <f t="array" ref="AY27">INDEX(InputArea,_xlfn.XMATCH(LEFT(AW25),ColName),_xlfn.XMATCH($I$75,RowName))</f>
        <v>0</v>
      </c>
      <c r="AZ27" s="102" cm="1">
        <f t="array" ref="AZ27">INDEX(InputArea,_xlfn.XMATCH(LEFT(AW25),ColName),_xlfn.XMATCH($J$75,RowName))</f>
        <v>0</v>
      </c>
      <c r="BA27" s="103" cm="1">
        <f t="array" ref="BA27">INDEX(InputArea,_xlfn.XMATCH(LEFT(AW25),ColName),_xlfn.XMATCH($K$75,RowName))</f>
        <v>0</v>
      </c>
      <c r="BB27" s="79"/>
      <c r="BC27" s="103" cm="1">
        <f t="array" ref="BC27">INDEX(InputArea,_xlfn.XMATCH(LEFT(BC25),ColName),_xlfn.XMATCH($G$75,RowName))</f>
        <v>0</v>
      </c>
      <c r="BD27" s="103" cm="1">
        <f t="array" ref="BD27">INDEX(InputArea,_xlfn.XMATCH(LEFT(BC25),ColName),_xlfn.XMATCH($H$75,RowName))</f>
        <v>0</v>
      </c>
      <c r="BE27" s="103" cm="1">
        <f t="array" ref="BE27">INDEX(InputArea,_xlfn.XMATCH(LEFT(BC25),ColName),_xlfn.XMATCH($I$75,RowName))</f>
        <v>0</v>
      </c>
      <c r="BF27" s="102" cm="1">
        <f t="array" ref="BF27">INDEX(InputArea,_xlfn.XMATCH(LEFT(BC25),ColName),_xlfn.XMATCH($J$75,RowName))</f>
        <v>0</v>
      </c>
      <c r="BG27" s="103" cm="1">
        <f t="array" ref="BG27">INDEX(InputArea,_xlfn.XMATCH(LEFT(BC25),ColName),_xlfn.XMATCH($K$75,RowName))</f>
        <v>0</v>
      </c>
    </row>
    <row r="28" spans="1:59" x14ac:dyDescent="0.4">
      <c r="A28" s="103" cm="1">
        <f t="array" ref="A28">INDEX(InputArea,_xlfn.XMATCH(LEFT(A25),ColName),_xlfn.XMATCH($A$76,RowName))</f>
        <v>0</v>
      </c>
      <c r="B28" s="103" cm="1">
        <f t="array" ref="B28">INDEX(InputArea,_xlfn.XMATCH(LEFT(A25),ColName),_xlfn.XMATCH($B$76,RowName))</f>
        <v>0</v>
      </c>
      <c r="C28" s="103" cm="1">
        <f t="array" ref="C28">INDEX(InputArea,_xlfn.XMATCH(LEFT(A25),ColName),_xlfn.XMATCH($C$76,RowName))</f>
        <v>0</v>
      </c>
      <c r="D28" s="103" cm="1">
        <f t="array" ref="D28">INDEX(InputArea,_xlfn.XMATCH(LEFT(A25),ColName),_xlfn.XMATCH($D$76,RowName))</f>
        <v>0</v>
      </c>
      <c r="E28" s="103" cm="1">
        <f t="array" ref="E28">INDEX(InputArea,_xlfn.XMATCH(LEFT(A25),ColName),_xlfn.XMATCH($E$76,RowName))</f>
        <v>0</v>
      </c>
      <c r="F28" s="79"/>
      <c r="G28" s="103" cm="1">
        <f t="array" ref="G28">INDEX(InputArea,_xlfn.XMATCH(LEFT(G25),ColName),_xlfn.XMATCH($A$76,RowName))</f>
        <v>0</v>
      </c>
      <c r="H28" s="103" cm="1">
        <f t="array" ref="H28">INDEX(InputArea,_xlfn.XMATCH(LEFT(G25),ColName),_xlfn.XMATCH($B$76,RowName))</f>
        <v>0</v>
      </c>
      <c r="I28" s="103" cm="1">
        <f t="array" ref="I28">INDEX(InputArea,_xlfn.XMATCH(LEFT(G25),ColName),_xlfn.XMATCH($C$76,RowName))</f>
        <v>0</v>
      </c>
      <c r="J28" s="103" cm="1">
        <f t="array" ref="J28">INDEX(InputArea,_xlfn.XMATCH(LEFT(G25),ColName),_xlfn.XMATCH($D$76,RowName))</f>
        <v>0</v>
      </c>
      <c r="K28" s="103" cm="1">
        <f t="array" ref="K28">INDEX(InputArea,_xlfn.XMATCH(LEFT(G25),ColName),_xlfn.XMATCH($E$76,RowName))</f>
        <v>0</v>
      </c>
      <c r="L28" s="79"/>
      <c r="M28" s="103" cm="1">
        <f t="array" ref="M28">INDEX(InputArea,_xlfn.XMATCH(LEFT(M25),ColName),_xlfn.XMATCH($A$76,RowName))</f>
        <v>0</v>
      </c>
      <c r="N28" s="103" cm="1">
        <f t="array" ref="N28">INDEX(InputArea,_xlfn.XMATCH(LEFT(M25),ColName),_xlfn.XMATCH($B$76,RowName))</f>
        <v>0</v>
      </c>
      <c r="O28" s="103" cm="1">
        <f t="array" ref="O28">INDEX(InputArea,_xlfn.XMATCH(LEFT(M25),ColName),_xlfn.XMATCH($C$76,RowName))</f>
        <v>0</v>
      </c>
      <c r="P28" s="103" cm="1">
        <f t="array" ref="P28">INDEX(InputArea,_xlfn.XMATCH(LEFT(M25),ColName),_xlfn.XMATCH($D$76,RowName))</f>
        <v>0</v>
      </c>
      <c r="Q28" s="103" cm="1">
        <f t="array" ref="Q28">INDEX(InputArea,_xlfn.XMATCH(LEFT(M25),ColName),_xlfn.XMATCH($E$76,RowName))</f>
        <v>0</v>
      </c>
      <c r="R28" s="79"/>
      <c r="S28" s="103" cm="1">
        <f t="array" ref="S28">INDEX(InputArea,_xlfn.XMATCH(LEFT(S25),ColName),_xlfn.XMATCH($A$76,RowName))</f>
        <v>0</v>
      </c>
      <c r="T28" s="103" cm="1">
        <f t="array" ref="T28">INDEX(InputArea,_xlfn.XMATCH(LEFT(S25),ColName),_xlfn.XMATCH($B$76,RowName))</f>
        <v>0</v>
      </c>
      <c r="U28" s="103" cm="1">
        <f t="array" ref="U28">INDEX(InputArea,_xlfn.XMATCH(LEFT(S25),ColName),_xlfn.XMATCH($C$76,RowName))</f>
        <v>0</v>
      </c>
      <c r="V28" s="103" cm="1">
        <f t="array" ref="V28">INDEX(InputArea,_xlfn.XMATCH(LEFT(S25),ColName),_xlfn.XMATCH($D$76,RowName))</f>
        <v>0</v>
      </c>
      <c r="W28" s="103" cm="1">
        <f t="array" ref="W28">INDEX(InputArea,_xlfn.XMATCH(LEFT(S25),ColName),_xlfn.XMATCH($E$76,RowName))</f>
        <v>0</v>
      </c>
      <c r="X28" s="79"/>
      <c r="Y28" s="103" cm="1">
        <f t="array" ref="Y28">INDEX(InputArea,_xlfn.XMATCH(LEFT(Y25),ColName),_xlfn.XMATCH($A$76,RowName))</f>
        <v>0</v>
      </c>
      <c r="Z28" s="103" cm="1">
        <f t="array" ref="Z28">INDEX(InputArea,_xlfn.XMATCH(LEFT(Y25),ColName),_xlfn.XMATCH($B$76,RowName))</f>
        <v>0</v>
      </c>
      <c r="AA28" s="103" cm="1">
        <f t="array" ref="AA28">INDEX(InputArea,_xlfn.XMATCH(LEFT(Y25),ColName),_xlfn.XMATCH($C$76,RowName))</f>
        <v>0</v>
      </c>
      <c r="AB28" s="103" cm="1">
        <f t="array" ref="AB28">INDEX(InputArea,_xlfn.XMATCH(LEFT(Y25),ColName),_xlfn.XMATCH($D$76,RowName))</f>
        <v>0</v>
      </c>
      <c r="AC28" s="103" cm="1">
        <f t="array" ref="AC28">INDEX(InputArea,_xlfn.XMATCH(LEFT(Y25),ColName),_xlfn.XMATCH($E$76,RowName))</f>
        <v>0</v>
      </c>
      <c r="AD28" s="79"/>
      <c r="AE28" s="103" cm="1">
        <f t="array" ref="AE28">INDEX(InputArea,_xlfn.XMATCH(LEFT(AE25),ColName),_xlfn.XMATCH($G$76,RowName))</f>
        <v>0</v>
      </c>
      <c r="AF28" s="103" cm="1">
        <f t="array" ref="AF28">INDEX(InputArea,_xlfn.XMATCH(LEFT(AE25),ColName),_xlfn.XMATCH($H$76,RowName))</f>
        <v>0</v>
      </c>
      <c r="AG28" s="103" cm="1">
        <f t="array" ref="AG28">INDEX(InputArea,_xlfn.XMATCH(LEFT(AE25),ColName),_xlfn.XMATCH($I$76,RowName))</f>
        <v>0</v>
      </c>
      <c r="AH28" s="103" cm="1">
        <f t="array" ref="AH28">INDEX(InputArea,_xlfn.XMATCH(LEFT(AE25),ColName),_xlfn.XMATCH($J$76,RowName))</f>
        <v>0</v>
      </c>
      <c r="AI28" s="103" cm="1">
        <f t="array" ref="AI28">INDEX(InputArea,_xlfn.XMATCH(LEFT(AE25),ColName),_xlfn.XMATCH($K$76,RowName))</f>
        <v>0</v>
      </c>
      <c r="AJ28" s="79"/>
      <c r="AK28" s="103" cm="1">
        <f t="array" ref="AK28">INDEX(InputArea,_xlfn.XMATCH(LEFT(AK25),ColName),_xlfn.XMATCH($G$76,RowName))</f>
        <v>0</v>
      </c>
      <c r="AL28" s="103" cm="1">
        <f t="array" ref="AL28">INDEX(InputArea,_xlfn.XMATCH(LEFT(AK25),ColName),_xlfn.XMATCH($H$76,RowName))</f>
        <v>0</v>
      </c>
      <c r="AM28" s="103" cm="1">
        <f t="array" ref="AM28">INDEX(InputArea,_xlfn.XMATCH(LEFT(AK25),ColName),_xlfn.XMATCH($I$76,RowName))</f>
        <v>0</v>
      </c>
      <c r="AN28" s="103" cm="1">
        <f t="array" ref="AN28">INDEX(InputArea,_xlfn.XMATCH(LEFT(AK25),ColName),_xlfn.XMATCH($J$76,RowName))</f>
        <v>0</v>
      </c>
      <c r="AO28" s="103" cm="1">
        <f t="array" ref="AO28">INDEX(InputArea,_xlfn.XMATCH(LEFT(AK25),ColName),_xlfn.XMATCH($K$76,RowName))</f>
        <v>0</v>
      </c>
      <c r="AP28" s="79"/>
      <c r="AQ28" s="103" cm="1">
        <f t="array" ref="AQ28">INDEX(InputArea,_xlfn.XMATCH(LEFT(AQ25),ColName),_xlfn.XMATCH($G$76,RowName))</f>
        <v>0</v>
      </c>
      <c r="AR28" s="103" cm="1">
        <f t="array" ref="AR28">INDEX(InputArea,_xlfn.XMATCH(LEFT(AQ25),ColName),_xlfn.XMATCH($H$76,RowName))</f>
        <v>0</v>
      </c>
      <c r="AS28" s="103" cm="1">
        <f t="array" ref="AS28">INDEX(InputArea,_xlfn.XMATCH(LEFT(AQ25),ColName),_xlfn.XMATCH($I$76,RowName))</f>
        <v>0</v>
      </c>
      <c r="AT28" s="103" cm="1">
        <f t="array" ref="AT28">INDEX(InputArea,_xlfn.XMATCH(LEFT(AQ25),ColName),_xlfn.XMATCH($J$76,RowName))</f>
        <v>0</v>
      </c>
      <c r="AU28" s="103" cm="1">
        <f t="array" ref="AU28">INDEX(InputArea,_xlfn.XMATCH(LEFT(AQ25),ColName),_xlfn.XMATCH($K$76,RowName))</f>
        <v>0</v>
      </c>
      <c r="AV28" s="79"/>
      <c r="AW28" s="103" cm="1">
        <f t="array" ref="AW28">INDEX(InputArea,_xlfn.XMATCH(LEFT(AW25),ColName),_xlfn.XMATCH($G$76,RowName))</f>
        <v>0</v>
      </c>
      <c r="AX28" s="103" cm="1">
        <f t="array" ref="AX28">INDEX(InputArea,_xlfn.XMATCH(LEFT(AW25),ColName),_xlfn.XMATCH($H$76,RowName))</f>
        <v>0</v>
      </c>
      <c r="AY28" s="103" cm="1">
        <f t="array" ref="AY28">INDEX(InputArea,_xlfn.XMATCH(LEFT(AW25),ColName),_xlfn.XMATCH($I$76,RowName))</f>
        <v>0</v>
      </c>
      <c r="AZ28" s="103" cm="1">
        <f t="array" ref="AZ28">INDEX(InputArea,_xlfn.XMATCH(LEFT(AW25),ColName),_xlfn.XMATCH($J$76,RowName))</f>
        <v>0</v>
      </c>
      <c r="BA28" s="103" cm="1">
        <f t="array" ref="BA28">INDEX(InputArea,_xlfn.XMATCH(LEFT(AW25),ColName),_xlfn.XMATCH($K$76,RowName))</f>
        <v>0</v>
      </c>
      <c r="BB28" s="79"/>
      <c r="BC28" s="103" cm="1">
        <f t="array" ref="BC28">INDEX(InputArea,_xlfn.XMATCH(LEFT(BC25),ColName),_xlfn.XMATCH($G$76,RowName))</f>
        <v>0</v>
      </c>
      <c r="BD28" s="103" cm="1">
        <f t="array" ref="BD28">INDEX(InputArea,_xlfn.XMATCH(LEFT(BC25),ColName),_xlfn.XMATCH($H$76,RowName))</f>
        <v>0</v>
      </c>
      <c r="BE28" s="103" cm="1">
        <f t="array" ref="BE28">INDEX(InputArea,_xlfn.XMATCH(LEFT(BC25),ColName),_xlfn.XMATCH($I$76,RowName))</f>
        <v>0</v>
      </c>
      <c r="BF28" s="103" cm="1">
        <f t="array" ref="BF28">INDEX(InputArea,_xlfn.XMATCH(LEFT(BC25),ColName),_xlfn.XMATCH($J$76,RowName))</f>
        <v>0</v>
      </c>
      <c r="BG28" s="103" cm="1">
        <f t="array" ref="BG28">INDEX(InputArea,_xlfn.XMATCH(LEFT(BC25),ColName),_xlfn.XMATCH($K$76,RowName))</f>
        <v>0</v>
      </c>
    </row>
    <row r="30" spans="1:59" ht="35.25" x14ac:dyDescent="0.4">
      <c r="A30" s="2" t="s">
        <v>101</v>
      </c>
      <c r="H30" s="113" t="s">
        <v>104</v>
      </c>
      <c r="I30" s="114" t="s">
        <v>105</v>
      </c>
      <c r="J30" s="115" t="s">
        <v>106</v>
      </c>
      <c r="K30" s="116" t="s">
        <v>107</v>
      </c>
      <c r="L30" t="s">
        <v>108</v>
      </c>
      <c r="M30" s="117" t="s">
        <v>109</v>
      </c>
      <c r="N30" s="118" t="s">
        <v>110</v>
      </c>
      <c r="O30" s="119" t="s">
        <v>111</v>
      </c>
    </row>
    <row r="31" spans="1:59" ht="25.5" x14ac:dyDescent="0.4">
      <c r="A31" s="10" t="s">
        <v>103</v>
      </c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10" t="s">
        <v>102</v>
      </c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 ht="19.5" thickBot="1" x14ac:dyDescent="0.45">
      <c r="A32" s="79" t="s">
        <v>32</v>
      </c>
      <c r="B32" s="79"/>
      <c r="C32" s="79"/>
      <c r="D32" s="79"/>
      <c r="E32" s="80"/>
      <c r="F32" s="79"/>
      <c r="G32" s="79" t="s">
        <v>33</v>
      </c>
      <c r="H32" s="79"/>
      <c r="I32" s="79"/>
      <c r="J32" s="79"/>
      <c r="K32" s="79"/>
      <c r="L32" s="79"/>
      <c r="M32" s="79" t="s">
        <v>34</v>
      </c>
      <c r="N32" s="79"/>
      <c r="O32" s="79"/>
      <c r="P32" s="79"/>
      <c r="Q32" s="79"/>
      <c r="R32" s="79"/>
      <c r="S32" s="79" t="s">
        <v>35</v>
      </c>
      <c r="T32" s="79"/>
      <c r="U32" s="79"/>
      <c r="V32" s="79"/>
      <c r="W32" s="79"/>
      <c r="X32" s="79"/>
      <c r="Y32" s="79" t="s">
        <v>36</v>
      </c>
      <c r="Z32" s="79"/>
      <c r="AA32" s="79"/>
      <c r="AB32" s="79"/>
      <c r="AC32" s="79"/>
      <c r="AD32" s="79"/>
      <c r="AE32" s="79" t="s">
        <v>47</v>
      </c>
      <c r="AF32" s="79"/>
      <c r="AG32" s="79"/>
      <c r="AH32" s="79"/>
      <c r="AI32" s="79"/>
      <c r="AJ32" s="79"/>
      <c r="AK32" s="79" t="s">
        <v>48</v>
      </c>
      <c r="AL32" s="79"/>
      <c r="AM32" s="79"/>
      <c r="AN32" s="79"/>
      <c r="AO32" s="79"/>
      <c r="AP32" s="79"/>
      <c r="AQ32" s="79" t="s">
        <v>49</v>
      </c>
      <c r="AR32" s="79"/>
      <c r="AS32" s="79"/>
      <c r="AT32" s="79"/>
      <c r="AU32" s="79"/>
      <c r="AV32" s="79"/>
      <c r="AW32" s="79" t="s">
        <v>50</v>
      </c>
      <c r="AX32" s="79"/>
      <c r="AY32" s="79"/>
      <c r="AZ32" s="79"/>
      <c r="BA32" s="79"/>
      <c r="BB32" s="79"/>
      <c r="BC32" s="79" t="s">
        <v>51</v>
      </c>
      <c r="BD32" s="79"/>
      <c r="BE32" s="79"/>
      <c r="BF32" s="79"/>
      <c r="BG32" s="79"/>
    </row>
    <row r="33" spans="1:59" ht="19.5" thickBot="1" x14ac:dyDescent="0.45">
      <c r="A33" s="104" cm="1">
        <f t="array" ref="A33">INDEX(InputArea,_xlfn.XMATCH($A$79,ColName),_xlfn.XMATCH(RIGHT(A32),RowName))</f>
        <v>0</v>
      </c>
      <c r="B33" s="103" cm="1">
        <f t="array" ref="B33">INDEX(InputArea,_xlfn.XMATCH($B$79,ColName),_xlfn.XMATCH(RIGHT(A32),RowName))</f>
        <v>0</v>
      </c>
      <c r="C33" s="103" cm="1">
        <f t="array" ref="C33">INDEX(InputArea,_xlfn.XMATCH($C$79,ColName),_xlfn.XMATCH(RIGHT(A32),RowName))</f>
        <v>0</v>
      </c>
      <c r="D33" s="103" cm="1">
        <f t="array" ref="D33">INDEX(InputArea,_xlfn.XMATCH($D$79,ColName),_xlfn.XMATCH(RIGHT(A32),RowName))</f>
        <v>0</v>
      </c>
      <c r="E33" s="103" cm="1">
        <f t="array" ref="E33">INDEX(InputArea,_xlfn.XMATCH($E$79,ColName),_xlfn.XMATCH(RIGHT(A32),RowName))</f>
        <v>0</v>
      </c>
      <c r="F33" s="79"/>
      <c r="G33" s="103" cm="1">
        <f t="array" ref="G33">INDEX(InputArea,_xlfn.XMATCH($A$79,ColName),_xlfn.XMATCH(RIGHT(G32),RowName))</f>
        <v>0</v>
      </c>
      <c r="H33" s="104" cm="1">
        <f t="array" ref="H33">INDEX(InputArea,_xlfn.XMATCH($B$79,ColName),_xlfn.XMATCH(RIGHT(G32),RowName))</f>
        <v>0</v>
      </c>
      <c r="I33" s="103" cm="1">
        <f t="array" ref="I33">INDEX(InputArea,_xlfn.XMATCH($C$79,ColName),_xlfn.XMATCH(RIGHT(G32),RowName))</f>
        <v>0</v>
      </c>
      <c r="J33" s="103" cm="1">
        <f t="array" ref="J33">INDEX(InputArea,_xlfn.XMATCH($D$79,ColName),_xlfn.XMATCH(RIGHT(G32),RowName))</f>
        <v>0</v>
      </c>
      <c r="K33" s="103" cm="1">
        <f t="array" ref="K33">INDEX(InputArea,_xlfn.XMATCH($E$79,ColName),_xlfn.XMATCH(RIGHT(G32),RowName))</f>
        <v>0</v>
      </c>
      <c r="L33" s="79"/>
      <c r="M33" s="103" cm="1">
        <f t="array" ref="M33">INDEX(InputArea,_xlfn.XMATCH($A$79,ColName),_xlfn.XMATCH(RIGHT(M32),RowName))</f>
        <v>0</v>
      </c>
      <c r="N33" s="103" cm="1">
        <f t="array" ref="N33">INDEX(InputArea,_xlfn.XMATCH($B$79,ColName),_xlfn.XMATCH(RIGHT(M32),RowName))</f>
        <v>0</v>
      </c>
      <c r="O33" s="104" cm="1">
        <f t="array" ref="O33">INDEX(InputArea,_xlfn.XMATCH($C$79,ColName),_xlfn.XMATCH(RIGHT(M32),RowName))</f>
        <v>0</v>
      </c>
      <c r="P33" s="103" cm="1">
        <f t="array" ref="P33">INDEX(InputArea,_xlfn.XMATCH($D$79,ColName),_xlfn.XMATCH(RIGHT(M32),RowName))</f>
        <v>0</v>
      </c>
      <c r="Q33" s="103" cm="1">
        <f t="array" ref="Q33">INDEX(InputArea,_xlfn.XMATCH($E$79,ColName),_xlfn.XMATCH(RIGHT(M32),RowName))</f>
        <v>0</v>
      </c>
      <c r="R33" s="79"/>
      <c r="S33" s="103" cm="1">
        <f t="array" ref="S33">INDEX(InputArea,_xlfn.XMATCH($A$79,ColName),_xlfn.XMATCH(RIGHT(S32),RowName))</f>
        <v>0</v>
      </c>
      <c r="T33" s="103" cm="1">
        <f t="array" ref="T33">INDEX(InputArea,_xlfn.XMATCH($B$79,ColName),_xlfn.XMATCH(RIGHT(S32),RowName))</f>
        <v>0</v>
      </c>
      <c r="U33" s="103" cm="1">
        <f t="array" ref="U33">INDEX(InputArea,_xlfn.XMATCH($C$79,ColName),_xlfn.XMATCH(RIGHT(S32),RowName))</f>
        <v>0</v>
      </c>
      <c r="V33" s="104" cm="1">
        <f t="array" ref="V33">INDEX(InputArea,_xlfn.XMATCH($D$79,ColName),_xlfn.XMATCH(RIGHT(S32),RowName))</f>
        <v>0</v>
      </c>
      <c r="W33" s="103" cm="1">
        <f t="array" ref="W33">INDEX(InputArea,_xlfn.XMATCH($E$79,ColName),_xlfn.XMATCH(RIGHT(S32),RowName))</f>
        <v>0</v>
      </c>
      <c r="X33" s="79"/>
      <c r="Y33" s="103" cm="1">
        <f t="array" ref="Y33">INDEX(InputArea,_xlfn.XMATCH($A$79,ColName),_xlfn.XMATCH(RIGHT(Y32),RowName))</f>
        <v>0</v>
      </c>
      <c r="Z33" s="103" cm="1">
        <f t="array" ref="Z33">INDEX(InputArea,_xlfn.XMATCH($B$79,ColName),_xlfn.XMATCH(RIGHT(Y32),RowName))</f>
        <v>0</v>
      </c>
      <c r="AA33" s="103" cm="1">
        <f t="array" ref="AA33">INDEX(InputArea,_xlfn.XMATCH($C$79,ColName),_xlfn.XMATCH(RIGHT(Y32),RowName))</f>
        <v>0</v>
      </c>
      <c r="AB33" s="103" cm="1">
        <f t="array" ref="AB33">INDEX(InputArea,_xlfn.XMATCH($D$79,ColName),_xlfn.XMATCH(RIGHT(Y32),RowName))</f>
        <v>0</v>
      </c>
      <c r="AC33" s="104" cm="1">
        <f t="array" ref="AC33">INDEX(InputArea,_xlfn.XMATCH($E$79,ColName),_xlfn.XMATCH(RIGHT(Y32),RowName))</f>
        <v>0</v>
      </c>
      <c r="AD33" s="79"/>
      <c r="AE33" s="104" cm="1">
        <f t="array" ref="AE33">INDEX(InputArea,_xlfn.XMATCH($G$79,ColName),_xlfn.XMATCH(RIGHT(AE32),RowName))</f>
        <v>0</v>
      </c>
      <c r="AF33" s="103" cm="1">
        <f t="array" ref="AF33">INDEX(InputArea,_xlfn.XMATCH($H$79,ColName),_xlfn.XMATCH(RIGHT(AE32),RowName))</f>
        <v>0</v>
      </c>
      <c r="AG33" s="103" cm="1">
        <f t="array" ref="AG33">INDEX(InputArea,_xlfn.XMATCH($I$79,ColName),_xlfn.XMATCH(RIGHT(AE32),RowName))</f>
        <v>0</v>
      </c>
      <c r="AH33" s="103" cm="1">
        <f t="array" ref="AH33">INDEX(InputArea,_xlfn.XMATCH($J$79,ColName),_xlfn.XMATCH(RIGHT(AE32),RowName))</f>
        <v>0</v>
      </c>
      <c r="AI33" s="103" cm="1">
        <f t="array" ref="AI33">INDEX(InputArea,_xlfn.XMATCH($K$79,ColName),_xlfn.XMATCH(RIGHT(AE32),RowName))</f>
        <v>0</v>
      </c>
      <c r="AJ33" s="79"/>
      <c r="AK33" s="103" cm="1">
        <f t="array" ref="AK33">INDEX(InputArea,_xlfn.XMATCH($G$79,ColName),_xlfn.XMATCH(RIGHT(AK32),RowName))</f>
        <v>0</v>
      </c>
      <c r="AL33" s="104" cm="1">
        <f t="array" ref="AL33">INDEX(InputArea,_xlfn.XMATCH($H$79,ColName),_xlfn.XMATCH(RIGHT(AK32),RowName))</f>
        <v>0</v>
      </c>
      <c r="AM33" s="103" cm="1">
        <f t="array" ref="AM33">INDEX(InputArea,_xlfn.XMATCH($I$79,ColName),_xlfn.XMATCH(RIGHT(AK32),RowName))</f>
        <v>0</v>
      </c>
      <c r="AN33" s="103" cm="1">
        <f t="array" ref="AN33">INDEX(InputArea,_xlfn.XMATCH($J$79,ColName),_xlfn.XMATCH(RIGHT(AK32),RowName))</f>
        <v>0</v>
      </c>
      <c r="AO33" s="103" cm="1">
        <f t="array" ref="AO33">INDEX(InputArea,_xlfn.XMATCH($K$79,ColName),_xlfn.XMATCH(RIGHT(AK32),RowName))</f>
        <v>0</v>
      </c>
      <c r="AP33" s="79"/>
      <c r="AQ33" s="103" cm="1">
        <f t="array" ref="AQ33">INDEX(InputArea,_xlfn.XMATCH($G$79,ColName),_xlfn.XMATCH(RIGHT(AQ32),RowName))</f>
        <v>0</v>
      </c>
      <c r="AR33" s="103" cm="1">
        <f t="array" ref="AR33">INDEX(InputArea,_xlfn.XMATCH($H$79,ColName),_xlfn.XMATCH(RIGHT(AQ32),RowName))</f>
        <v>0</v>
      </c>
      <c r="AS33" s="104" cm="1">
        <f t="array" ref="AS33">INDEX(InputArea,_xlfn.XMATCH($I$79,ColName),_xlfn.XMATCH(RIGHT(AQ32),RowName))</f>
        <v>0</v>
      </c>
      <c r="AT33" s="103" cm="1">
        <f t="array" ref="AT33">INDEX(InputArea,_xlfn.XMATCH($J$79,ColName),_xlfn.XMATCH(RIGHT(AQ32),RowName))</f>
        <v>0</v>
      </c>
      <c r="AU33" s="103" cm="1">
        <f t="array" ref="AU33">INDEX(InputArea,_xlfn.XMATCH($K$79,ColName),_xlfn.XMATCH(RIGHT(AQ32),RowName))</f>
        <v>0</v>
      </c>
      <c r="AV33" s="79"/>
      <c r="AW33" s="103" cm="1">
        <f t="array" ref="AW33">INDEX(InputArea,_xlfn.XMATCH($G$79,ColName),_xlfn.XMATCH(RIGHT(AW32),RowName))</f>
        <v>0</v>
      </c>
      <c r="AX33" s="103" cm="1">
        <f t="array" ref="AX33">INDEX(InputArea,_xlfn.XMATCH($H$79,ColName),_xlfn.XMATCH(RIGHT(AW32),RowName))</f>
        <v>0</v>
      </c>
      <c r="AY33" s="103" cm="1">
        <f t="array" ref="AY33">INDEX(InputArea,_xlfn.XMATCH($I$79,ColName),_xlfn.XMATCH(RIGHT(AW32),RowName))</f>
        <v>0</v>
      </c>
      <c r="AZ33" s="104" cm="1">
        <f t="array" ref="AZ33">INDEX(InputArea,_xlfn.XMATCH($J$79,ColName),_xlfn.XMATCH(RIGHT(AW32),RowName))</f>
        <v>0</v>
      </c>
      <c r="BA33" s="103" cm="1">
        <f t="array" ref="BA33">INDEX(InputArea,_xlfn.XMATCH($K$79,ColName),_xlfn.XMATCH(RIGHT(AW32),RowName))</f>
        <v>0</v>
      </c>
      <c r="BB33" s="79"/>
      <c r="BC33" s="103" cm="1">
        <f t="array" ref="BC33">INDEX(InputArea,_xlfn.XMATCH($G$79,ColName),_xlfn.XMATCH(RIGHT(BC32),RowName))</f>
        <v>0</v>
      </c>
      <c r="BD33" s="103" cm="1">
        <f t="array" ref="BD33">INDEX(InputArea,_xlfn.XMATCH($H$79,ColName),_xlfn.XMATCH(RIGHT(BC32),RowName))</f>
        <v>0</v>
      </c>
      <c r="BE33" s="103" cm="1">
        <f t="array" ref="BE33">INDEX(InputArea,_xlfn.XMATCH($I$79,ColName),_xlfn.XMATCH(RIGHT(BC32),RowName))</f>
        <v>0</v>
      </c>
      <c r="BF33" s="103" cm="1">
        <f t="array" ref="BF33">INDEX(InputArea,_xlfn.XMATCH($J$79,ColName),_xlfn.XMATCH(RIGHT(BC32),RowName))</f>
        <v>0</v>
      </c>
      <c r="BG33" s="104" cm="1">
        <f t="array" ref="BG33">INDEX(InputArea,_xlfn.XMATCH($K$79,ColName),_xlfn.XMATCH(RIGHT(BC32),RowName))</f>
        <v>0</v>
      </c>
    </row>
    <row r="34" spans="1:59" ht="19.5" thickBot="1" x14ac:dyDescent="0.45">
      <c r="A34" s="103" cm="1">
        <f t="array" ref="A34">INDEX(InputArea,_xlfn.XMATCH($A$80,ColName),_xlfn.XMATCH(RIGHT(A32),RowName))</f>
        <v>0</v>
      </c>
      <c r="B34" s="103" cm="1">
        <f t="array" ref="B34">INDEX(InputArea,_xlfn.XMATCH($B$80,ColName),_xlfn.XMATCH(RIGHT(A32),RowName))</f>
        <v>0</v>
      </c>
      <c r="C34" s="103" cm="1">
        <f t="array" ref="C34">INDEX(InputArea,_xlfn.XMATCH($C$80,ColName),_xlfn.XMATCH(RIGHT(A32),RowName))</f>
        <v>0</v>
      </c>
      <c r="D34" s="102" cm="1">
        <f t="array" ref="D34">INDEX(InputArea,_xlfn.XMATCH($D$80,ColName),_xlfn.XMATCH(RIGHT(A32),RowName))</f>
        <v>0</v>
      </c>
      <c r="E34" s="103" cm="1">
        <f t="array" ref="E34">INDEX(InputArea,_xlfn.XMATCH($E$80,ColName),_xlfn.XMATCH(RIGHT(A32),RowName))</f>
        <v>0</v>
      </c>
      <c r="F34" s="79"/>
      <c r="G34" s="103" cm="1">
        <f t="array" ref="G34">INDEX(InputArea,_xlfn.XMATCH($A$80,ColName),_xlfn.XMATCH(RIGHT(G32),RowName))</f>
        <v>0</v>
      </c>
      <c r="H34" s="103" cm="1">
        <f t="array" ref="H34">INDEX(InputArea,_xlfn.XMATCH($B$80,ColName),_xlfn.XMATCH(RIGHT(G32),RowName))</f>
        <v>0</v>
      </c>
      <c r="I34" s="103" cm="1">
        <f t="array" ref="I34">INDEX(InputArea,_xlfn.XMATCH($C$80,ColName),_xlfn.XMATCH(RIGHT(G32),RowName))</f>
        <v>0</v>
      </c>
      <c r="J34" s="102" cm="1">
        <f t="array" ref="J34">INDEX(InputArea,_xlfn.XMATCH($D$80,ColName),_xlfn.XMATCH(RIGHT(G32),RowName))</f>
        <v>0</v>
      </c>
      <c r="K34" s="103" cm="1">
        <f t="array" ref="K34">INDEX(InputArea,_xlfn.XMATCH($E$80,ColName),_xlfn.XMATCH(RIGHT(G32),RowName))</f>
        <v>0</v>
      </c>
      <c r="L34" s="79"/>
      <c r="M34" s="103" cm="1">
        <f t="array" ref="M34">INDEX(InputArea,_xlfn.XMATCH($A$80,ColName),_xlfn.XMATCH(RIGHT(M32),RowName))</f>
        <v>0</v>
      </c>
      <c r="N34" s="103" cm="1">
        <f t="array" ref="N34">INDEX(InputArea,_xlfn.XMATCH($B$80,ColName),_xlfn.XMATCH(RIGHT(M32),RowName))</f>
        <v>0</v>
      </c>
      <c r="O34" s="103" cm="1">
        <f t="array" ref="O34">INDEX(InputArea,_xlfn.XMATCH($C$80,ColName),_xlfn.XMATCH(RIGHT(M32),RowName))</f>
        <v>0</v>
      </c>
      <c r="P34" s="102" cm="1">
        <f t="array" ref="P34">INDEX(InputArea,_xlfn.XMATCH($D$80,ColName),_xlfn.XMATCH(RIGHT(M32),RowName))</f>
        <v>0</v>
      </c>
      <c r="Q34" s="103" cm="1">
        <f t="array" ref="Q34">INDEX(InputArea,_xlfn.XMATCH($E$80,ColName),_xlfn.XMATCH(RIGHT(M32),RowName))</f>
        <v>0</v>
      </c>
      <c r="R34" s="79"/>
      <c r="S34" s="103" cm="1">
        <f t="array" ref="S34">INDEX(InputArea,_xlfn.XMATCH($A$80,ColName),_xlfn.XMATCH(RIGHT(S32),RowName))</f>
        <v>0</v>
      </c>
      <c r="T34" s="103" cm="1">
        <f t="array" ref="T34">INDEX(InputArea,_xlfn.XMATCH($B$80,ColName),_xlfn.XMATCH(RIGHT(S32),RowName))</f>
        <v>0</v>
      </c>
      <c r="U34" s="103" cm="1">
        <f t="array" ref="U34">INDEX(InputArea,_xlfn.XMATCH($C$80,ColName),_xlfn.XMATCH(RIGHT(S32),RowName))</f>
        <v>0</v>
      </c>
      <c r="V34" s="102" cm="1">
        <f t="array" ref="V34">INDEX(InputArea,_xlfn.XMATCH($D$80,ColName),_xlfn.XMATCH(RIGHT(S32),RowName))</f>
        <v>0</v>
      </c>
      <c r="W34" s="103" cm="1">
        <f t="array" ref="W34">INDEX(InputArea,_xlfn.XMATCH($E$80,ColName),_xlfn.XMATCH(RIGHT(S32),RowName))</f>
        <v>0</v>
      </c>
      <c r="X34" s="79"/>
      <c r="Y34" s="103" cm="1">
        <f t="array" ref="Y34">INDEX(InputArea,_xlfn.XMATCH($A$80,ColName),_xlfn.XMATCH(RIGHT(Y32),RowName))</f>
        <v>0</v>
      </c>
      <c r="Z34" s="103" cm="1">
        <f t="array" ref="Z34">INDEX(InputArea,_xlfn.XMATCH($B$80,ColName),_xlfn.XMATCH(RIGHT(Y32),RowName))</f>
        <v>0</v>
      </c>
      <c r="AA34" s="103" cm="1">
        <f t="array" ref="AA34">INDEX(InputArea,_xlfn.XMATCH($C$80,ColName),_xlfn.XMATCH(RIGHT(Y32),RowName))</f>
        <v>0</v>
      </c>
      <c r="AB34" s="102" cm="1">
        <f t="array" ref="AB34">INDEX(InputArea,_xlfn.XMATCH($D$80,ColName),_xlfn.XMATCH(RIGHT(Y32),RowName))</f>
        <v>0</v>
      </c>
      <c r="AC34" s="103" cm="1">
        <f t="array" ref="AC34">INDEX(InputArea,_xlfn.XMATCH($E$80,ColName),_xlfn.XMATCH(RIGHT(Y32),RowName))</f>
        <v>0</v>
      </c>
      <c r="AD34" s="79"/>
      <c r="AE34" s="103" cm="1">
        <f t="array" ref="AE34">INDEX(InputArea,_xlfn.XMATCH($G$80,ColName),_xlfn.XMATCH(RIGHT(AE32),RowName))</f>
        <v>0</v>
      </c>
      <c r="AF34" s="102" cm="1">
        <f t="array" ref="AF34">INDEX(InputArea,_xlfn.XMATCH($H$80,ColName),_xlfn.XMATCH(RIGHT(AE32),RowName))</f>
        <v>0</v>
      </c>
      <c r="AG34" s="103" cm="1">
        <f t="array" ref="AG34">INDEX(InputArea,_xlfn.XMATCH($I$80,ColName),_xlfn.XMATCH(RIGHT(AE32),RowName))</f>
        <v>0</v>
      </c>
      <c r="AH34" s="103" cm="1">
        <f t="array" ref="AH34">INDEX(InputArea,_xlfn.XMATCH($J$80,ColName),_xlfn.XMATCH(RIGHT(AE32),RowName))</f>
        <v>0</v>
      </c>
      <c r="AI34" s="103" cm="1">
        <f t="array" ref="AI34">INDEX(InputArea,_xlfn.XMATCH($K$80,ColName),_xlfn.XMATCH(RIGHT(AE32),RowName))</f>
        <v>0</v>
      </c>
      <c r="AJ34" s="79"/>
      <c r="AK34" s="103" cm="1">
        <f t="array" ref="AK34">INDEX(InputArea,_xlfn.XMATCH($G$80,ColName),_xlfn.XMATCH(RIGHT(AK32),RowName))</f>
        <v>0</v>
      </c>
      <c r="AL34" s="102" cm="1">
        <f t="array" ref="AL34">INDEX(InputArea,_xlfn.XMATCH($H$80,ColName),_xlfn.XMATCH(RIGHT(AK32),RowName))</f>
        <v>0</v>
      </c>
      <c r="AM34" s="103" cm="1">
        <f t="array" ref="AM34">INDEX(InputArea,_xlfn.XMATCH($I$80,ColName),_xlfn.XMATCH(RIGHT(AK32),RowName))</f>
        <v>0</v>
      </c>
      <c r="AN34" s="103" cm="1">
        <f t="array" ref="AN34">INDEX(InputArea,_xlfn.XMATCH($J$80,ColName),_xlfn.XMATCH(RIGHT(AK32),RowName))</f>
        <v>0</v>
      </c>
      <c r="AO34" s="103" cm="1">
        <f t="array" ref="AO34">INDEX(InputArea,_xlfn.XMATCH($K$80,ColName),_xlfn.XMATCH(RIGHT(AK32),RowName))</f>
        <v>0</v>
      </c>
      <c r="AP34" s="79"/>
      <c r="AQ34" s="103" cm="1">
        <f t="array" ref="AQ34">INDEX(InputArea,_xlfn.XMATCH($G$80,ColName),_xlfn.XMATCH(RIGHT(AQ32),RowName))</f>
        <v>0</v>
      </c>
      <c r="AR34" s="102" cm="1">
        <f t="array" ref="AR34">INDEX(InputArea,_xlfn.XMATCH($H$80,ColName),_xlfn.XMATCH(RIGHT(AQ32),RowName))</f>
        <v>0</v>
      </c>
      <c r="AS34" s="103" cm="1">
        <f t="array" ref="AS34">INDEX(InputArea,_xlfn.XMATCH($I$80,ColName),_xlfn.XMATCH(RIGHT(AQ32),RowName))</f>
        <v>0</v>
      </c>
      <c r="AT34" s="103" cm="1">
        <f t="array" ref="AT34">INDEX(InputArea,_xlfn.XMATCH($J$80,ColName),_xlfn.XMATCH(RIGHT(AQ32),RowName))</f>
        <v>0</v>
      </c>
      <c r="AU34" s="103" cm="1">
        <f t="array" ref="AU34">INDEX(InputArea,_xlfn.XMATCH($K$80,ColName),_xlfn.XMATCH(RIGHT(AQ32),RowName))</f>
        <v>0</v>
      </c>
      <c r="AV34" s="79"/>
      <c r="AW34" s="103" cm="1">
        <f t="array" ref="AW34">INDEX(InputArea,_xlfn.XMATCH($G$80,ColName),_xlfn.XMATCH(RIGHT(AW32),RowName))</f>
        <v>0</v>
      </c>
      <c r="AX34" s="102" cm="1">
        <f t="array" ref="AX34">INDEX(InputArea,_xlfn.XMATCH($H$80,ColName),_xlfn.XMATCH(RIGHT(AW32),RowName))</f>
        <v>0</v>
      </c>
      <c r="AY34" s="103" cm="1">
        <f t="array" ref="AY34">INDEX(InputArea,_xlfn.XMATCH($I$80,ColName),_xlfn.XMATCH(RIGHT(AW32),RowName))</f>
        <v>0</v>
      </c>
      <c r="AZ34" s="103" cm="1">
        <f t="array" ref="AZ34">INDEX(InputArea,_xlfn.XMATCH($J$80,ColName),_xlfn.XMATCH(RIGHT(AW32),RowName))</f>
        <v>0</v>
      </c>
      <c r="BA34" s="103" cm="1">
        <f t="array" ref="BA34">INDEX(InputArea,_xlfn.XMATCH($K$80,ColName),_xlfn.XMATCH(RIGHT(AW32),RowName))</f>
        <v>0</v>
      </c>
      <c r="BB34" s="79"/>
      <c r="BC34" s="103" cm="1">
        <f t="array" ref="BC34">INDEX(InputArea,_xlfn.XMATCH($G$80,ColName),_xlfn.XMATCH(RIGHT(BC32),RowName))</f>
        <v>0</v>
      </c>
      <c r="BD34" s="102" cm="1">
        <f t="array" ref="BD34">INDEX(InputArea,_xlfn.XMATCH($H$80,ColName),_xlfn.XMATCH(RIGHT(BC32),RowName))</f>
        <v>0</v>
      </c>
      <c r="BE34" s="103" cm="1">
        <f t="array" ref="BE34">INDEX(InputArea,_xlfn.XMATCH($I$80,ColName),_xlfn.XMATCH(RIGHT(BC32),RowName))</f>
        <v>0</v>
      </c>
      <c r="BF34" s="103" cm="1">
        <f t="array" ref="BF34">INDEX(InputArea,_xlfn.XMATCH($J$80,ColName),_xlfn.XMATCH(RIGHT(BC32),RowName))</f>
        <v>0</v>
      </c>
      <c r="BG34" s="103" cm="1">
        <f t="array" ref="BG34">INDEX(InputArea,_xlfn.XMATCH($K$80,ColName),_xlfn.XMATCH(RIGHT(BC32),RowName))</f>
        <v>0</v>
      </c>
    </row>
    <row r="35" spans="1:59" x14ac:dyDescent="0.4">
      <c r="A35" s="103" cm="1">
        <f t="array" ref="A35">INDEX(InputArea,_xlfn.XMATCH($A$81,ColName),_xlfn.XMATCH(RIGHT(A32),RowName))</f>
        <v>0</v>
      </c>
      <c r="B35" s="103" cm="1">
        <f t="array" ref="B35">INDEX(InputArea,_xlfn.XMATCH($B$81,ColName),_xlfn.XMATCH(RIGHT(A32),RowName))</f>
        <v>0</v>
      </c>
      <c r="C35" s="103" cm="1">
        <f t="array" ref="C35">INDEX(InputArea,_xlfn.XMATCH($C$81,ColName),_xlfn.XMATCH(RIGHT(A32),RowName))</f>
        <v>0</v>
      </c>
      <c r="D35" s="103" cm="1">
        <f t="array" ref="D35">INDEX(InputArea,_xlfn.XMATCH($D$81,ColName),_xlfn.XMATCH(RIGHT(A32),RowName))</f>
        <v>0</v>
      </c>
      <c r="E35" s="103" cm="1">
        <f t="array" ref="E35">INDEX(InputArea,_xlfn.XMATCH($E$81,ColName),_xlfn.XMATCH(RIGHT(A32),RowName))</f>
        <v>0</v>
      </c>
      <c r="F35" s="79"/>
      <c r="G35" s="103" cm="1">
        <f t="array" ref="G35">INDEX(InputArea,_xlfn.XMATCH($A$81,ColName),_xlfn.XMATCH(RIGHT(G32),RowName))</f>
        <v>0</v>
      </c>
      <c r="H35" s="103" cm="1">
        <f t="array" ref="H35">INDEX(InputArea,_xlfn.XMATCH($B$81,ColName),_xlfn.XMATCH(RIGHT(G32),RowName))</f>
        <v>0</v>
      </c>
      <c r="I35" s="103" cm="1">
        <f t="array" ref="I35">INDEX(InputArea,_xlfn.XMATCH($C$81,ColName),_xlfn.XMATCH(RIGHT(G32),RowName))</f>
        <v>0</v>
      </c>
      <c r="J35" s="103" cm="1">
        <f t="array" ref="J35">INDEX(InputArea,_xlfn.XMATCH($D$81,ColName),_xlfn.XMATCH(RIGHT(G32),RowName))</f>
        <v>0</v>
      </c>
      <c r="K35" s="103" cm="1">
        <f t="array" ref="K35">INDEX(InputArea,_xlfn.XMATCH($E$81,ColName),_xlfn.XMATCH(RIGHT(G32),RowName))</f>
        <v>0</v>
      </c>
      <c r="L35" s="79"/>
      <c r="M35" s="103" cm="1">
        <f t="array" ref="M35">INDEX(InputArea,_xlfn.XMATCH($A$81,ColName),_xlfn.XMATCH(RIGHT(M32),RowName))</f>
        <v>0</v>
      </c>
      <c r="N35" s="103" cm="1">
        <f t="array" ref="N35">INDEX(InputArea,_xlfn.XMATCH($B$81,ColName),_xlfn.XMATCH(RIGHT(M32),RowName))</f>
        <v>0</v>
      </c>
      <c r="O35" s="103" cm="1">
        <f t="array" ref="O35">INDEX(InputArea,_xlfn.XMATCH($C$81,ColName),_xlfn.XMATCH(RIGHT(M32),RowName))</f>
        <v>0</v>
      </c>
      <c r="P35" s="103" cm="1">
        <f t="array" ref="P35">INDEX(InputArea,_xlfn.XMATCH($D$81,ColName),_xlfn.XMATCH(RIGHT(M32),RowName))</f>
        <v>0</v>
      </c>
      <c r="Q35" s="103" cm="1">
        <f t="array" ref="Q35">INDEX(InputArea,_xlfn.XMATCH($E$81,ColName),_xlfn.XMATCH(RIGHT(M32),RowName))</f>
        <v>0</v>
      </c>
      <c r="R35" s="79"/>
      <c r="S35" s="103" cm="1">
        <f t="array" ref="S35">INDEX(InputArea,_xlfn.XMATCH($A$81,ColName),_xlfn.XMATCH(RIGHT(S32),RowName))</f>
        <v>0</v>
      </c>
      <c r="T35" s="103" cm="1">
        <f t="array" ref="T35">INDEX(InputArea,_xlfn.XMATCH($B$81,ColName),_xlfn.XMATCH(RIGHT(S32),RowName))</f>
        <v>0</v>
      </c>
      <c r="U35" s="103" cm="1">
        <f t="array" ref="U35">INDEX(InputArea,_xlfn.XMATCH($C$81,ColName),_xlfn.XMATCH(RIGHT(S32),RowName))</f>
        <v>0</v>
      </c>
      <c r="V35" s="103" cm="1">
        <f t="array" ref="V35">INDEX(InputArea,_xlfn.XMATCH($D$81,ColName),_xlfn.XMATCH(RIGHT(S32),RowName))</f>
        <v>0</v>
      </c>
      <c r="W35" s="103" cm="1">
        <f t="array" ref="W35">INDEX(InputArea,_xlfn.XMATCH($E$81,ColName),_xlfn.XMATCH(RIGHT(S32),RowName))</f>
        <v>0</v>
      </c>
      <c r="X35" s="79"/>
      <c r="Y35" s="103" cm="1">
        <f t="array" ref="Y35">INDEX(InputArea,_xlfn.XMATCH($A$81,ColName),_xlfn.XMATCH(RIGHT(Y32),RowName))</f>
        <v>0</v>
      </c>
      <c r="Z35" s="103" cm="1">
        <f t="array" ref="Z35">INDEX(InputArea,_xlfn.XMATCH($B$81,ColName),_xlfn.XMATCH(RIGHT(Y32),RowName))</f>
        <v>0</v>
      </c>
      <c r="AA35" s="103" cm="1">
        <f t="array" ref="AA35">INDEX(InputArea,_xlfn.XMATCH($C$81,ColName),_xlfn.XMATCH(RIGHT(Y32),RowName))</f>
        <v>0</v>
      </c>
      <c r="AB35" s="103" cm="1">
        <f t="array" ref="AB35">INDEX(InputArea,_xlfn.XMATCH($D$81,ColName),_xlfn.XMATCH(RIGHT(Y32),RowName))</f>
        <v>0</v>
      </c>
      <c r="AC35" s="103" cm="1">
        <f t="array" ref="AC35">INDEX(InputArea,_xlfn.XMATCH($E$81,ColName),_xlfn.XMATCH(RIGHT(Y32),RowName))</f>
        <v>0</v>
      </c>
      <c r="AD35" s="79"/>
      <c r="AE35" s="103" cm="1">
        <f t="array" ref="AE35">INDEX(InputArea,_xlfn.XMATCH($G$81,ColName),_xlfn.XMATCH(RIGHT(AE32),RowName))</f>
        <v>0</v>
      </c>
      <c r="AF35" s="103" cm="1">
        <f t="array" ref="AF35">INDEX(InputArea,_xlfn.XMATCH($H$81,ColName),_xlfn.XMATCH(RIGHT(AE32),RowName))</f>
        <v>0</v>
      </c>
      <c r="AG35" s="103" cm="1">
        <f t="array" ref="AG35">INDEX(InputArea,_xlfn.XMATCH($I$81,ColName),_xlfn.XMATCH(RIGHT(AE32),RowName))</f>
        <v>0</v>
      </c>
      <c r="AH35" s="103" cm="1">
        <f t="array" ref="AH35">INDEX(InputArea,_xlfn.XMATCH($J$81,ColName),_xlfn.XMATCH(RIGHT(AE32),RowName))</f>
        <v>0</v>
      </c>
      <c r="AI35" s="103" cm="1">
        <f t="array" ref="AI35">INDEX(InputArea,_xlfn.XMATCH($K$81,ColName),_xlfn.XMATCH(RIGHT(AE32),RowName))</f>
        <v>0</v>
      </c>
      <c r="AJ35" s="79"/>
      <c r="AK35" s="103" cm="1">
        <f t="array" ref="AK35">INDEX(InputArea,_xlfn.XMATCH($G$81,ColName),_xlfn.XMATCH(RIGHT(AK32),RowName))</f>
        <v>0</v>
      </c>
      <c r="AL35" s="103" cm="1">
        <f t="array" ref="AL35">INDEX(InputArea,_xlfn.XMATCH($H$81,ColName),_xlfn.XMATCH(RIGHT(AK32),RowName))</f>
        <v>0</v>
      </c>
      <c r="AM35" s="103" cm="1">
        <f t="array" ref="AM35">INDEX(InputArea,_xlfn.XMATCH($I$81,ColName),_xlfn.XMATCH(RIGHT(AK32),RowName))</f>
        <v>0</v>
      </c>
      <c r="AN35" s="103" cm="1">
        <f t="array" ref="AN35">INDEX(InputArea,_xlfn.XMATCH($J$81,ColName),_xlfn.XMATCH(RIGHT(AK32),RowName))</f>
        <v>0</v>
      </c>
      <c r="AO35" s="103" cm="1">
        <f t="array" ref="AO35">INDEX(InputArea,_xlfn.XMATCH($K$81,ColName),_xlfn.XMATCH(RIGHT(AK32),RowName))</f>
        <v>0</v>
      </c>
      <c r="AP35" s="79"/>
      <c r="AQ35" s="103" cm="1">
        <f t="array" ref="AQ35">INDEX(InputArea,_xlfn.XMATCH($G$81,ColName),_xlfn.XMATCH(RIGHT(AQ32),RowName))</f>
        <v>0</v>
      </c>
      <c r="AR35" s="103" cm="1">
        <f t="array" ref="AR35">INDEX(InputArea,_xlfn.XMATCH($H$81,ColName),_xlfn.XMATCH(RIGHT(AQ32),RowName))</f>
        <v>0</v>
      </c>
      <c r="AS35" s="103" cm="1">
        <f t="array" ref="AS35">INDEX(InputArea,_xlfn.XMATCH($I$81,ColName),_xlfn.XMATCH(RIGHT(AQ32),RowName))</f>
        <v>0</v>
      </c>
      <c r="AT35" s="103" cm="1">
        <f t="array" ref="AT35">INDEX(InputArea,_xlfn.XMATCH($J$81,ColName),_xlfn.XMATCH(RIGHT(AQ32),RowName))</f>
        <v>0</v>
      </c>
      <c r="AU35" s="103" cm="1">
        <f t="array" ref="AU35">INDEX(InputArea,_xlfn.XMATCH($K$81,ColName),_xlfn.XMATCH(RIGHT(AQ32),RowName))</f>
        <v>0</v>
      </c>
      <c r="AV35" s="79"/>
      <c r="AW35" s="103" cm="1">
        <f t="array" ref="AW35">INDEX(InputArea,_xlfn.XMATCH($G$81,ColName),_xlfn.XMATCH(RIGHT(AW32),RowName))</f>
        <v>0</v>
      </c>
      <c r="AX35" s="103" cm="1">
        <f t="array" ref="AX35">INDEX(InputArea,_xlfn.XMATCH($H$81,ColName),_xlfn.XMATCH(RIGHT(AW32),RowName))</f>
        <v>0</v>
      </c>
      <c r="AY35" s="103" cm="1">
        <f t="array" ref="AY35">INDEX(InputArea,_xlfn.XMATCH($I$81,ColName),_xlfn.XMATCH(RIGHT(AW32),RowName))</f>
        <v>0</v>
      </c>
      <c r="AZ35" s="103" cm="1">
        <f t="array" ref="AZ35">INDEX(InputArea,_xlfn.XMATCH($J$81,ColName),_xlfn.XMATCH(RIGHT(AW32),RowName))</f>
        <v>0</v>
      </c>
      <c r="BA35" s="103" cm="1">
        <f t="array" ref="BA35">INDEX(InputArea,_xlfn.XMATCH($K$81,ColName),_xlfn.XMATCH(RIGHT(AW32),RowName))</f>
        <v>0</v>
      </c>
      <c r="BB35" s="79"/>
      <c r="BC35" s="103" cm="1">
        <f t="array" ref="BC35">INDEX(InputArea,_xlfn.XMATCH($G$81,ColName),_xlfn.XMATCH(RIGHT(BC32),RowName))</f>
        <v>0</v>
      </c>
      <c r="BD35" s="103" cm="1">
        <f t="array" ref="BD35">INDEX(InputArea,_xlfn.XMATCH($H$81,ColName),_xlfn.XMATCH(RIGHT(BC32),RowName))</f>
        <v>0</v>
      </c>
      <c r="BE35" s="103" cm="1">
        <f t="array" ref="BE35">INDEX(InputArea,_xlfn.XMATCH($I$81,ColName),_xlfn.XMATCH(RIGHT(BC32),RowName))</f>
        <v>0</v>
      </c>
      <c r="BF35" s="103" cm="1">
        <f t="array" ref="BF35">INDEX(InputArea,_xlfn.XMATCH($J$81,ColName),_xlfn.XMATCH(RIGHT(BC32),RowName))</f>
        <v>0</v>
      </c>
      <c r="BG35" s="103" cm="1">
        <f t="array" ref="BG35">INDEX(InputArea,_xlfn.XMATCH($K$81,ColName),_xlfn.XMATCH(RIGHT(BC32),RowName))</f>
        <v>0</v>
      </c>
    </row>
    <row r="36" spans="1:59" x14ac:dyDescent="0.4">
      <c r="A36" s="79" t="s">
        <v>37</v>
      </c>
      <c r="B36" s="79"/>
      <c r="C36" s="79"/>
      <c r="D36" s="79"/>
      <c r="E36" s="79"/>
      <c r="F36" s="79"/>
      <c r="G36" s="79" t="s">
        <v>38</v>
      </c>
      <c r="H36" s="79"/>
      <c r="I36" s="79"/>
      <c r="J36" s="79"/>
      <c r="K36" s="79"/>
      <c r="L36" s="79"/>
      <c r="M36" s="79" t="s">
        <v>39</v>
      </c>
      <c r="N36" s="79"/>
      <c r="O36" s="79"/>
      <c r="P36" s="79"/>
      <c r="Q36" s="79"/>
      <c r="R36" s="79"/>
      <c r="S36" s="79" t="s">
        <v>40</v>
      </c>
      <c r="T36" s="79"/>
      <c r="U36" s="79"/>
      <c r="V36" s="79"/>
      <c r="W36" s="79"/>
      <c r="X36" s="79"/>
      <c r="Y36" s="79" t="s">
        <v>41</v>
      </c>
      <c r="Z36" s="79"/>
      <c r="AA36" s="79"/>
      <c r="AB36" s="79"/>
      <c r="AC36" s="79"/>
      <c r="AD36" s="79"/>
      <c r="AE36" s="79" t="s">
        <v>52</v>
      </c>
      <c r="AF36" s="79"/>
      <c r="AG36" s="79"/>
      <c r="AH36" s="79"/>
      <c r="AI36" s="79"/>
      <c r="AJ36" s="79"/>
      <c r="AK36" s="79" t="s">
        <v>53</v>
      </c>
      <c r="AL36" s="79"/>
      <c r="AM36" s="79"/>
      <c r="AN36" s="79"/>
      <c r="AO36" s="79"/>
      <c r="AP36" s="79"/>
      <c r="AQ36" s="79" t="s">
        <v>54</v>
      </c>
      <c r="AR36" s="79"/>
      <c r="AS36" s="79"/>
      <c r="AT36" s="79"/>
      <c r="AU36" s="79"/>
      <c r="AV36" s="79"/>
      <c r="AW36" s="79" t="s">
        <v>55</v>
      </c>
      <c r="AX36" s="79"/>
      <c r="AY36" s="79"/>
      <c r="AZ36" s="79"/>
      <c r="BA36" s="79"/>
      <c r="BB36" s="79"/>
      <c r="BC36" s="79" t="s">
        <v>56</v>
      </c>
      <c r="BD36" s="79"/>
      <c r="BE36" s="79"/>
      <c r="BF36" s="79"/>
      <c r="BG36" s="79"/>
    </row>
    <row r="37" spans="1:59" ht="19.5" thickBot="1" x14ac:dyDescent="0.45">
      <c r="A37" s="103" cm="1">
        <f t="array" ref="A37">INDEX(InputArea,_xlfn.XMATCH($A$79,ColName),_xlfn.XMATCH(RIGHT(A36),RowName))</f>
        <v>0</v>
      </c>
      <c r="B37" s="103" cm="1">
        <f t="array" ref="B37">INDEX(InputArea,_xlfn.XMATCH($B$79,ColName),_xlfn.XMATCH(RIGHT(A36),RowName))</f>
        <v>0</v>
      </c>
      <c r="C37" s="103" cm="1">
        <f t="array" ref="C37">INDEX(InputArea,_xlfn.XMATCH($C$79,ColName),_xlfn.XMATCH(RIGHT(A36),RowName))</f>
        <v>0</v>
      </c>
      <c r="D37" s="103" cm="1">
        <f t="array" ref="D37">INDEX(InputArea,_xlfn.XMATCH($D$79,ColName),_xlfn.XMATCH(RIGHT(A36),RowName))</f>
        <v>0</v>
      </c>
      <c r="E37" s="103" cm="1">
        <f t="array" ref="E37">INDEX(InputArea,_xlfn.XMATCH($E$79,ColName),_xlfn.XMATCH(RIGHT(A36),RowName))</f>
        <v>0</v>
      </c>
      <c r="F37" s="79"/>
      <c r="G37" s="103" cm="1">
        <f t="array" ref="G37">INDEX(InputArea,_xlfn.XMATCH($A$79,ColName),_xlfn.XMATCH(RIGHT(G36),RowName))</f>
        <v>0</v>
      </c>
      <c r="H37" s="103" cm="1">
        <f t="array" ref="H37">INDEX(InputArea,_xlfn.XMATCH($B$79,ColName),_xlfn.XMATCH(RIGHT(G36),RowName))</f>
        <v>0</v>
      </c>
      <c r="I37" s="103" cm="1">
        <f t="array" ref="I37">INDEX(InputArea,_xlfn.XMATCH($C$79,ColName),_xlfn.XMATCH(RIGHT(G36),RowName))</f>
        <v>0</v>
      </c>
      <c r="J37" s="103" cm="1">
        <f t="array" ref="J37">INDEX(InputArea,_xlfn.XMATCH($D$79,ColName),_xlfn.XMATCH(RIGHT(G36),RowName))</f>
        <v>0</v>
      </c>
      <c r="K37" s="103" cm="1">
        <f t="array" ref="K37">INDEX(InputArea,_xlfn.XMATCH($E$79,ColName),_xlfn.XMATCH(RIGHT(G36),RowName))</f>
        <v>0</v>
      </c>
      <c r="L37" s="79"/>
      <c r="M37" s="103" cm="1">
        <f t="array" ref="M37">INDEX(InputArea,_xlfn.XMATCH($A$79,ColName),_xlfn.XMATCH(RIGHT(M36),RowName))</f>
        <v>0</v>
      </c>
      <c r="N37" s="103" cm="1">
        <f t="array" ref="N37">INDEX(InputArea,_xlfn.XMATCH($B$79,ColName),_xlfn.XMATCH(RIGHT(M36),RowName))</f>
        <v>0</v>
      </c>
      <c r="O37" s="103" cm="1">
        <f t="array" ref="O37">INDEX(InputArea,_xlfn.XMATCH($C$79,ColName),_xlfn.XMATCH(RIGHT(M36),RowName))</f>
        <v>0</v>
      </c>
      <c r="P37" s="103" cm="1">
        <f t="array" ref="P37">INDEX(InputArea,_xlfn.XMATCH($D$79,ColName),_xlfn.XMATCH(RIGHT(M36),RowName))</f>
        <v>0</v>
      </c>
      <c r="Q37" s="103" cm="1">
        <f t="array" ref="Q37">INDEX(InputArea,_xlfn.XMATCH($E$79,ColName),_xlfn.XMATCH(RIGHT(M36),RowName))</f>
        <v>0</v>
      </c>
      <c r="R37" s="79"/>
      <c r="S37" s="103" cm="1">
        <f t="array" ref="S37">INDEX(InputArea,_xlfn.XMATCH($A$79,ColName),_xlfn.XMATCH(RIGHT(S36),RowName))</f>
        <v>0</v>
      </c>
      <c r="T37" s="103" cm="1">
        <f t="array" ref="T37">INDEX(InputArea,_xlfn.XMATCH($B$79,ColName),_xlfn.XMATCH(RIGHT(S36),RowName))</f>
        <v>0</v>
      </c>
      <c r="U37" s="103" cm="1">
        <f t="array" ref="U37">INDEX(InputArea,_xlfn.XMATCH($C$79,ColName),_xlfn.XMATCH(RIGHT(S36),RowName))</f>
        <v>0</v>
      </c>
      <c r="V37" s="103" cm="1">
        <f t="array" ref="V37">INDEX(InputArea,_xlfn.XMATCH($D$79,ColName),_xlfn.XMATCH(RIGHT(S36),RowName))</f>
        <v>0</v>
      </c>
      <c r="W37" s="103" cm="1">
        <f t="array" ref="W37">INDEX(InputArea,_xlfn.XMATCH($E$79,ColName),_xlfn.XMATCH(RIGHT(S36),RowName))</f>
        <v>0</v>
      </c>
      <c r="X37" s="79"/>
      <c r="Y37" s="103" cm="1">
        <f t="array" ref="Y37">INDEX(InputArea,_xlfn.XMATCH($A$79,ColName),_xlfn.XMATCH(RIGHT(Y36),RowName))</f>
        <v>0</v>
      </c>
      <c r="Z37" s="103" cm="1">
        <f t="array" ref="Z37">INDEX(InputArea,_xlfn.XMATCH($B$79,ColName),_xlfn.XMATCH(RIGHT(Y36),RowName))</f>
        <v>0</v>
      </c>
      <c r="AA37" s="103" cm="1">
        <f t="array" ref="AA37">INDEX(InputArea,_xlfn.XMATCH($C$79,ColName),_xlfn.XMATCH(RIGHT(Y36),RowName))</f>
        <v>0</v>
      </c>
      <c r="AB37" s="103" cm="1">
        <f t="array" ref="AB37">INDEX(InputArea,_xlfn.XMATCH($D$79,ColName),_xlfn.XMATCH(RIGHT(Y36),RowName))</f>
        <v>0</v>
      </c>
      <c r="AC37" s="103" cm="1">
        <f t="array" ref="AC37">INDEX(InputArea,_xlfn.XMATCH($E$79,ColName),_xlfn.XMATCH(RIGHT(Y36),RowName))</f>
        <v>0</v>
      </c>
      <c r="AD37" s="79"/>
      <c r="AE37" s="103" cm="1">
        <f t="array" ref="AE37">INDEX(InputArea,_xlfn.XMATCH($G$79,ColName),_xlfn.XMATCH(RIGHT(AE36),RowName))</f>
        <v>0</v>
      </c>
      <c r="AF37" s="103" cm="1">
        <f t="array" ref="AF37">INDEX(InputArea,_xlfn.XMATCH($H$79,ColName),_xlfn.XMATCH(RIGHT(AE36),RowName))</f>
        <v>0</v>
      </c>
      <c r="AG37" s="103" cm="1">
        <f t="array" ref="AG37">INDEX(InputArea,_xlfn.XMATCH($I$79,ColName),_xlfn.XMATCH(RIGHT(AE36),RowName))</f>
        <v>0</v>
      </c>
      <c r="AH37" s="103" cm="1">
        <f t="array" ref="AH37">INDEX(InputArea,_xlfn.XMATCH($J$79,ColName),_xlfn.XMATCH(RIGHT(AE36),RowName))</f>
        <v>0</v>
      </c>
      <c r="AI37" s="103" cm="1">
        <f t="array" ref="AI37">INDEX(InputArea,_xlfn.XMATCH($K$79,ColName),_xlfn.XMATCH(RIGHT(AE36),RowName))</f>
        <v>0</v>
      </c>
      <c r="AJ37" s="79"/>
      <c r="AK37" s="103" cm="1">
        <f t="array" ref="AK37">INDEX(InputArea,_xlfn.XMATCH($G$79,ColName),_xlfn.XMATCH(RIGHT(AK36),RowName))</f>
        <v>0</v>
      </c>
      <c r="AL37" s="103" cm="1">
        <f t="array" ref="AL37">INDEX(InputArea,_xlfn.XMATCH($H$79,ColName),_xlfn.XMATCH(RIGHT(AK36),RowName))</f>
        <v>0</v>
      </c>
      <c r="AM37" s="103" cm="1">
        <f t="array" ref="AM37">INDEX(InputArea,_xlfn.XMATCH($I$79,ColName),_xlfn.XMATCH(RIGHT(AK36),RowName))</f>
        <v>0</v>
      </c>
      <c r="AN37" s="103" cm="1">
        <f t="array" ref="AN37">INDEX(InputArea,_xlfn.XMATCH($J$79,ColName),_xlfn.XMATCH(RIGHT(AK36),RowName))</f>
        <v>0</v>
      </c>
      <c r="AO37" s="103" cm="1">
        <f t="array" ref="AO37">INDEX(InputArea,_xlfn.XMATCH($K$79,ColName),_xlfn.XMATCH(RIGHT(AK36),RowName))</f>
        <v>0</v>
      </c>
      <c r="AP37" s="79"/>
      <c r="AQ37" s="103" cm="1">
        <f t="array" ref="AQ37">INDEX(InputArea,_xlfn.XMATCH($G$79,ColName),_xlfn.XMATCH(RIGHT(AQ36),RowName))</f>
        <v>0</v>
      </c>
      <c r="AR37" s="103" cm="1">
        <f t="array" ref="AR37">INDEX(InputArea,_xlfn.XMATCH($H$79,ColName),_xlfn.XMATCH(RIGHT(AQ36),RowName))</f>
        <v>0</v>
      </c>
      <c r="AS37" s="103" cm="1">
        <f t="array" ref="AS37">INDEX(InputArea,_xlfn.XMATCH($I$79,ColName),_xlfn.XMATCH(RIGHT(AQ36),RowName))</f>
        <v>0</v>
      </c>
      <c r="AT37" s="103" cm="1">
        <f t="array" ref="AT37">INDEX(InputArea,_xlfn.XMATCH($J$79,ColName),_xlfn.XMATCH(RIGHT(AQ36),RowName))</f>
        <v>0</v>
      </c>
      <c r="AU37" s="103" cm="1">
        <f t="array" ref="AU37">INDEX(InputArea,_xlfn.XMATCH($K$79,ColName),_xlfn.XMATCH(RIGHT(AQ36),RowName))</f>
        <v>0</v>
      </c>
      <c r="AV37" s="79"/>
      <c r="AW37" s="103" cm="1">
        <f t="array" ref="AW37">INDEX(InputArea,_xlfn.XMATCH($G$79,ColName),_xlfn.XMATCH(RIGHT(AW36),RowName))</f>
        <v>0</v>
      </c>
      <c r="AX37" s="103" cm="1">
        <f t="array" ref="AX37">INDEX(InputArea,_xlfn.XMATCH($H$79,ColName),_xlfn.XMATCH(RIGHT(AW36),RowName))</f>
        <v>0</v>
      </c>
      <c r="AY37" s="103" cm="1">
        <f t="array" ref="AY37">INDEX(InputArea,_xlfn.XMATCH($I$79,ColName),_xlfn.XMATCH(RIGHT(AW36),RowName))</f>
        <v>0</v>
      </c>
      <c r="AZ37" s="103" cm="1">
        <f t="array" ref="AZ37">INDEX(InputArea,_xlfn.XMATCH($J$79,ColName),_xlfn.XMATCH(RIGHT(AW36),RowName))</f>
        <v>0</v>
      </c>
      <c r="BA37" s="103" cm="1">
        <f t="array" ref="BA37">INDEX(InputArea,_xlfn.XMATCH($K$79,ColName),_xlfn.XMATCH(RIGHT(AW36),RowName))</f>
        <v>0</v>
      </c>
      <c r="BB37" s="79"/>
      <c r="BC37" s="103" cm="1">
        <f t="array" ref="BC37">INDEX(InputArea,_xlfn.XMATCH($G$79,ColName),_xlfn.XMATCH(RIGHT(BC36),RowName))</f>
        <v>0</v>
      </c>
      <c r="BD37" s="103" cm="1">
        <f t="array" ref="BD37">INDEX(InputArea,_xlfn.XMATCH($H$79,ColName),_xlfn.XMATCH(RIGHT(BC36),RowName))</f>
        <v>0</v>
      </c>
      <c r="BE37" s="103" cm="1">
        <f t="array" ref="BE37">INDEX(InputArea,_xlfn.XMATCH($I$79,ColName),_xlfn.XMATCH(RIGHT(BC36),RowName))</f>
        <v>0</v>
      </c>
      <c r="BF37" s="103" cm="1">
        <f t="array" ref="BF37">INDEX(InputArea,_xlfn.XMATCH($J$79,ColName),_xlfn.XMATCH(RIGHT(BC36),RowName))</f>
        <v>0</v>
      </c>
      <c r="BG37" s="103" cm="1">
        <f t="array" ref="BG37">INDEX(InputArea,_xlfn.XMATCH($K$79,ColName),_xlfn.XMATCH(RIGHT(BC36),RowName))</f>
        <v>0</v>
      </c>
    </row>
    <row r="38" spans="1:59" ht="19.5" thickBot="1" x14ac:dyDescent="0.45">
      <c r="A38" s="104" cm="1">
        <f t="array" ref="A38">INDEX(InputArea,_xlfn.XMATCH($A$80,ColName),_xlfn.XMATCH(RIGHT(A36),RowName))</f>
        <v>0</v>
      </c>
      <c r="B38" s="103" cm="1">
        <f t="array" ref="B38">INDEX(InputArea,_xlfn.XMATCH($B$80,ColName),_xlfn.XMATCH(RIGHT(A36),RowName))</f>
        <v>0</v>
      </c>
      <c r="C38" s="103" cm="1">
        <f t="array" ref="C38">INDEX(InputArea,_xlfn.XMATCH($C$80,ColName),_xlfn.XMATCH(RIGHT(A36),RowName))</f>
        <v>0</v>
      </c>
      <c r="D38" s="102" cm="1">
        <f t="array" ref="D38">INDEX(InputArea,_xlfn.XMATCH($D$80,ColName),_xlfn.XMATCH(RIGHT(A36),RowName))</f>
        <v>0</v>
      </c>
      <c r="E38" s="103" cm="1">
        <f t="array" ref="E38">INDEX(InputArea,_xlfn.XMATCH($E$80,ColName),_xlfn.XMATCH(RIGHT(A36),RowName))</f>
        <v>0</v>
      </c>
      <c r="F38" s="79"/>
      <c r="G38" s="103" cm="1">
        <f t="array" ref="G38">INDEX(InputArea,_xlfn.XMATCH($A$80,ColName),_xlfn.XMATCH(RIGHT(G36),RowName))</f>
        <v>0</v>
      </c>
      <c r="H38" s="104" cm="1">
        <f t="array" ref="H38">INDEX(InputArea,_xlfn.XMATCH($B$80,ColName),_xlfn.XMATCH(RIGHT(G36),RowName))</f>
        <v>0</v>
      </c>
      <c r="I38" s="103" cm="1">
        <f t="array" ref="I38">INDEX(InputArea,_xlfn.XMATCH($C$80,ColName),_xlfn.XMATCH(RIGHT(G36),RowName))</f>
        <v>0</v>
      </c>
      <c r="J38" s="102" cm="1">
        <f t="array" ref="J38">INDEX(InputArea,_xlfn.XMATCH($D$80,ColName),_xlfn.XMATCH(RIGHT(G36),RowName))</f>
        <v>0</v>
      </c>
      <c r="K38" s="103" cm="1">
        <f t="array" ref="K38">INDEX(InputArea,_xlfn.XMATCH($E$80,ColName),_xlfn.XMATCH(RIGHT(G36),RowName))</f>
        <v>0</v>
      </c>
      <c r="L38" s="79"/>
      <c r="M38" s="103" cm="1">
        <f t="array" ref="M38">INDEX(InputArea,_xlfn.XMATCH($A$80,ColName),_xlfn.XMATCH(RIGHT(M36),RowName))</f>
        <v>0</v>
      </c>
      <c r="N38" s="103" cm="1">
        <f t="array" ref="N38">INDEX(InputArea,_xlfn.XMATCH($B$80,ColName),_xlfn.XMATCH(RIGHT(M36),RowName))</f>
        <v>0</v>
      </c>
      <c r="O38" s="104" cm="1">
        <f t="array" ref="O38">INDEX(InputArea,_xlfn.XMATCH($C$80,ColName),_xlfn.XMATCH(RIGHT(M36),RowName))</f>
        <v>0</v>
      </c>
      <c r="P38" s="103" cm="1">
        <f t="array" ref="P38">INDEX(InputArea,_xlfn.XMATCH($D$80,ColName),_xlfn.XMATCH(RIGHT(M36),RowName))</f>
        <v>0</v>
      </c>
      <c r="Q38" s="103" cm="1">
        <f t="array" ref="Q38">INDEX(InputArea,_xlfn.XMATCH($E$80,ColName),_xlfn.XMATCH(RIGHT(M36),RowName))</f>
        <v>0</v>
      </c>
      <c r="R38" s="79"/>
      <c r="S38" s="103" cm="1">
        <f t="array" ref="S38">INDEX(InputArea,_xlfn.XMATCH($A$80,ColName),_xlfn.XMATCH(RIGHT(S36),RowName))</f>
        <v>0</v>
      </c>
      <c r="T38" s="103" cm="1">
        <f t="array" ref="T38">INDEX(InputArea,_xlfn.XMATCH($B$80,ColName),_xlfn.XMATCH(RIGHT(S36),RowName))</f>
        <v>0</v>
      </c>
      <c r="U38" s="103" cm="1">
        <f t="array" ref="U38">INDEX(InputArea,_xlfn.XMATCH($C$80,ColName),_xlfn.XMATCH(RIGHT(S36),RowName))</f>
        <v>0</v>
      </c>
      <c r="V38" s="104" cm="1">
        <f t="array" ref="V38">INDEX(InputArea,_xlfn.XMATCH($D$80,ColName),_xlfn.XMATCH(RIGHT(S36),RowName))</f>
        <v>0</v>
      </c>
      <c r="W38" s="103" cm="1">
        <f t="array" ref="W38">INDEX(InputArea,_xlfn.XMATCH($E$80,ColName),_xlfn.XMATCH(RIGHT(S36),RowName))</f>
        <v>0</v>
      </c>
      <c r="X38" s="79"/>
      <c r="Y38" s="103" cm="1">
        <f t="array" ref="Y38">INDEX(InputArea,_xlfn.XMATCH($A$80,ColName),_xlfn.XMATCH(RIGHT(Y36),RowName))</f>
        <v>0</v>
      </c>
      <c r="Z38" s="103" cm="1">
        <f t="array" ref="Z38">INDEX(InputArea,_xlfn.XMATCH($B$80,ColName),_xlfn.XMATCH(RIGHT(Y36),RowName))</f>
        <v>0</v>
      </c>
      <c r="AA38" s="103" cm="1">
        <f t="array" ref="AA38">INDEX(InputArea,_xlfn.XMATCH($C$80,ColName),_xlfn.XMATCH(RIGHT(Y36),RowName))</f>
        <v>0</v>
      </c>
      <c r="AB38" s="102" cm="1">
        <f t="array" ref="AB38">INDEX(InputArea,_xlfn.XMATCH($D$80,ColName),_xlfn.XMATCH(RIGHT(Y36),RowName))</f>
        <v>0</v>
      </c>
      <c r="AC38" s="104" cm="1">
        <f t="array" ref="AC38">INDEX(InputArea,_xlfn.XMATCH($E$80,ColName),_xlfn.XMATCH(RIGHT(Y36),RowName))</f>
        <v>0</v>
      </c>
      <c r="AD38" s="79"/>
      <c r="AE38" s="104" cm="1">
        <f t="array" ref="AE38">INDEX(InputArea,_xlfn.XMATCH($G$80,ColName),_xlfn.XMATCH(RIGHT(AE36),RowName))</f>
        <v>0</v>
      </c>
      <c r="AF38" s="102" cm="1">
        <f t="array" ref="AF38">INDEX(InputArea,_xlfn.XMATCH($H$80,ColName),_xlfn.XMATCH(RIGHT(AE36),RowName))</f>
        <v>0</v>
      </c>
      <c r="AG38" s="103" cm="1">
        <f t="array" ref="AG38">INDEX(InputArea,_xlfn.XMATCH($I$80,ColName),_xlfn.XMATCH(RIGHT(AE36),RowName))</f>
        <v>0</v>
      </c>
      <c r="AH38" s="103" cm="1">
        <f t="array" ref="AH38">INDEX(InputArea,_xlfn.XMATCH($J$80,ColName),_xlfn.XMATCH(RIGHT(AE36),RowName))</f>
        <v>0</v>
      </c>
      <c r="AI38" s="103" cm="1">
        <f t="array" ref="AI38">INDEX(InputArea,_xlfn.XMATCH($K$80,ColName),_xlfn.XMATCH(RIGHT(AE36),RowName))</f>
        <v>0</v>
      </c>
      <c r="AJ38" s="79"/>
      <c r="AK38" s="103" cm="1">
        <f t="array" ref="AK38">INDEX(InputArea,_xlfn.XMATCH($G$80,ColName),_xlfn.XMATCH(RIGHT(AK36),RowName))</f>
        <v>0</v>
      </c>
      <c r="AL38" s="104" cm="1">
        <f t="array" ref="AL38">INDEX(InputArea,_xlfn.XMATCH($H$80,ColName),_xlfn.XMATCH(RIGHT(AK36),RowName))</f>
        <v>0</v>
      </c>
      <c r="AM38" s="103" cm="1">
        <f t="array" ref="AM38">INDEX(InputArea,_xlfn.XMATCH($I$80,ColName),_xlfn.XMATCH(RIGHT(AK36),RowName))</f>
        <v>0</v>
      </c>
      <c r="AN38" s="103" cm="1">
        <f t="array" ref="AN38">INDEX(InputArea,_xlfn.XMATCH($J$80,ColName),_xlfn.XMATCH(RIGHT(AK36),RowName))</f>
        <v>0</v>
      </c>
      <c r="AO38" s="103" cm="1">
        <f t="array" ref="AO38">INDEX(InputArea,_xlfn.XMATCH($K$80,ColName),_xlfn.XMATCH(RIGHT(AK36),RowName))</f>
        <v>0</v>
      </c>
      <c r="AP38" s="79"/>
      <c r="AQ38" s="103" cm="1">
        <f t="array" ref="AQ38">INDEX(InputArea,_xlfn.XMATCH($G$80,ColName),_xlfn.XMATCH(RIGHT(AQ36),RowName))</f>
        <v>0</v>
      </c>
      <c r="AR38" s="102" cm="1">
        <f t="array" ref="AR38">INDEX(InputArea,_xlfn.XMATCH($H$80,ColName),_xlfn.XMATCH(RIGHT(AQ36),RowName))</f>
        <v>0</v>
      </c>
      <c r="AS38" s="104" cm="1">
        <f t="array" ref="AS38">INDEX(InputArea,_xlfn.XMATCH($I$80,ColName),_xlfn.XMATCH(RIGHT(AQ36),RowName))</f>
        <v>0</v>
      </c>
      <c r="AT38" s="103" cm="1">
        <f t="array" ref="AT38">INDEX(InputArea,_xlfn.XMATCH($J$80,ColName),_xlfn.XMATCH(RIGHT(AQ36),RowName))</f>
        <v>0</v>
      </c>
      <c r="AU38" s="103" cm="1">
        <f t="array" ref="AU38">INDEX(InputArea,_xlfn.XMATCH($K$80,ColName),_xlfn.XMATCH(RIGHT(AQ36),RowName))</f>
        <v>0</v>
      </c>
      <c r="AV38" s="79"/>
      <c r="AW38" s="103" cm="1">
        <f t="array" ref="AW38">INDEX(InputArea,_xlfn.XMATCH($G$80,ColName),_xlfn.XMATCH(RIGHT(AW36),RowName))</f>
        <v>0</v>
      </c>
      <c r="AX38" s="102" cm="1">
        <f t="array" ref="AX38">INDEX(InputArea,_xlfn.XMATCH($H$80,ColName),_xlfn.XMATCH(RIGHT(AW36),RowName))</f>
        <v>0</v>
      </c>
      <c r="AY38" s="103" cm="1">
        <f t="array" ref="AY38">INDEX(InputArea,_xlfn.XMATCH($I$80,ColName),_xlfn.XMATCH(RIGHT(AW36),RowName))</f>
        <v>0</v>
      </c>
      <c r="AZ38" s="104" cm="1">
        <f t="array" ref="AZ38">INDEX(InputArea,_xlfn.XMATCH($J$80,ColName),_xlfn.XMATCH(RIGHT(AW36),RowName))</f>
        <v>0</v>
      </c>
      <c r="BA38" s="103" cm="1">
        <f t="array" ref="BA38">INDEX(InputArea,_xlfn.XMATCH($K$80,ColName),_xlfn.XMATCH(RIGHT(AW36),RowName))</f>
        <v>0</v>
      </c>
      <c r="BB38" s="79"/>
      <c r="BC38" s="103" cm="1">
        <f t="array" ref="BC38">INDEX(InputArea,_xlfn.XMATCH($G$80,ColName),_xlfn.XMATCH(RIGHT(BC36),RowName))</f>
        <v>0</v>
      </c>
      <c r="BD38" s="102" cm="1">
        <f t="array" ref="BD38">INDEX(InputArea,_xlfn.XMATCH($H$80,ColName),_xlfn.XMATCH(RIGHT(BC36),RowName))</f>
        <v>0</v>
      </c>
      <c r="BE38" s="103" cm="1">
        <f t="array" ref="BE38">INDEX(InputArea,_xlfn.XMATCH($I$80,ColName),_xlfn.XMATCH(RIGHT(BC36),RowName))</f>
        <v>0</v>
      </c>
      <c r="BF38" s="103" cm="1">
        <f t="array" ref="BF38">INDEX(InputArea,_xlfn.XMATCH($J$80,ColName),_xlfn.XMATCH(RIGHT(BC36),RowName))</f>
        <v>0</v>
      </c>
      <c r="BG38" s="104" cm="1">
        <f t="array" ref="BG38">INDEX(InputArea,_xlfn.XMATCH($K$80,ColName),_xlfn.XMATCH(RIGHT(BC36),RowName))</f>
        <v>0</v>
      </c>
    </row>
    <row r="39" spans="1:59" ht="19.5" thickBot="1" x14ac:dyDescent="0.45">
      <c r="A39" s="103" cm="1">
        <f t="array" ref="A39">INDEX(InputArea,_xlfn.XMATCH($A$81,ColName),_xlfn.XMATCH(RIGHT(A36),RowName))</f>
        <v>0</v>
      </c>
      <c r="B39" s="103" cm="1">
        <f t="array" ref="B39">INDEX(InputArea,_xlfn.XMATCH($B$81,ColName),_xlfn.XMATCH(RIGHT(A36),RowName))</f>
        <v>0</v>
      </c>
      <c r="C39" s="103" cm="1">
        <f t="array" ref="C39">INDEX(InputArea,_xlfn.XMATCH($C$81,ColName),_xlfn.XMATCH(RIGHT(A36),RowName))</f>
        <v>0</v>
      </c>
      <c r="D39" s="103" cm="1">
        <f t="array" ref="D39">INDEX(InputArea,_xlfn.XMATCH($D$81,ColName),_xlfn.XMATCH(RIGHT(A36),RowName))</f>
        <v>0</v>
      </c>
      <c r="E39" s="103" cm="1">
        <f t="array" ref="E39">INDEX(InputArea,_xlfn.XMATCH($E$81,ColName),_xlfn.XMATCH(RIGHT(A36),RowName))</f>
        <v>0</v>
      </c>
      <c r="F39" s="79"/>
      <c r="G39" s="103" cm="1">
        <f t="array" ref="G39">INDEX(InputArea,_xlfn.XMATCH($A$81,ColName),_xlfn.XMATCH(RIGHT(G36),RowName))</f>
        <v>0</v>
      </c>
      <c r="H39" s="103" cm="1">
        <f t="array" ref="H39">INDEX(InputArea,_xlfn.XMATCH($B$81,ColName),_xlfn.XMATCH(RIGHT(G36),RowName))</f>
        <v>0</v>
      </c>
      <c r="I39" s="103" cm="1">
        <f t="array" ref="I39">INDEX(InputArea,_xlfn.XMATCH($C$81,ColName),_xlfn.XMATCH(RIGHT(G36),RowName))</f>
        <v>0</v>
      </c>
      <c r="J39" s="103" cm="1">
        <f t="array" ref="J39">INDEX(InputArea,_xlfn.XMATCH($D$81,ColName),_xlfn.XMATCH(RIGHT(G36),RowName))</f>
        <v>0</v>
      </c>
      <c r="K39" s="103" cm="1">
        <f t="array" ref="K39">INDEX(InputArea,_xlfn.XMATCH($E$81,ColName),_xlfn.XMATCH(RIGHT(G36),RowName))</f>
        <v>0</v>
      </c>
      <c r="L39" s="79"/>
      <c r="M39" s="103" cm="1">
        <f t="array" ref="M39">INDEX(InputArea,_xlfn.XMATCH($A$81,ColName),_xlfn.XMATCH(RIGHT(M36),RowName))</f>
        <v>0</v>
      </c>
      <c r="N39" s="103" cm="1">
        <f t="array" ref="N39">INDEX(InputArea,_xlfn.XMATCH($B$81,ColName),_xlfn.XMATCH(RIGHT(M36),RowName))</f>
        <v>0</v>
      </c>
      <c r="O39" s="103" cm="1">
        <f t="array" ref="O39">INDEX(InputArea,_xlfn.XMATCH($C$81,ColName),_xlfn.XMATCH(RIGHT(M36),RowName))</f>
        <v>0</v>
      </c>
      <c r="P39" s="102" cm="1">
        <f t="array" ref="P39">INDEX(InputArea,_xlfn.XMATCH($D$81,ColName),_xlfn.XMATCH(RIGHT(M36),RowName))</f>
        <v>0</v>
      </c>
      <c r="Q39" s="103" cm="1">
        <f t="array" ref="Q39">INDEX(InputArea,_xlfn.XMATCH($E$81,ColName),_xlfn.XMATCH(RIGHT(M36),RowName))</f>
        <v>0</v>
      </c>
      <c r="R39" s="79"/>
      <c r="S39" s="103" cm="1">
        <f t="array" ref="S39">INDEX(InputArea,_xlfn.XMATCH($A$81,ColName),_xlfn.XMATCH(RIGHT(S36),RowName))</f>
        <v>0</v>
      </c>
      <c r="T39" s="103" cm="1">
        <f t="array" ref="T39">INDEX(InputArea,_xlfn.XMATCH($B$81,ColName),_xlfn.XMATCH(RIGHT(S36),RowName))</f>
        <v>0</v>
      </c>
      <c r="U39" s="103" cm="1">
        <f t="array" ref="U39">INDEX(InputArea,_xlfn.XMATCH($C$81,ColName),_xlfn.XMATCH(RIGHT(S36),RowName))</f>
        <v>0</v>
      </c>
      <c r="V39" s="103" cm="1">
        <f t="array" ref="V39">INDEX(InputArea,_xlfn.XMATCH($D$81,ColName),_xlfn.XMATCH(RIGHT(S36),RowName))</f>
        <v>0</v>
      </c>
      <c r="W39" s="103" cm="1">
        <f t="array" ref="W39">INDEX(InputArea,_xlfn.XMATCH($E$81,ColName),_xlfn.XMATCH(RIGHT(S36),RowName))</f>
        <v>0</v>
      </c>
      <c r="X39" s="79"/>
      <c r="Y39" s="103" cm="1">
        <f t="array" ref="Y39">INDEX(InputArea,_xlfn.XMATCH($A$81,ColName),_xlfn.XMATCH(RIGHT(Y36),RowName))</f>
        <v>0</v>
      </c>
      <c r="Z39" s="103" cm="1">
        <f t="array" ref="Z39">INDEX(InputArea,_xlfn.XMATCH($B$81,ColName),_xlfn.XMATCH(RIGHT(Y36),RowName))</f>
        <v>0</v>
      </c>
      <c r="AA39" s="103" cm="1">
        <f t="array" ref="AA39">INDEX(InputArea,_xlfn.XMATCH($C$81,ColName),_xlfn.XMATCH(RIGHT(Y36),RowName))</f>
        <v>0</v>
      </c>
      <c r="AB39" s="103" cm="1">
        <f t="array" ref="AB39">INDEX(InputArea,_xlfn.XMATCH($D$81,ColName),_xlfn.XMATCH(RIGHT(Y36),RowName))</f>
        <v>0</v>
      </c>
      <c r="AC39" s="103" cm="1">
        <f t="array" ref="AC39">INDEX(InputArea,_xlfn.XMATCH($E$81,ColName),_xlfn.XMATCH(RIGHT(Y36),RowName))</f>
        <v>0</v>
      </c>
      <c r="AD39" s="79"/>
      <c r="AE39" s="103" cm="1">
        <f t="array" ref="AE39">INDEX(InputArea,_xlfn.XMATCH($G$81,ColName),_xlfn.XMATCH(RIGHT(AE36),RowName))</f>
        <v>0</v>
      </c>
      <c r="AF39" s="103" cm="1">
        <f t="array" ref="AF39">INDEX(InputArea,_xlfn.XMATCH($H$81,ColName),_xlfn.XMATCH(RIGHT(AE36),RowName))</f>
        <v>0</v>
      </c>
      <c r="AG39" s="103" cm="1">
        <f t="array" ref="AG39">INDEX(InputArea,_xlfn.XMATCH($I$81,ColName),_xlfn.XMATCH(RIGHT(AE36),RowName))</f>
        <v>0</v>
      </c>
      <c r="AH39" s="103" cm="1">
        <f t="array" ref="AH39">INDEX(InputArea,_xlfn.XMATCH($J$81,ColName),_xlfn.XMATCH(RIGHT(AE36),RowName))</f>
        <v>0</v>
      </c>
      <c r="AI39" s="103" cm="1">
        <f t="array" ref="AI39">INDEX(InputArea,_xlfn.XMATCH($K$81,ColName),_xlfn.XMATCH(RIGHT(AE36),RowName))</f>
        <v>0</v>
      </c>
      <c r="AJ39" s="79"/>
      <c r="AK39" s="103" cm="1">
        <f t="array" ref="AK39">INDEX(InputArea,_xlfn.XMATCH($G$81,ColName),_xlfn.XMATCH(RIGHT(AK36),RowName))</f>
        <v>0</v>
      </c>
      <c r="AL39" s="103" cm="1">
        <f t="array" ref="AL39">INDEX(InputArea,_xlfn.XMATCH($H$81,ColName),_xlfn.XMATCH(RIGHT(AK36),RowName))</f>
        <v>0</v>
      </c>
      <c r="AM39" s="103" cm="1">
        <f t="array" ref="AM39">INDEX(InputArea,_xlfn.XMATCH($I$81,ColName),_xlfn.XMATCH(RIGHT(AK36),RowName))</f>
        <v>0</v>
      </c>
      <c r="AN39" s="103" cm="1">
        <f t="array" ref="AN39">INDEX(InputArea,_xlfn.XMATCH($J$81,ColName),_xlfn.XMATCH(RIGHT(AK36),RowName))</f>
        <v>0</v>
      </c>
      <c r="AO39" s="103" cm="1">
        <f t="array" ref="AO39">INDEX(InputArea,_xlfn.XMATCH($K$81,ColName),_xlfn.XMATCH(RIGHT(AK36),RowName))</f>
        <v>0</v>
      </c>
      <c r="AP39" s="79"/>
      <c r="AQ39" s="103" cm="1">
        <f t="array" ref="AQ39">INDEX(InputArea,_xlfn.XMATCH($G$81,ColName),_xlfn.XMATCH(RIGHT(AQ36),RowName))</f>
        <v>0</v>
      </c>
      <c r="AR39" s="103" cm="1">
        <f t="array" ref="AR39">INDEX(InputArea,_xlfn.XMATCH($H$81,ColName),_xlfn.XMATCH(RIGHT(AQ36),RowName))</f>
        <v>0</v>
      </c>
      <c r="AS39" s="103" cm="1">
        <f t="array" ref="AS39">INDEX(InputArea,_xlfn.XMATCH($I$81,ColName),_xlfn.XMATCH(RIGHT(AQ36),RowName))</f>
        <v>0</v>
      </c>
      <c r="AT39" s="103" cm="1">
        <f t="array" ref="AT39">INDEX(InputArea,_xlfn.XMATCH($J$81,ColName),_xlfn.XMATCH(RIGHT(AQ36),RowName))</f>
        <v>0</v>
      </c>
      <c r="AU39" s="103" cm="1">
        <f t="array" ref="AU39">INDEX(InputArea,_xlfn.XMATCH($K$81,ColName),_xlfn.XMATCH(RIGHT(AQ36),RowName))</f>
        <v>0</v>
      </c>
      <c r="AV39" s="79"/>
      <c r="AW39" s="103" cm="1">
        <f t="array" ref="AW39">INDEX(InputArea,_xlfn.XMATCH($G$81,ColName),_xlfn.XMATCH(RIGHT(AW36),RowName))</f>
        <v>0</v>
      </c>
      <c r="AX39" s="103" cm="1">
        <f t="array" ref="AX39">INDEX(InputArea,_xlfn.XMATCH($H$81,ColName),_xlfn.XMATCH(RIGHT(AW36),RowName))</f>
        <v>0</v>
      </c>
      <c r="AY39" s="103" cm="1">
        <f t="array" ref="AY39">INDEX(InputArea,_xlfn.XMATCH($I$81,ColName),_xlfn.XMATCH(RIGHT(AW36),RowName))</f>
        <v>0</v>
      </c>
      <c r="AZ39" s="103" cm="1">
        <f t="array" ref="AZ39">INDEX(InputArea,_xlfn.XMATCH($J$81,ColName),_xlfn.XMATCH(RIGHT(AW36),RowName))</f>
        <v>0</v>
      </c>
      <c r="BA39" s="103" cm="1">
        <f t="array" ref="BA39">INDEX(InputArea,_xlfn.XMATCH($K$81,ColName),_xlfn.XMATCH(RIGHT(AW36),RowName))</f>
        <v>0</v>
      </c>
      <c r="BB39" s="79"/>
      <c r="BC39" s="103" cm="1">
        <f t="array" ref="BC39">INDEX(InputArea,_xlfn.XMATCH($G$81,ColName),_xlfn.XMATCH(RIGHT(BC36),RowName))</f>
        <v>0</v>
      </c>
      <c r="BD39" s="103" cm="1">
        <f t="array" ref="BD39">INDEX(InputArea,_xlfn.XMATCH($H$81,ColName),_xlfn.XMATCH(RIGHT(BC36),RowName))</f>
        <v>0</v>
      </c>
      <c r="BE39" s="103" cm="1">
        <f t="array" ref="BE39">INDEX(InputArea,_xlfn.XMATCH($I$81,ColName),_xlfn.XMATCH(RIGHT(BC36),RowName))</f>
        <v>0</v>
      </c>
      <c r="BF39" s="103" cm="1">
        <f t="array" ref="BF39">INDEX(InputArea,_xlfn.XMATCH($J$81,ColName),_xlfn.XMATCH(RIGHT(BC36),RowName))</f>
        <v>0</v>
      </c>
      <c r="BG39" s="103" cm="1">
        <f t="array" ref="BG39">INDEX(InputArea,_xlfn.XMATCH($K$81,ColName),_xlfn.XMATCH(RIGHT(BC36),RowName))</f>
        <v>0</v>
      </c>
    </row>
    <row r="40" spans="1:59" x14ac:dyDescent="0.4">
      <c r="A40" s="79" t="s">
        <v>42</v>
      </c>
      <c r="B40" s="79"/>
      <c r="C40" s="79"/>
      <c r="D40" s="79"/>
      <c r="E40" s="79"/>
      <c r="F40" s="79"/>
      <c r="G40" s="79" t="s">
        <v>43</v>
      </c>
      <c r="H40" s="79"/>
      <c r="I40" s="79"/>
      <c r="J40" s="79"/>
      <c r="K40" s="79"/>
      <c r="L40" s="79"/>
      <c r="M40" s="79" t="s">
        <v>44</v>
      </c>
      <c r="N40" s="79"/>
      <c r="O40" s="79"/>
      <c r="P40" s="79"/>
      <c r="Q40" s="79"/>
      <c r="R40" s="79"/>
      <c r="S40" s="79" t="s">
        <v>45</v>
      </c>
      <c r="T40" s="79"/>
      <c r="U40" s="79"/>
      <c r="V40" s="79"/>
      <c r="W40" s="79"/>
      <c r="X40" s="79"/>
      <c r="Y40" s="79" t="s">
        <v>46</v>
      </c>
      <c r="Z40" s="79"/>
      <c r="AA40" s="79"/>
      <c r="AB40" s="79"/>
      <c r="AC40" s="79"/>
      <c r="AD40" s="79"/>
      <c r="AE40" s="79" t="s">
        <v>57</v>
      </c>
      <c r="AF40" s="79"/>
      <c r="AG40" s="79"/>
      <c r="AH40" s="79"/>
      <c r="AI40" s="79"/>
      <c r="AJ40" s="79"/>
      <c r="AK40" s="79" t="s">
        <v>58</v>
      </c>
      <c r="AL40" s="79"/>
      <c r="AM40" s="79"/>
      <c r="AN40" s="79"/>
      <c r="AO40" s="79"/>
      <c r="AP40" s="79"/>
      <c r="AQ40" s="79" t="s">
        <v>59</v>
      </c>
      <c r="AR40" s="79"/>
      <c r="AS40" s="79"/>
      <c r="AT40" s="79"/>
      <c r="AU40" s="79"/>
      <c r="AV40" s="79"/>
      <c r="AW40" s="79" t="s">
        <v>60</v>
      </c>
      <c r="AX40" s="79"/>
      <c r="AY40" s="79"/>
      <c r="AZ40" s="79"/>
      <c r="BA40" s="79"/>
      <c r="BB40" s="79"/>
      <c r="BC40" s="79" t="s">
        <v>61</v>
      </c>
      <c r="BD40" s="79"/>
      <c r="BE40" s="79"/>
      <c r="BF40" s="79"/>
      <c r="BG40" s="79"/>
    </row>
    <row r="41" spans="1:59" x14ac:dyDescent="0.4">
      <c r="A41" s="103" cm="1">
        <f t="array" ref="A41">INDEX(InputArea,_xlfn.XMATCH($A$79,ColName),_xlfn.XMATCH(RIGHT(A40),RowName))</f>
        <v>0</v>
      </c>
      <c r="B41" s="103" cm="1">
        <f t="array" ref="B41">INDEX(InputArea,_xlfn.XMATCH($B$79,ColName),_xlfn.XMATCH(RIGHT(A40),RowName))</f>
        <v>0</v>
      </c>
      <c r="C41" s="103" cm="1">
        <f t="array" ref="C41">INDEX(InputArea,_xlfn.XMATCH($C$79,ColName),_xlfn.XMATCH(RIGHT(A40),RowName))</f>
        <v>0</v>
      </c>
      <c r="D41" s="103" cm="1">
        <f t="array" ref="D41">INDEX(InputArea,_xlfn.XMATCH($D$79,ColName),_xlfn.XMATCH(RIGHT(A40),RowName))</f>
        <v>0</v>
      </c>
      <c r="E41" s="103" cm="1">
        <f t="array" ref="E41">INDEX(InputArea,_xlfn.XMATCH($E$79,ColName),_xlfn.XMATCH(RIGHT(A40),RowName))</f>
        <v>0</v>
      </c>
      <c r="F41" s="79"/>
      <c r="G41" s="103" cm="1">
        <f t="array" ref="G41">INDEX(InputArea,_xlfn.XMATCH($A$79,ColName),_xlfn.XMATCH(RIGHT(G40),RowName))</f>
        <v>0</v>
      </c>
      <c r="H41" s="103" cm="1">
        <f t="array" ref="H41">INDEX(InputArea,_xlfn.XMATCH($B$79,ColName),_xlfn.XMATCH(RIGHT(G40),RowName))</f>
        <v>0</v>
      </c>
      <c r="I41" s="103" cm="1">
        <f t="array" ref="I41">INDEX(InputArea,_xlfn.XMATCH($C$79,ColName),_xlfn.XMATCH(RIGHT(G40),RowName))</f>
        <v>0</v>
      </c>
      <c r="J41" s="103" cm="1">
        <f t="array" ref="J41">INDEX(InputArea,_xlfn.XMATCH($D$79,ColName),_xlfn.XMATCH(RIGHT(G40),RowName))</f>
        <v>0</v>
      </c>
      <c r="K41" s="103" cm="1">
        <f t="array" ref="K41">INDEX(InputArea,_xlfn.XMATCH($E$79,ColName),_xlfn.XMATCH(RIGHT(G40),RowName))</f>
        <v>0</v>
      </c>
      <c r="L41" s="79"/>
      <c r="M41" s="103" cm="1">
        <f t="array" ref="M41">INDEX(InputArea,_xlfn.XMATCH($A$79,ColName),_xlfn.XMATCH(RIGHT(M40),RowName))</f>
        <v>0</v>
      </c>
      <c r="N41" s="103" cm="1">
        <f t="array" ref="N41">INDEX(InputArea,_xlfn.XMATCH($B$79,ColName),_xlfn.XMATCH(RIGHT(M40),RowName))</f>
        <v>0</v>
      </c>
      <c r="O41" s="103" cm="1">
        <f t="array" ref="O41">INDEX(InputArea,_xlfn.XMATCH($C$79,ColName),_xlfn.XMATCH(RIGHT(M40),RowName))</f>
        <v>0</v>
      </c>
      <c r="P41" s="103" cm="1">
        <f t="array" ref="P41">INDEX(InputArea,_xlfn.XMATCH($D$79,ColName),_xlfn.XMATCH(RIGHT(M40),RowName))</f>
        <v>0</v>
      </c>
      <c r="Q41" s="103" cm="1">
        <f t="array" ref="Q41">INDEX(InputArea,_xlfn.XMATCH($E$79,ColName),_xlfn.XMATCH(RIGHT(M40),RowName))</f>
        <v>0</v>
      </c>
      <c r="R41" s="79"/>
      <c r="S41" s="103" cm="1">
        <f t="array" ref="S41">INDEX(InputArea,_xlfn.XMATCH($A$79,ColName),_xlfn.XMATCH(RIGHT(S40),RowName))</f>
        <v>0</v>
      </c>
      <c r="T41" s="103" cm="1">
        <f t="array" ref="T41">INDEX(InputArea,_xlfn.XMATCH($B$79,ColName),_xlfn.XMATCH(RIGHT(S40),RowName))</f>
        <v>0</v>
      </c>
      <c r="U41" s="103" cm="1">
        <f t="array" ref="U41">INDEX(InputArea,_xlfn.XMATCH($C$79,ColName),_xlfn.XMATCH(RIGHT(S40),RowName))</f>
        <v>0</v>
      </c>
      <c r="V41" s="103" cm="1">
        <f t="array" ref="V41">INDEX(InputArea,_xlfn.XMATCH($D$79,ColName),_xlfn.XMATCH(RIGHT(S40),RowName))</f>
        <v>0</v>
      </c>
      <c r="W41" s="103" cm="1">
        <f t="array" ref="W41">INDEX(InputArea,_xlfn.XMATCH($E$79,ColName),_xlfn.XMATCH(RIGHT(S40),RowName))</f>
        <v>0</v>
      </c>
      <c r="X41" s="79"/>
      <c r="Y41" s="103" cm="1">
        <f t="array" ref="Y41">INDEX(InputArea,_xlfn.XMATCH($A$79,ColName),_xlfn.XMATCH(RIGHT(Y40),RowName))</f>
        <v>0</v>
      </c>
      <c r="Z41" s="103" cm="1">
        <f t="array" ref="Z41">INDEX(InputArea,_xlfn.XMATCH($B$79,ColName),_xlfn.XMATCH(RIGHT(Y40),RowName))</f>
        <v>0</v>
      </c>
      <c r="AA41" s="103" cm="1">
        <f t="array" ref="AA41">INDEX(InputArea,_xlfn.XMATCH($C$79,ColName),_xlfn.XMATCH(RIGHT(Y40),RowName))</f>
        <v>0</v>
      </c>
      <c r="AB41" s="103" cm="1">
        <f t="array" ref="AB41">INDEX(InputArea,_xlfn.XMATCH($D$79,ColName),_xlfn.XMATCH(RIGHT(Y40),RowName))</f>
        <v>0</v>
      </c>
      <c r="AC41" s="103" cm="1">
        <f t="array" ref="AC41">INDEX(InputArea,_xlfn.XMATCH($E$79,ColName),_xlfn.XMATCH(RIGHT(Y40),RowName))</f>
        <v>0</v>
      </c>
      <c r="AD41" s="79"/>
      <c r="AE41" s="103" cm="1">
        <f t="array" ref="AE41">INDEX(InputArea,_xlfn.XMATCH($G$79,ColName),_xlfn.XMATCH(RIGHT(AE40),RowName))</f>
        <v>0</v>
      </c>
      <c r="AF41" s="103" cm="1">
        <f t="array" ref="AF41">INDEX(InputArea,_xlfn.XMATCH($H$79,ColName),_xlfn.XMATCH(RIGHT(AE40),RowName))</f>
        <v>0</v>
      </c>
      <c r="AG41" s="103" cm="1">
        <f t="array" ref="AG41">INDEX(InputArea,_xlfn.XMATCH($I$79,ColName),_xlfn.XMATCH(RIGHT(AE40),RowName))</f>
        <v>0</v>
      </c>
      <c r="AH41" s="103" cm="1">
        <f t="array" ref="AH41">INDEX(InputArea,_xlfn.XMATCH($J$79,ColName),_xlfn.XMATCH(RIGHT(AE40),RowName))</f>
        <v>0</v>
      </c>
      <c r="AI41" s="103" cm="1">
        <f t="array" ref="AI41">INDEX(InputArea,_xlfn.XMATCH($K$79,ColName),_xlfn.XMATCH(RIGHT(AE40),RowName))</f>
        <v>0</v>
      </c>
      <c r="AJ41" s="79"/>
      <c r="AK41" s="103" cm="1">
        <f t="array" ref="AK41">INDEX(InputArea,_xlfn.XMATCH($G$79,ColName),_xlfn.XMATCH(RIGHT(AK40),RowName))</f>
        <v>0</v>
      </c>
      <c r="AL41" s="103" cm="1">
        <f t="array" ref="AL41">INDEX(InputArea,_xlfn.XMATCH($H$79,ColName),_xlfn.XMATCH(RIGHT(AK40),RowName))</f>
        <v>0</v>
      </c>
      <c r="AM41" s="103" cm="1">
        <f t="array" ref="AM41">INDEX(InputArea,_xlfn.XMATCH($I$79,ColName),_xlfn.XMATCH(RIGHT(AK40),RowName))</f>
        <v>0</v>
      </c>
      <c r="AN41" s="103" cm="1">
        <f t="array" ref="AN41">INDEX(InputArea,_xlfn.XMATCH($J$79,ColName),_xlfn.XMATCH(RIGHT(AK40),RowName))</f>
        <v>0</v>
      </c>
      <c r="AO41" s="103" cm="1">
        <f t="array" ref="AO41">INDEX(InputArea,_xlfn.XMATCH($K$79,ColName),_xlfn.XMATCH(RIGHT(AK40),RowName))</f>
        <v>0</v>
      </c>
      <c r="AP41" s="79"/>
      <c r="AQ41" s="103" cm="1">
        <f t="array" ref="AQ41">INDEX(InputArea,_xlfn.XMATCH($G$79,ColName),_xlfn.XMATCH(RIGHT(AQ40),RowName))</f>
        <v>0</v>
      </c>
      <c r="AR41" s="103" cm="1">
        <f t="array" ref="AR41">INDEX(InputArea,_xlfn.XMATCH($H$79,ColName),_xlfn.XMATCH(RIGHT(AQ40),RowName))</f>
        <v>0</v>
      </c>
      <c r="AS41" s="103" cm="1">
        <f t="array" ref="AS41">INDEX(InputArea,_xlfn.XMATCH($I$79,ColName),_xlfn.XMATCH(RIGHT(AQ40),RowName))</f>
        <v>0</v>
      </c>
      <c r="AT41" s="103" cm="1">
        <f t="array" ref="AT41">INDEX(InputArea,_xlfn.XMATCH($J$79,ColName),_xlfn.XMATCH(RIGHT(AQ40),RowName))</f>
        <v>0</v>
      </c>
      <c r="AU41" s="103" cm="1">
        <f t="array" ref="AU41">INDEX(InputArea,_xlfn.XMATCH($K$79,ColName),_xlfn.XMATCH(RIGHT(AQ40),RowName))</f>
        <v>0</v>
      </c>
      <c r="AV41" s="79"/>
      <c r="AW41" s="103" cm="1">
        <f t="array" ref="AW41">INDEX(InputArea,_xlfn.XMATCH($G$79,ColName),_xlfn.XMATCH(RIGHT(AW40),RowName))</f>
        <v>0</v>
      </c>
      <c r="AX41" s="103" cm="1">
        <f t="array" ref="AX41">INDEX(InputArea,_xlfn.XMATCH($H$79,ColName),_xlfn.XMATCH(RIGHT(AW40),RowName))</f>
        <v>0</v>
      </c>
      <c r="AY41" s="103" cm="1">
        <f t="array" ref="AY41">INDEX(InputArea,_xlfn.XMATCH($I$79,ColName),_xlfn.XMATCH(RIGHT(AW40),RowName))</f>
        <v>0</v>
      </c>
      <c r="AZ41" s="103" cm="1">
        <f t="array" ref="AZ41">INDEX(InputArea,_xlfn.XMATCH($J$79,ColName),_xlfn.XMATCH(RIGHT(AW40),RowName))</f>
        <v>0</v>
      </c>
      <c r="BA41" s="103" cm="1">
        <f t="array" ref="BA41">INDEX(InputArea,_xlfn.XMATCH($K$79,ColName),_xlfn.XMATCH(RIGHT(AW40),RowName))</f>
        <v>0</v>
      </c>
      <c r="BB41" s="79"/>
      <c r="BC41" s="103" cm="1">
        <f t="array" ref="BC41">INDEX(InputArea,_xlfn.XMATCH($G$79,ColName),_xlfn.XMATCH(RIGHT(BC40),RowName))</f>
        <v>0</v>
      </c>
      <c r="BD41" s="103" cm="1">
        <f t="array" ref="BD41">INDEX(InputArea,_xlfn.XMATCH($H$79,ColName),_xlfn.XMATCH(RIGHT(BC40),RowName))</f>
        <v>0</v>
      </c>
      <c r="BE41" s="103" cm="1">
        <f t="array" ref="BE41">INDEX(InputArea,_xlfn.XMATCH($I$79,ColName),_xlfn.XMATCH(RIGHT(BC40),RowName))</f>
        <v>0</v>
      </c>
      <c r="BF41" s="103" cm="1">
        <f t="array" ref="BF41">INDEX(InputArea,_xlfn.XMATCH($J$79,ColName),_xlfn.XMATCH(RIGHT(BC40),RowName))</f>
        <v>0</v>
      </c>
      <c r="BG41" s="103" cm="1">
        <f t="array" ref="BG41">INDEX(InputArea,_xlfn.XMATCH($K$79,ColName),_xlfn.XMATCH(RIGHT(BC40),RowName))</f>
        <v>0</v>
      </c>
    </row>
    <row r="42" spans="1:59" ht="19.5" thickBot="1" x14ac:dyDescent="0.45">
      <c r="A42" s="103" cm="1">
        <f t="array" ref="A42">INDEX(InputArea,_xlfn.XMATCH($A$80,ColName),_xlfn.XMATCH(RIGHT(A40),RowName))</f>
        <v>0</v>
      </c>
      <c r="B42" s="103" cm="1">
        <f t="array" ref="B42">INDEX(InputArea,_xlfn.XMATCH($B$80,ColName),_xlfn.XMATCH(RIGHT(A40),RowName))</f>
        <v>0</v>
      </c>
      <c r="C42" s="103" cm="1">
        <f t="array" ref="C42">INDEX(InputArea,_xlfn.XMATCH($C$80,ColName),_xlfn.XMATCH(RIGHT(A40),RowName))</f>
        <v>0</v>
      </c>
      <c r="D42" s="102" cm="1">
        <f t="array" ref="D42">INDEX(InputArea,_xlfn.XMATCH($D$80,ColName),_xlfn.XMATCH(RIGHT(A40),RowName))</f>
        <v>0</v>
      </c>
      <c r="E42" s="103" cm="1">
        <f t="array" ref="E42">INDEX(InputArea,_xlfn.XMATCH($E$80,ColName),_xlfn.XMATCH(RIGHT(A40),RowName))</f>
        <v>0</v>
      </c>
      <c r="F42" s="79"/>
      <c r="G42" s="103" cm="1">
        <f t="array" ref="G42">INDEX(InputArea,_xlfn.XMATCH($A$80,ColName),_xlfn.XMATCH(RIGHT(G40),RowName))</f>
        <v>0</v>
      </c>
      <c r="H42" s="103" cm="1">
        <f t="array" ref="H42">INDEX(InputArea,_xlfn.XMATCH($B$80,ColName),_xlfn.XMATCH(RIGHT(G40),RowName))</f>
        <v>0</v>
      </c>
      <c r="I42" s="103" cm="1">
        <f t="array" ref="I42">INDEX(InputArea,_xlfn.XMATCH($C$80,ColName),_xlfn.XMATCH(RIGHT(G40),RowName))</f>
        <v>0</v>
      </c>
      <c r="J42" s="102" cm="1">
        <f t="array" ref="J42">INDEX(InputArea,_xlfn.XMATCH($D$80,ColName),_xlfn.XMATCH(RIGHT(G40),RowName))</f>
        <v>0</v>
      </c>
      <c r="K42" s="103" cm="1">
        <f t="array" ref="K42">INDEX(InputArea,_xlfn.XMATCH($E$80,ColName),_xlfn.XMATCH(RIGHT(G40),RowName))</f>
        <v>0</v>
      </c>
      <c r="L42" s="79"/>
      <c r="M42" s="103" cm="1">
        <f t="array" ref="M42">INDEX(InputArea,_xlfn.XMATCH($A$80,ColName),_xlfn.XMATCH(RIGHT(M40),RowName))</f>
        <v>0</v>
      </c>
      <c r="N42" s="103" cm="1">
        <f t="array" ref="N42">INDEX(InputArea,_xlfn.XMATCH($B$80,ColName),_xlfn.XMATCH(RIGHT(M40),RowName))</f>
        <v>0</v>
      </c>
      <c r="O42" s="103" cm="1">
        <f t="array" ref="O42">INDEX(InputArea,_xlfn.XMATCH($C$80,ColName),_xlfn.XMATCH(RIGHT(M40),RowName))</f>
        <v>0</v>
      </c>
      <c r="P42" s="102" cm="1">
        <f t="array" ref="P42">INDEX(InputArea,_xlfn.XMATCH($D$80,ColName),_xlfn.XMATCH(RIGHT(M40),RowName))</f>
        <v>0</v>
      </c>
      <c r="Q42" s="103" cm="1">
        <f t="array" ref="Q42">INDEX(InputArea,_xlfn.XMATCH($E$80,ColName),_xlfn.XMATCH(RIGHT(M40),RowName))</f>
        <v>0</v>
      </c>
      <c r="R42" s="79"/>
      <c r="S42" s="103" cm="1">
        <f t="array" ref="S42">INDEX(InputArea,_xlfn.XMATCH($A$80,ColName),_xlfn.XMATCH(RIGHT(S40),RowName))</f>
        <v>0</v>
      </c>
      <c r="T42" s="103" cm="1">
        <f t="array" ref="T42">INDEX(InputArea,_xlfn.XMATCH($B$80,ColName),_xlfn.XMATCH(RIGHT(S40),RowName))</f>
        <v>0</v>
      </c>
      <c r="U42" s="103" cm="1">
        <f t="array" ref="U42">INDEX(InputArea,_xlfn.XMATCH($C$80,ColName),_xlfn.XMATCH(RIGHT(S40),RowName))</f>
        <v>0</v>
      </c>
      <c r="V42" s="102" cm="1">
        <f t="array" ref="V42">INDEX(InputArea,_xlfn.XMATCH($D$80,ColName),_xlfn.XMATCH(RIGHT(S40),RowName))</f>
        <v>0</v>
      </c>
      <c r="W42" s="103" cm="1">
        <f t="array" ref="W42">INDEX(InputArea,_xlfn.XMATCH($E$80,ColName),_xlfn.XMATCH(RIGHT(S40),RowName))</f>
        <v>0</v>
      </c>
      <c r="X42" s="79"/>
      <c r="Y42" s="103" cm="1">
        <f t="array" ref="Y42">INDEX(InputArea,_xlfn.XMATCH($A$80,ColName),_xlfn.XMATCH(RIGHT(Y40),RowName))</f>
        <v>0</v>
      </c>
      <c r="Z42" s="103" cm="1">
        <f t="array" ref="Z42">INDEX(InputArea,_xlfn.XMATCH($B$80,ColName),_xlfn.XMATCH(RIGHT(Y40),RowName))</f>
        <v>0</v>
      </c>
      <c r="AA42" s="103" cm="1">
        <f t="array" ref="AA42">INDEX(InputArea,_xlfn.XMATCH($C$80,ColName),_xlfn.XMATCH(RIGHT(Y40),RowName))</f>
        <v>0</v>
      </c>
      <c r="AB42" s="102" cm="1">
        <f t="array" ref="AB42">INDEX(InputArea,_xlfn.XMATCH($D$80,ColName),_xlfn.XMATCH(RIGHT(Y40),RowName))</f>
        <v>0</v>
      </c>
      <c r="AC42" s="103" cm="1">
        <f t="array" ref="AC42">INDEX(InputArea,_xlfn.XMATCH($E$80,ColName),_xlfn.XMATCH(RIGHT(Y40),RowName))</f>
        <v>0</v>
      </c>
      <c r="AD42" s="79"/>
      <c r="AE42" s="103" cm="1">
        <f t="array" ref="AE42">INDEX(InputArea,_xlfn.XMATCH($G$80,ColName),_xlfn.XMATCH(RIGHT(AE40),RowName))</f>
        <v>0</v>
      </c>
      <c r="AF42" s="102" cm="1">
        <f t="array" ref="AF42">INDEX(InputArea,_xlfn.XMATCH($H$80,ColName),_xlfn.XMATCH(RIGHT(AE40),RowName))</f>
        <v>0</v>
      </c>
      <c r="AG42" s="103" cm="1">
        <f t="array" ref="AG42">INDEX(InputArea,_xlfn.XMATCH($I$80,ColName),_xlfn.XMATCH(RIGHT(AE40),RowName))</f>
        <v>0</v>
      </c>
      <c r="AH42" s="103" cm="1">
        <f t="array" ref="AH42">INDEX(InputArea,_xlfn.XMATCH($J$80,ColName),_xlfn.XMATCH(RIGHT(AE40),RowName))</f>
        <v>0</v>
      </c>
      <c r="AI42" s="103" cm="1">
        <f t="array" ref="AI42">INDEX(InputArea,_xlfn.XMATCH($K$80,ColName),_xlfn.XMATCH(RIGHT(AE40),RowName))</f>
        <v>0</v>
      </c>
      <c r="AJ42" s="79"/>
      <c r="AK42" s="103" cm="1">
        <f t="array" ref="AK42">INDEX(InputArea,_xlfn.XMATCH($G$80,ColName),_xlfn.XMATCH(RIGHT(AK40),RowName))</f>
        <v>0</v>
      </c>
      <c r="AL42" s="102" cm="1">
        <f t="array" ref="AL42">INDEX(InputArea,_xlfn.XMATCH($H$80,ColName),_xlfn.XMATCH(RIGHT(AK40),RowName))</f>
        <v>0</v>
      </c>
      <c r="AM42" s="103" cm="1">
        <f t="array" ref="AM42">INDEX(InputArea,_xlfn.XMATCH($I$80,ColName),_xlfn.XMATCH(RIGHT(AK40),RowName))</f>
        <v>0</v>
      </c>
      <c r="AN42" s="103" cm="1">
        <f t="array" ref="AN42">INDEX(InputArea,_xlfn.XMATCH($J$80,ColName),_xlfn.XMATCH(RIGHT(AK40),RowName))</f>
        <v>0</v>
      </c>
      <c r="AO42" s="103" cm="1">
        <f t="array" ref="AO42">INDEX(InputArea,_xlfn.XMATCH($K$80,ColName),_xlfn.XMATCH(RIGHT(AK40),RowName))</f>
        <v>0</v>
      </c>
      <c r="AP42" s="79"/>
      <c r="AQ42" s="103" cm="1">
        <f t="array" ref="AQ42">INDEX(InputArea,_xlfn.XMATCH($G$80,ColName),_xlfn.XMATCH(RIGHT(AQ40),RowName))</f>
        <v>0</v>
      </c>
      <c r="AR42" s="102" cm="1">
        <f t="array" ref="AR42">INDEX(InputArea,_xlfn.XMATCH($H$80,ColName),_xlfn.XMATCH(RIGHT(AQ40),RowName))</f>
        <v>0</v>
      </c>
      <c r="AS42" s="103" cm="1">
        <f t="array" ref="AS42">INDEX(InputArea,_xlfn.XMATCH($I$80,ColName),_xlfn.XMATCH(RIGHT(AQ40),RowName))</f>
        <v>0</v>
      </c>
      <c r="AT42" s="103" cm="1">
        <f t="array" ref="AT42">INDEX(InputArea,_xlfn.XMATCH($J$80,ColName),_xlfn.XMATCH(RIGHT(AQ40),RowName))</f>
        <v>0</v>
      </c>
      <c r="AU42" s="103" cm="1">
        <f t="array" ref="AU42">INDEX(InputArea,_xlfn.XMATCH($K$80,ColName),_xlfn.XMATCH(RIGHT(AQ40),RowName))</f>
        <v>0</v>
      </c>
      <c r="AV42" s="79"/>
      <c r="AW42" s="103" cm="1">
        <f t="array" ref="AW42">INDEX(InputArea,_xlfn.XMATCH($G$80,ColName),_xlfn.XMATCH(RIGHT(AW40),RowName))</f>
        <v>0</v>
      </c>
      <c r="AX42" s="102" cm="1">
        <f t="array" ref="AX42">INDEX(InputArea,_xlfn.XMATCH($H$80,ColName),_xlfn.XMATCH(RIGHT(AW40),RowName))</f>
        <v>0</v>
      </c>
      <c r="AY42" s="103" cm="1">
        <f t="array" ref="AY42">INDEX(InputArea,_xlfn.XMATCH($I$80,ColName),_xlfn.XMATCH(RIGHT(AW40),RowName))</f>
        <v>0</v>
      </c>
      <c r="AZ42" s="103" cm="1">
        <f t="array" ref="AZ42">INDEX(InputArea,_xlfn.XMATCH($J$80,ColName),_xlfn.XMATCH(RIGHT(AW40),RowName))</f>
        <v>0</v>
      </c>
      <c r="BA42" s="103" cm="1">
        <f t="array" ref="BA42">INDEX(InputArea,_xlfn.XMATCH($K$80,ColName),_xlfn.XMATCH(RIGHT(AW40),RowName))</f>
        <v>0</v>
      </c>
      <c r="BB42" s="79"/>
      <c r="BC42" s="103" cm="1">
        <f t="array" ref="BC42">INDEX(InputArea,_xlfn.XMATCH($G$80,ColName),_xlfn.XMATCH(RIGHT(BC40),RowName))</f>
        <v>0</v>
      </c>
      <c r="BD42" s="102" cm="1">
        <f t="array" ref="BD42">INDEX(InputArea,_xlfn.XMATCH($H$80,ColName),_xlfn.XMATCH(RIGHT(BC40),RowName))</f>
        <v>0</v>
      </c>
      <c r="BE42" s="103" cm="1">
        <f t="array" ref="BE42">INDEX(InputArea,_xlfn.XMATCH($I$80,ColName),_xlfn.XMATCH(RIGHT(BC40),RowName))</f>
        <v>0</v>
      </c>
      <c r="BF42" s="103" cm="1">
        <f t="array" ref="BF42">INDEX(InputArea,_xlfn.XMATCH($J$80,ColName),_xlfn.XMATCH(RIGHT(BC40),RowName))</f>
        <v>0</v>
      </c>
      <c r="BG42" s="103" cm="1">
        <f t="array" ref="BG42">INDEX(InputArea,_xlfn.XMATCH($K$80,ColName),_xlfn.XMATCH(RIGHT(BC40),RowName))</f>
        <v>0</v>
      </c>
    </row>
    <row r="43" spans="1:59" ht="19.5" thickBot="1" x14ac:dyDescent="0.45">
      <c r="A43" s="104" cm="1">
        <f t="array" ref="A43">INDEX(InputArea,_xlfn.XMATCH($A$81,ColName),_xlfn.XMATCH(RIGHT(A40),RowName))</f>
        <v>0</v>
      </c>
      <c r="B43" s="103" cm="1">
        <f t="array" ref="B43">INDEX(InputArea,_xlfn.XMATCH($B$81,ColName),_xlfn.XMATCH(RIGHT(A40),RowName))</f>
        <v>0</v>
      </c>
      <c r="C43" s="103" cm="1">
        <f t="array" ref="C43">INDEX(InputArea,_xlfn.XMATCH($C$81,ColName),_xlfn.XMATCH(RIGHT(A40),RowName))</f>
        <v>0</v>
      </c>
      <c r="D43" s="103" cm="1">
        <f t="array" ref="D43">INDEX(InputArea,_xlfn.XMATCH($D$81,ColName),_xlfn.XMATCH(RIGHT(A40),RowName))</f>
        <v>0</v>
      </c>
      <c r="E43" s="103" cm="1">
        <f t="array" ref="E43">INDEX(InputArea,_xlfn.XMATCH($E$81,ColName),_xlfn.XMATCH(RIGHT(A40),RowName))</f>
        <v>0</v>
      </c>
      <c r="F43" s="79"/>
      <c r="G43" s="103" cm="1">
        <f t="array" ref="G43">INDEX(InputArea,_xlfn.XMATCH($A$81,ColName),_xlfn.XMATCH(RIGHT(G40),RowName))</f>
        <v>0</v>
      </c>
      <c r="H43" s="104" cm="1">
        <f t="array" ref="H43">INDEX(InputArea,_xlfn.XMATCH($B$81,ColName),_xlfn.XMATCH(RIGHT(G40),RowName))</f>
        <v>0</v>
      </c>
      <c r="I43" s="103" cm="1">
        <f t="array" ref="I43">INDEX(InputArea,_xlfn.XMATCH($C$81,ColName),_xlfn.XMATCH(RIGHT(G40),RowName))</f>
        <v>0</v>
      </c>
      <c r="J43" s="103" cm="1">
        <f t="array" ref="J43">INDEX(InputArea,_xlfn.XMATCH($D$81,ColName),_xlfn.XMATCH(RIGHT(G40),RowName))</f>
        <v>0</v>
      </c>
      <c r="K43" s="103" cm="1">
        <f t="array" ref="K43">INDEX(InputArea,_xlfn.XMATCH($E$81,ColName),_xlfn.XMATCH(RIGHT(G40),RowName))</f>
        <v>0</v>
      </c>
      <c r="L43" s="79"/>
      <c r="M43" s="103" cm="1">
        <f t="array" ref="M43">INDEX(InputArea,_xlfn.XMATCH($A$81,ColName),_xlfn.XMATCH(RIGHT(M40),RowName))</f>
        <v>0</v>
      </c>
      <c r="N43" s="103" cm="1">
        <f t="array" ref="N43">INDEX(InputArea,_xlfn.XMATCH($B$81,ColName),_xlfn.XMATCH(RIGHT(M40),RowName))</f>
        <v>0</v>
      </c>
      <c r="O43" s="104" cm="1">
        <f t="array" ref="O43">INDEX(InputArea,_xlfn.XMATCH($C$81,ColName),_xlfn.XMATCH(RIGHT(M40),RowName))</f>
        <v>0</v>
      </c>
      <c r="P43" s="103" cm="1">
        <f t="array" ref="P43">INDEX(InputArea,_xlfn.XMATCH($D$81,ColName),_xlfn.XMATCH(RIGHT(M40),RowName))</f>
        <v>0</v>
      </c>
      <c r="Q43" s="103" cm="1">
        <f t="array" ref="Q43">INDEX(InputArea,_xlfn.XMATCH($E$81,ColName),_xlfn.XMATCH(RIGHT(M40),RowName))</f>
        <v>0</v>
      </c>
      <c r="R43" s="79"/>
      <c r="S43" s="103" cm="1">
        <f t="array" ref="S43">INDEX(InputArea,_xlfn.XMATCH($A$81,ColName),_xlfn.XMATCH(RIGHT(S40),RowName))</f>
        <v>0</v>
      </c>
      <c r="T43" s="103" cm="1">
        <f t="array" ref="T43">INDEX(InputArea,_xlfn.XMATCH($B$81,ColName),_xlfn.XMATCH(RIGHT(S40),RowName))</f>
        <v>0</v>
      </c>
      <c r="U43" s="103" cm="1">
        <f t="array" ref="U43">INDEX(InputArea,_xlfn.XMATCH($C$81,ColName),_xlfn.XMATCH(RIGHT(S40),RowName))</f>
        <v>0</v>
      </c>
      <c r="V43" s="106" cm="1">
        <f t="array" ref="V43">INDEX(InputArea,_xlfn.XMATCH($D$81,ColName),_xlfn.XMATCH(RIGHT(S40),RowName))</f>
        <v>0</v>
      </c>
      <c r="W43" s="103" cm="1">
        <f t="array" ref="W43">INDEX(InputArea,_xlfn.XMATCH($E$81,ColName),_xlfn.XMATCH(RIGHT(S40),RowName))</f>
        <v>0</v>
      </c>
      <c r="X43" s="79"/>
      <c r="Y43" s="103" cm="1">
        <f t="array" ref="Y43">INDEX(InputArea,_xlfn.XMATCH($A$81,ColName),_xlfn.XMATCH(RIGHT(Y40),RowName))</f>
        <v>0</v>
      </c>
      <c r="Z43" s="103" cm="1">
        <f t="array" ref="Z43">INDEX(InputArea,_xlfn.XMATCH($B$81,ColName),_xlfn.XMATCH(RIGHT(Y40),RowName))</f>
        <v>0</v>
      </c>
      <c r="AA43" s="103" cm="1">
        <f t="array" ref="AA43">INDEX(InputArea,_xlfn.XMATCH($C$81,ColName),_xlfn.XMATCH(RIGHT(Y40),RowName))</f>
        <v>0</v>
      </c>
      <c r="AB43" s="103" cm="1">
        <f t="array" ref="AB43">INDEX(InputArea,_xlfn.XMATCH($D$81,ColName),_xlfn.XMATCH(RIGHT(Y40),RowName))</f>
        <v>0</v>
      </c>
      <c r="AC43" s="104" cm="1">
        <f t="array" ref="AC43">INDEX(InputArea,_xlfn.XMATCH($E$81,ColName),_xlfn.XMATCH(RIGHT(Y40),RowName))</f>
        <v>0</v>
      </c>
      <c r="AD43" s="79"/>
      <c r="AE43" s="104" cm="1">
        <f t="array" ref="AE43">INDEX(InputArea,_xlfn.XMATCH($G$81,ColName),_xlfn.XMATCH(RIGHT(AE40),RowName))</f>
        <v>0</v>
      </c>
      <c r="AF43" s="103" cm="1">
        <f t="array" ref="AF43">INDEX(InputArea,_xlfn.XMATCH($H$81,ColName),_xlfn.XMATCH(RIGHT(AE40),RowName))</f>
        <v>0</v>
      </c>
      <c r="AG43" s="103" cm="1">
        <f t="array" ref="AG43">INDEX(InputArea,_xlfn.XMATCH($I$81,ColName),_xlfn.XMATCH(RIGHT(AE40),RowName))</f>
        <v>0</v>
      </c>
      <c r="AH43" s="103" cm="1">
        <f t="array" ref="AH43">INDEX(InputArea,_xlfn.XMATCH($J$81,ColName),_xlfn.XMATCH(RIGHT(AE40),RowName))</f>
        <v>0</v>
      </c>
      <c r="AI43" s="103" cm="1">
        <f t="array" ref="AI43">INDEX(InputArea,_xlfn.XMATCH($K$81,ColName),_xlfn.XMATCH(RIGHT(AE40),RowName))</f>
        <v>0</v>
      </c>
      <c r="AJ43" s="79"/>
      <c r="AK43" s="103" cm="1">
        <f t="array" ref="AK43">INDEX(InputArea,_xlfn.XMATCH($G$81,ColName),_xlfn.XMATCH(RIGHT(AK40),RowName))</f>
        <v>0</v>
      </c>
      <c r="AL43" s="106" cm="1">
        <f t="array" ref="AL43">INDEX(InputArea,_xlfn.XMATCH($H$81,ColName),_xlfn.XMATCH(RIGHT(AK40),RowName))</f>
        <v>0</v>
      </c>
      <c r="AM43" s="103" cm="1">
        <f t="array" ref="AM43">INDEX(InputArea,_xlfn.XMATCH($I$81,ColName),_xlfn.XMATCH(RIGHT(AK40),RowName))</f>
        <v>0</v>
      </c>
      <c r="AN43" s="103" cm="1">
        <f t="array" ref="AN43">INDEX(InputArea,_xlfn.XMATCH($J$81,ColName),_xlfn.XMATCH(RIGHT(AK40),RowName))</f>
        <v>0</v>
      </c>
      <c r="AO43" s="103" cm="1">
        <f t="array" ref="AO43">INDEX(InputArea,_xlfn.XMATCH($K$81,ColName),_xlfn.XMATCH(RIGHT(AK40),RowName))</f>
        <v>0</v>
      </c>
      <c r="AP43" s="79"/>
      <c r="AQ43" s="103" cm="1">
        <f t="array" ref="AQ43">INDEX(InputArea,_xlfn.XMATCH($G$81,ColName),_xlfn.XMATCH(RIGHT(AQ40),RowName))</f>
        <v>0</v>
      </c>
      <c r="AR43" s="103" cm="1">
        <f t="array" ref="AR43">INDEX(InputArea,_xlfn.XMATCH($H$81,ColName),_xlfn.XMATCH(RIGHT(AQ40),RowName))</f>
        <v>0</v>
      </c>
      <c r="AS43" s="104" cm="1">
        <f t="array" ref="AS43">INDEX(InputArea,_xlfn.XMATCH($I$81,ColName),_xlfn.XMATCH(RIGHT(AQ40),RowName))</f>
        <v>0</v>
      </c>
      <c r="AT43" s="103" cm="1">
        <f t="array" ref="AT43">INDEX(InputArea,_xlfn.XMATCH($J$81,ColName),_xlfn.XMATCH(RIGHT(AQ40),RowName))</f>
        <v>0</v>
      </c>
      <c r="AU43" s="103" cm="1">
        <f t="array" ref="AU43">INDEX(InputArea,_xlfn.XMATCH($K$81,ColName),_xlfn.XMATCH(RIGHT(AQ40),RowName))</f>
        <v>0</v>
      </c>
      <c r="AV43" s="79"/>
      <c r="AW43" s="103" cm="1">
        <f t="array" ref="AW43">INDEX(InputArea,_xlfn.XMATCH($G$81,ColName),_xlfn.XMATCH(RIGHT(AW40),RowName))</f>
        <v>0</v>
      </c>
      <c r="AX43" s="103" cm="1">
        <f t="array" ref="AX43">INDEX(InputArea,_xlfn.XMATCH($H$81,ColName),_xlfn.XMATCH(RIGHT(AW40),RowName))</f>
        <v>0</v>
      </c>
      <c r="AY43" s="103" cm="1">
        <f t="array" ref="AY43">INDEX(InputArea,_xlfn.XMATCH($I$81,ColName),_xlfn.XMATCH(RIGHT(AW40),RowName))</f>
        <v>0</v>
      </c>
      <c r="AZ43" s="104" cm="1">
        <f t="array" ref="AZ43">INDEX(InputArea,_xlfn.XMATCH($J$81,ColName),_xlfn.XMATCH(RIGHT(AW40),RowName))</f>
        <v>0</v>
      </c>
      <c r="BA43" s="103" cm="1">
        <f t="array" ref="BA43">INDEX(InputArea,_xlfn.XMATCH($K$81,ColName),_xlfn.XMATCH(RIGHT(AW40),RowName))</f>
        <v>0</v>
      </c>
      <c r="BB43" s="79"/>
      <c r="BC43" s="103" cm="1">
        <f t="array" ref="BC43">INDEX(InputArea,_xlfn.XMATCH($G$81,ColName),_xlfn.XMATCH(RIGHT(BC40),RowName))</f>
        <v>0</v>
      </c>
      <c r="BD43" s="103" cm="1">
        <f t="array" ref="BD43">INDEX(InputArea,_xlfn.XMATCH($H$81,ColName),_xlfn.XMATCH(RIGHT(BC40),RowName))</f>
        <v>0</v>
      </c>
      <c r="BE43" s="103" cm="1">
        <f t="array" ref="BE43">INDEX(InputArea,_xlfn.XMATCH($I$81,ColName),_xlfn.XMATCH(RIGHT(BC40),RowName))</f>
        <v>0</v>
      </c>
      <c r="BF43" s="103" cm="1">
        <f t="array" ref="BF43">INDEX(InputArea,_xlfn.XMATCH($J$81,ColName),_xlfn.XMATCH(RIGHT(BC40),RowName))</f>
        <v>0</v>
      </c>
      <c r="BG43" s="104" cm="1">
        <f t="array" ref="BG43">INDEX(InputArea,_xlfn.XMATCH($K$81,ColName),_xlfn.XMATCH(RIGHT(BC40),RowName))</f>
        <v>0</v>
      </c>
    </row>
    <row r="44" spans="1:59" x14ac:dyDescent="0.4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ht="25.5" x14ac:dyDescent="0.4">
      <c r="A45" s="10" t="s">
        <v>16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10" t="s">
        <v>4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79" t="s">
        <v>32</v>
      </c>
      <c r="B46" s="79"/>
      <c r="C46" s="79"/>
      <c r="D46" s="79"/>
      <c r="E46" s="79"/>
      <c r="F46" s="79"/>
      <c r="G46" s="79" t="s">
        <v>33</v>
      </c>
      <c r="H46" s="79"/>
      <c r="I46" s="79"/>
      <c r="J46" s="79"/>
      <c r="K46" s="79"/>
      <c r="L46" s="79"/>
      <c r="M46" s="79" t="s">
        <v>34</v>
      </c>
      <c r="N46" s="79"/>
      <c r="O46" s="79"/>
      <c r="P46" s="79"/>
      <c r="Q46" s="79"/>
      <c r="R46" s="79"/>
      <c r="S46" s="79" t="s">
        <v>35</v>
      </c>
      <c r="T46" s="79"/>
      <c r="U46" s="79"/>
      <c r="V46" s="79"/>
      <c r="W46" s="79"/>
      <c r="X46" s="79"/>
      <c r="Y46" s="79" t="s">
        <v>36</v>
      </c>
      <c r="Z46" s="79"/>
      <c r="AA46" s="79"/>
      <c r="AB46" s="79"/>
      <c r="AC46" s="79"/>
      <c r="AD46" s="79"/>
      <c r="AE46" s="79" t="s">
        <v>47</v>
      </c>
      <c r="AF46" s="79"/>
      <c r="AG46" s="79"/>
      <c r="AH46" s="79"/>
      <c r="AI46" s="79"/>
      <c r="AJ46" s="79"/>
      <c r="AK46" s="79" t="s">
        <v>48</v>
      </c>
      <c r="AL46" s="79"/>
      <c r="AM46" s="79"/>
      <c r="AN46" s="79"/>
      <c r="AO46" s="79"/>
      <c r="AP46" s="79"/>
      <c r="AQ46" s="79" t="s">
        <v>49</v>
      </c>
      <c r="AR46" s="79"/>
      <c r="AS46" s="79"/>
      <c r="AT46" s="79"/>
      <c r="AU46" s="79"/>
      <c r="AV46" s="79"/>
      <c r="AW46" s="79" t="s">
        <v>50</v>
      </c>
      <c r="AX46" s="79"/>
      <c r="AY46" s="79"/>
      <c r="AZ46" s="79"/>
      <c r="BA46" s="79"/>
      <c r="BB46" s="79"/>
      <c r="BC46" s="79" t="s">
        <v>51</v>
      </c>
      <c r="BD46" s="79"/>
      <c r="BE46" s="79"/>
      <c r="BF46" s="79"/>
      <c r="BG46" s="79"/>
    </row>
    <row r="47" spans="1:59" x14ac:dyDescent="0.4">
      <c r="A47" s="103" cm="1">
        <f t="array" ref="A47">INDEX(InputArea,_xlfn.XMATCH($A$84,ColName),_xlfn.XMATCH(RIGHT(A46),RowName))</f>
        <v>0</v>
      </c>
      <c r="B47" s="103" cm="1">
        <f t="array" ref="B47">INDEX(InputArea,_xlfn.XMATCH($B$84,ColName),_xlfn.XMATCH(RIGHT(A46),RowName))</f>
        <v>0</v>
      </c>
      <c r="C47" s="103" cm="1">
        <f t="array" ref="C47">INDEX(InputArea,_xlfn.XMATCH($C$84,ColName),_xlfn.XMATCH(RIGHT(A46),RowName))</f>
        <v>0</v>
      </c>
      <c r="D47" s="103" cm="1">
        <f t="array" ref="D47">INDEX(InputArea,_xlfn.XMATCH($D$84,ColName),_xlfn.XMATCH(RIGHT(A46),RowName))</f>
        <v>0</v>
      </c>
      <c r="E47" s="103" cm="1">
        <f t="array" ref="E47">INDEX(InputArea,_xlfn.XMATCH($E$84,ColName),_xlfn.XMATCH(RIGHT(A46),RowName))</f>
        <v>0</v>
      </c>
      <c r="F47" s="79"/>
      <c r="G47" s="103" cm="1">
        <f t="array" ref="G47">INDEX(InputArea,_xlfn.XMATCH($A$84,ColName),_xlfn.XMATCH(RIGHT(G46),RowName))</f>
        <v>0</v>
      </c>
      <c r="H47" s="103" cm="1">
        <f t="array" ref="H47">INDEX(InputArea,_xlfn.XMATCH($B$84,ColName),_xlfn.XMATCH(RIGHT(G46),RowName))</f>
        <v>0</v>
      </c>
      <c r="I47" s="103" cm="1">
        <f t="array" ref="I47">INDEX(InputArea,_xlfn.XMATCH($C$84,ColName),_xlfn.XMATCH(RIGHT(G46),RowName))</f>
        <v>0</v>
      </c>
      <c r="J47" s="103" cm="1">
        <f t="array" ref="J47">INDEX(InputArea,_xlfn.XMATCH($D$84,ColName),_xlfn.XMATCH(RIGHT(G46),RowName))</f>
        <v>0</v>
      </c>
      <c r="K47" s="103" cm="1">
        <f t="array" ref="K47">INDEX(InputArea,_xlfn.XMATCH($E$84,ColName),_xlfn.XMATCH(RIGHT(G46),RowName))</f>
        <v>0</v>
      </c>
      <c r="L47" s="79"/>
      <c r="M47" s="103" cm="1">
        <f t="array" ref="M47">INDEX(InputArea,_xlfn.XMATCH($A$84,ColName),_xlfn.XMATCH(RIGHT(M46),RowName))</f>
        <v>0</v>
      </c>
      <c r="N47" s="103" cm="1">
        <f t="array" ref="N47">INDEX(InputArea,_xlfn.XMATCH($B$84,ColName),_xlfn.XMATCH(RIGHT(M46),RowName))</f>
        <v>0</v>
      </c>
      <c r="O47" s="103" cm="1">
        <f t="array" ref="O47">INDEX(InputArea,_xlfn.XMATCH($C$84,ColName),_xlfn.XMATCH(RIGHT(M46),RowName))</f>
        <v>0</v>
      </c>
      <c r="P47" s="103" cm="1">
        <f t="array" ref="P47">INDEX(InputArea,_xlfn.XMATCH($D$84,ColName),_xlfn.XMATCH(RIGHT(M46),RowName))</f>
        <v>0</v>
      </c>
      <c r="Q47" s="103" cm="1">
        <f t="array" ref="Q47">INDEX(InputArea,_xlfn.XMATCH($E$84,ColName),_xlfn.XMATCH(RIGHT(M46),RowName))</f>
        <v>0</v>
      </c>
      <c r="R47" s="79"/>
      <c r="S47" s="103" cm="1">
        <f t="array" ref="S47">INDEX(InputArea,_xlfn.XMATCH($A$84,ColName),_xlfn.XMATCH(RIGHT(S46),RowName))</f>
        <v>0</v>
      </c>
      <c r="T47" s="103" cm="1">
        <f t="array" ref="T47">INDEX(InputArea,_xlfn.XMATCH($B$84,ColName),_xlfn.XMATCH(RIGHT(S46),RowName))</f>
        <v>0</v>
      </c>
      <c r="U47" s="103" cm="1">
        <f t="array" ref="U47">INDEX(InputArea,_xlfn.XMATCH($C$84,ColName),_xlfn.XMATCH(RIGHT(S46),RowName))</f>
        <v>0</v>
      </c>
      <c r="V47" s="103" cm="1">
        <f t="array" ref="V47">INDEX(InputArea,_xlfn.XMATCH($D$84,ColName),_xlfn.XMATCH(RIGHT(S46),RowName))</f>
        <v>0</v>
      </c>
      <c r="W47" s="103" cm="1">
        <f t="array" ref="W47">INDEX(InputArea,_xlfn.XMATCH($E$84,ColName),_xlfn.XMATCH(RIGHT(S46),RowName))</f>
        <v>0</v>
      </c>
      <c r="X47" s="79"/>
      <c r="Y47" s="103" cm="1">
        <f t="array" ref="Y47">INDEX(InputArea,_xlfn.XMATCH($A$84,ColName),_xlfn.XMATCH(RIGHT(Y46),RowName))</f>
        <v>0</v>
      </c>
      <c r="Z47" s="103" cm="1">
        <f t="array" ref="Z47">INDEX(InputArea,_xlfn.XMATCH($B$84,ColName),_xlfn.XMATCH(RIGHT(Y46),RowName))</f>
        <v>0</v>
      </c>
      <c r="AA47" s="103" cm="1">
        <f t="array" ref="AA47">INDEX(InputArea,_xlfn.XMATCH($C$84,ColName),_xlfn.XMATCH(RIGHT(Y46),RowName))</f>
        <v>0</v>
      </c>
      <c r="AB47" s="103" cm="1">
        <f t="array" ref="AB47">INDEX(InputArea,_xlfn.XMATCH($D$84,ColName),_xlfn.XMATCH(RIGHT(Y46),RowName))</f>
        <v>0</v>
      </c>
      <c r="AC47" s="103" cm="1">
        <f t="array" ref="AC47">INDEX(InputArea,_xlfn.XMATCH($E$84,ColName),_xlfn.XMATCH(RIGHT(Y46),RowName))</f>
        <v>0</v>
      </c>
      <c r="AD47" s="79"/>
      <c r="AE47" s="103" cm="1">
        <f t="array" ref="AE47">INDEX(InputArea,_xlfn.XMATCH($G$84,ColName),_xlfn.XMATCH(RIGHT(AE46),RowName))</f>
        <v>0</v>
      </c>
      <c r="AF47" s="103" cm="1">
        <f t="array" ref="AF47">INDEX(InputArea,_xlfn.XMATCH($H$84,ColName),_xlfn.XMATCH(RIGHT(AE46),RowName))</f>
        <v>0</v>
      </c>
      <c r="AG47" s="103" cm="1">
        <f t="array" ref="AG47">INDEX(InputArea,_xlfn.XMATCH($I$84,ColName),_xlfn.XMATCH(RIGHT(AE46),RowName))</f>
        <v>0</v>
      </c>
      <c r="AH47" s="103" cm="1">
        <f t="array" ref="AH47">INDEX(InputArea,_xlfn.XMATCH($J$84,ColName),_xlfn.XMATCH(RIGHT(AE46),RowName))</f>
        <v>0</v>
      </c>
      <c r="AI47" s="103" cm="1">
        <f t="array" ref="AI47">INDEX(InputArea,_xlfn.XMATCH($K$84,ColName),_xlfn.XMATCH(RIGHT(AE46),RowName))</f>
        <v>0</v>
      </c>
      <c r="AJ47" s="79"/>
      <c r="AK47" s="103" cm="1">
        <f t="array" ref="AK47">INDEX(InputArea,_xlfn.XMATCH($G$84,ColName),_xlfn.XMATCH(RIGHT(AK46),RowName))</f>
        <v>0</v>
      </c>
      <c r="AL47" s="103" cm="1">
        <f t="array" ref="AL47">INDEX(InputArea,_xlfn.XMATCH($H$84,ColName),_xlfn.XMATCH(RIGHT(AK46),RowName))</f>
        <v>0</v>
      </c>
      <c r="AM47" s="103" cm="1">
        <f t="array" ref="AM47">INDEX(InputArea,_xlfn.XMATCH($I$84,ColName),_xlfn.XMATCH(RIGHT(AK46),RowName))</f>
        <v>0</v>
      </c>
      <c r="AN47" s="103" cm="1">
        <f t="array" ref="AN47">INDEX(InputArea,_xlfn.XMATCH($J$84,ColName),_xlfn.XMATCH(RIGHT(AK46),RowName))</f>
        <v>0</v>
      </c>
      <c r="AO47" s="103" cm="1">
        <f t="array" ref="AO47">INDEX(InputArea,_xlfn.XMATCH($K$84,ColName),_xlfn.XMATCH(RIGHT(AK46),RowName))</f>
        <v>0</v>
      </c>
      <c r="AP47" s="79"/>
      <c r="AQ47" s="103" cm="1">
        <f t="array" ref="AQ47">INDEX(InputArea,_xlfn.XMATCH($G$84,ColName),_xlfn.XMATCH(RIGHT(AQ46),RowName))</f>
        <v>0</v>
      </c>
      <c r="AR47" s="103" cm="1">
        <f t="array" ref="AR47">INDEX(InputArea,_xlfn.XMATCH($H$84,ColName),_xlfn.XMATCH(RIGHT(AQ46),RowName))</f>
        <v>0</v>
      </c>
      <c r="AS47" s="103" cm="1">
        <f t="array" ref="AS47">INDEX(InputArea,_xlfn.XMATCH($I$84,ColName),_xlfn.XMATCH(RIGHT(AQ46),RowName))</f>
        <v>0</v>
      </c>
      <c r="AT47" s="103" cm="1">
        <f t="array" ref="AT47">INDEX(InputArea,_xlfn.XMATCH($J$84,ColName),_xlfn.XMATCH(RIGHT(AQ46),RowName))</f>
        <v>0</v>
      </c>
      <c r="AU47" s="103" cm="1">
        <f t="array" ref="AU47">INDEX(InputArea,_xlfn.XMATCH($K$84,ColName),_xlfn.XMATCH(RIGHT(AQ46),RowName))</f>
        <v>0</v>
      </c>
      <c r="AV47" s="79"/>
      <c r="AW47" s="103" cm="1">
        <f t="array" ref="AW47">INDEX(InputArea,_xlfn.XMATCH($G$84,ColName),_xlfn.XMATCH(RIGHT(AW46),RowName))</f>
        <v>0</v>
      </c>
      <c r="AX47" s="103" cm="1">
        <f t="array" ref="AX47">INDEX(InputArea,_xlfn.XMATCH($H$84,ColName),_xlfn.XMATCH(RIGHT(AW46),RowName))</f>
        <v>0</v>
      </c>
      <c r="AY47" s="103" cm="1">
        <f t="array" ref="AY47">INDEX(InputArea,_xlfn.XMATCH($I$84,ColName),_xlfn.XMATCH(RIGHT(AW46),RowName))</f>
        <v>0</v>
      </c>
      <c r="AZ47" s="103" cm="1">
        <f t="array" ref="AZ47">INDEX(InputArea,_xlfn.XMATCH($J$84,ColName),_xlfn.XMATCH(RIGHT(AW46),RowName))</f>
        <v>0</v>
      </c>
      <c r="BA47" s="103" cm="1">
        <f t="array" ref="BA47">INDEX(InputArea,_xlfn.XMATCH($K$84,ColName),_xlfn.XMATCH(RIGHT(AW46),RowName))</f>
        <v>0</v>
      </c>
      <c r="BB47" s="79"/>
      <c r="BC47" s="103" cm="1">
        <f t="array" ref="BC47">INDEX(InputArea,_xlfn.XMATCH($G$84,ColName),_xlfn.XMATCH(RIGHT(BC46),RowName))</f>
        <v>0</v>
      </c>
      <c r="BD47" s="103" cm="1">
        <f t="array" ref="BD47">INDEX(InputArea,_xlfn.XMATCH($H$84,ColName),_xlfn.XMATCH(RIGHT(BC46),RowName))</f>
        <v>0</v>
      </c>
      <c r="BE47" s="103" cm="1">
        <f t="array" ref="BE47">INDEX(InputArea,_xlfn.XMATCH($I$84,ColName),_xlfn.XMATCH(RIGHT(BC46),RowName))</f>
        <v>0</v>
      </c>
      <c r="BF47" s="103" cm="1">
        <f t="array" ref="BF47">INDEX(InputArea,_xlfn.XMATCH($J$84,ColName),_xlfn.XMATCH(RIGHT(BC46),RowName))</f>
        <v>0</v>
      </c>
      <c r="BG47" s="103" cm="1">
        <f t="array" ref="BG47">INDEX(InputArea,_xlfn.XMATCH($K$84,ColName),_xlfn.XMATCH(RIGHT(BC46),RowName))</f>
        <v>0</v>
      </c>
    </row>
    <row r="48" spans="1:59" ht="19.5" thickBot="1" x14ac:dyDescent="0.45">
      <c r="A48" s="103" cm="1">
        <f t="array" ref="A48">INDEX(InputArea,_xlfn.XMATCH($A$85,ColName),_xlfn.XMATCH(RIGHT(A46),RowName))</f>
        <v>0</v>
      </c>
      <c r="B48" s="102" cm="1">
        <f t="array" ref="B48">INDEX(InputArea,_xlfn.XMATCH($B$85,ColName),_xlfn.XMATCH(RIGHT(A46),RowName))</f>
        <v>0</v>
      </c>
      <c r="C48" s="103" cm="1">
        <f t="array" ref="C48">INDEX(InputArea,_xlfn.XMATCH($C$85,ColName),_xlfn.XMATCH(RIGHT(A46),RowName))</f>
        <v>0</v>
      </c>
      <c r="D48" s="103" cm="1">
        <f t="array" ref="D48">INDEX(InputArea,_xlfn.XMATCH($D$85,ColName),_xlfn.XMATCH(RIGHT(A46),RowName))</f>
        <v>0</v>
      </c>
      <c r="E48" s="103" cm="1">
        <f t="array" ref="E48">INDEX(InputArea,_xlfn.XMATCH($E$85,ColName),_xlfn.XMATCH(RIGHT(A46),RowName))</f>
        <v>0</v>
      </c>
      <c r="F48" s="79"/>
      <c r="G48" s="103" cm="1">
        <f t="array" ref="G48">INDEX(InputArea,_xlfn.XMATCH($A$85,ColName),_xlfn.XMATCH(RIGHT(G46),RowName))</f>
        <v>0</v>
      </c>
      <c r="H48" s="102" cm="1">
        <f t="array" ref="H48">INDEX(InputArea,_xlfn.XMATCH($B$85,ColName),_xlfn.XMATCH(RIGHT(G46),RowName))</f>
        <v>0</v>
      </c>
      <c r="I48" s="103" cm="1">
        <f t="array" ref="I48">INDEX(InputArea,_xlfn.XMATCH($C$85,ColName),_xlfn.XMATCH(RIGHT(G46),RowName))</f>
        <v>0</v>
      </c>
      <c r="J48" s="103" cm="1">
        <f t="array" ref="J48">INDEX(InputArea,_xlfn.XMATCH($D$85,ColName),_xlfn.XMATCH(RIGHT(G46),RowName))</f>
        <v>0</v>
      </c>
      <c r="K48" s="103" cm="1">
        <f t="array" ref="K48">INDEX(InputArea,_xlfn.XMATCH($E$85,ColName),_xlfn.XMATCH(RIGHT(G46),RowName))</f>
        <v>0</v>
      </c>
      <c r="L48" s="79"/>
      <c r="M48" s="103" cm="1">
        <f t="array" ref="M48">INDEX(InputArea,_xlfn.XMATCH($A$85,ColName),_xlfn.XMATCH(RIGHT(M46),RowName))</f>
        <v>0</v>
      </c>
      <c r="N48" s="102" cm="1">
        <f t="array" ref="N48">INDEX(InputArea,_xlfn.XMATCH($B$85,ColName),_xlfn.XMATCH(RIGHT(M46),RowName))</f>
        <v>0</v>
      </c>
      <c r="O48" s="103" cm="1">
        <f t="array" ref="O48">INDEX(InputArea,_xlfn.XMATCH($C$85,ColName),_xlfn.XMATCH(RIGHT(M46),RowName))</f>
        <v>0</v>
      </c>
      <c r="P48" s="103" cm="1">
        <f t="array" ref="P48">INDEX(InputArea,_xlfn.XMATCH($D$85,ColName),_xlfn.XMATCH(RIGHT(M46),RowName))</f>
        <v>0</v>
      </c>
      <c r="Q48" s="103" cm="1">
        <f t="array" ref="Q48">INDEX(InputArea,_xlfn.XMATCH($E$85,ColName),_xlfn.XMATCH(RIGHT(M46),RowName))</f>
        <v>0</v>
      </c>
      <c r="R48" s="79"/>
      <c r="S48" s="103" cm="1">
        <f t="array" ref="S48">INDEX(InputArea,_xlfn.XMATCH($A$85,ColName),_xlfn.XMATCH(RIGHT(S46),RowName))</f>
        <v>0</v>
      </c>
      <c r="T48" s="102" cm="1">
        <f t="array" ref="T48">INDEX(InputArea,_xlfn.XMATCH($B$85,ColName),_xlfn.XMATCH(RIGHT(S46),RowName))</f>
        <v>0</v>
      </c>
      <c r="U48" s="103" cm="1">
        <f t="array" ref="U48">INDEX(InputArea,_xlfn.XMATCH($C$85,ColName),_xlfn.XMATCH(RIGHT(S46),RowName))</f>
        <v>0</v>
      </c>
      <c r="V48" s="103" cm="1">
        <f t="array" ref="V48">INDEX(InputArea,_xlfn.XMATCH($D$85,ColName),_xlfn.XMATCH(RIGHT(S46),RowName))</f>
        <v>0</v>
      </c>
      <c r="W48" s="103" cm="1">
        <f t="array" ref="W48">INDEX(InputArea,_xlfn.XMATCH($E$85,ColName),_xlfn.XMATCH(RIGHT(S46),RowName))</f>
        <v>0</v>
      </c>
      <c r="X48" s="79"/>
      <c r="Y48" s="103" cm="1">
        <f t="array" ref="Y48">INDEX(InputArea,_xlfn.XMATCH($A$85,ColName),_xlfn.XMATCH(RIGHT(Y46),RowName))</f>
        <v>0</v>
      </c>
      <c r="Z48" s="102" cm="1">
        <f t="array" ref="Z48">INDEX(InputArea,_xlfn.XMATCH($B$85,ColName),_xlfn.XMATCH(RIGHT(Y46),RowName))</f>
        <v>0</v>
      </c>
      <c r="AA48" s="103" cm="1">
        <f t="array" ref="AA48">INDEX(InputArea,_xlfn.XMATCH($C$85,ColName),_xlfn.XMATCH(RIGHT(Y46),RowName))</f>
        <v>0</v>
      </c>
      <c r="AB48" s="103" cm="1">
        <f t="array" ref="AB48">INDEX(InputArea,_xlfn.XMATCH($D$85,ColName),_xlfn.XMATCH(RIGHT(Y46),RowName))</f>
        <v>0</v>
      </c>
      <c r="AC48" s="103" cm="1">
        <f t="array" ref="AC48">INDEX(InputArea,_xlfn.XMATCH($E$85,ColName),_xlfn.XMATCH(RIGHT(Y46),RowName))</f>
        <v>0</v>
      </c>
      <c r="AD48" s="79"/>
      <c r="AE48" s="103" cm="1">
        <f t="array" ref="AE48">INDEX(InputArea,_xlfn.XMATCH($G$85,ColName),_xlfn.XMATCH(RIGHT(AE46),RowName))</f>
        <v>0</v>
      </c>
      <c r="AF48" s="103" cm="1">
        <f t="array" ref="AF48">INDEX(InputArea,_xlfn.XMATCH($H$85,ColName),_xlfn.XMATCH(RIGHT(AE46),RowName))</f>
        <v>0</v>
      </c>
      <c r="AG48" s="103" cm="1">
        <f t="array" ref="AG48">INDEX(InputArea,_xlfn.XMATCH($I$85,ColName),_xlfn.XMATCH(RIGHT(AE46),RowName))</f>
        <v>0</v>
      </c>
      <c r="AH48" s="102" cm="1">
        <f t="array" ref="AH48">INDEX(InputArea,_xlfn.XMATCH($J$85,ColName),_xlfn.XMATCH(RIGHT(AE46),RowName))</f>
        <v>0</v>
      </c>
      <c r="AI48" s="103" cm="1">
        <f t="array" ref="AI48">INDEX(InputArea,_xlfn.XMATCH($K$85,ColName),_xlfn.XMATCH(RIGHT(AE46),RowName))</f>
        <v>0</v>
      </c>
      <c r="AJ48" s="79"/>
      <c r="AK48" s="103" cm="1">
        <f t="array" ref="AK48">INDEX(InputArea,_xlfn.XMATCH($G$85,ColName),_xlfn.XMATCH(RIGHT(AK46),RowName))</f>
        <v>0</v>
      </c>
      <c r="AL48" s="103" cm="1">
        <f t="array" ref="AL48">INDEX(InputArea,_xlfn.XMATCH($H$85,ColName),_xlfn.XMATCH(RIGHT(AK46),RowName))</f>
        <v>0</v>
      </c>
      <c r="AM48" s="103" cm="1">
        <f t="array" ref="AM48">INDEX(InputArea,_xlfn.XMATCH($I$85,ColName),_xlfn.XMATCH(RIGHT(AK46),RowName))</f>
        <v>0</v>
      </c>
      <c r="AN48" s="102" cm="1">
        <f t="array" ref="AN48">INDEX(InputArea,_xlfn.XMATCH($J$85,ColName),_xlfn.XMATCH(RIGHT(AK46),RowName))</f>
        <v>0</v>
      </c>
      <c r="AO48" s="103" cm="1">
        <f t="array" ref="AO48">INDEX(InputArea,_xlfn.XMATCH($K$85,ColName),_xlfn.XMATCH(RIGHT(AK46),RowName))</f>
        <v>0</v>
      </c>
      <c r="AP48" s="79"/>
      <c r="AQ48" s="103" cm="1">
        <f t="array" ref="AQ48">INDEX(InputArea,_xlfn.XMATCH($G$85,ColName),_xlfn.XMATCH(RIGHT(AQ46),RowName))</f>
        <v>0</v>
      </c>
      <c r="AR48" s="103" cm="1">
        <f t="array" ref="AR48">INDEX(InputArea,_xlfn.XMATCH($H$85,ColName),_xlfn.XMATCH(RIGHT(AQ46),RowName))</f>
        <v>0</v>
      </c>
      <c r="AS48" s="103" cm="1">
        <f t="array" ref="AS48">INDEX(InputArea,_xlfn.XMATCH($I$85,ColName),_xlfn.XMATCH(RIGHT(AQ46),RowName))</f>
        <v>0</v>
      </c>
      <c r="AT48" s="102" cm="1">
        <f t="array" ref="AT48">INDEX(InputArea,_xlfn.XMATCH($J$85,ColName),_xlfn.XMATCH(RIGHT(AQ46),RowName))</f>
        <v>0</v>
      </c>
      <c r="AU48" s="103" cm="1">
        <f t="array" ref="AU48">INDEX(InputArea,_xlfn.XMATCH($K$85,ColName),_xlfn.XMATCH(RIGHT(AQ46),RowName))</f>
        <v>0</v>
      </c>
      <c r="AV48" s="79"/>
      <c r="AW48" s="103" cm="1">
        <f t="array" ref="AW48">INDEX(InputArea,_xlfn.XMATCH($G$85,ColName),_xlfn.XMATCH(RIGHT(AW46),RowName))</f>
        <v>0</v>
      </c>
      <c r="AX48" s="103" cm="1">
        <f t="array" ref="AX48">INDEX(InputArea,_xlfn.XMATCH($H$85,ColName),_xlfn.XMATCH(RIGHT(AW46),RowName))</f>
        <v>0</v>
      </c>
      <c r="AY48" s="103" cm="1">
        <f t="array" ref="AY48">INDEX(InputArea,_xlfn.XMATCH($I$85,ColName),_xlfn.XMATCH(RIGHT(AW46),RowName))</f>
        <v>0</v>
      </c>
      <c r="AZ48" s="102" cm="1">
        <f t="array" ref="AZ48">INDEX(InputArea,_xlfn.XMATCH($J$85,ColName),_xlfn.XMATCH(RIGHT(AW46),RowName))</f>
        <v>0</v>
      </c>
      <c r="BA48" s="103" cm="1">
        <f t="array" ref="BA48">INDEX(InputArea,_xlfn.XMATCH($K$85,ColName),_xlfn.XMATCH(RIGHT(AW46),RowName))</f>
        <v>0</v>
      </c>
      <c r="BB48" s="79"/>
      <c r="BC48" s="103" cm="1">
        <f t="array" ref="BC48">INDEX(InputArea,_xlfn.XMATCH($G$85,ColName),_xlfn.XMATCH(RIGHT(BC46),RowName))</f>
        <v>0</v>
      </c>
      <c r="BD48" s="103" cm="1">
        <f t="array" ref="BD48">INDEX(InputArea,_xlfn.XMATCH($H$85,ColName),_xlfn.XMATCH(RIGHT(BC46),RowName))</f>
        <v>0</v>
      </c>
      <c r="BE48" s="103" cm="1">
        <f t="array" ref="BE48">INDEX(InputArea,_xlfn.XMATCH($I$85,ColName),_xlfn.XMATCH(RIGHT(BC46),RowName))</f>
        <v>0</v>
      </c>
      <c r="BF48" s="102" cm="1">
        <f t="array" ref="BF48">INDEX(InputArea,_xlfn.XMATCH($J$85,ColName),_xlfn.XMATCH(RIGHT(BC46),RowName))</f>
        <v>0</v>
      </c>
      <c r="BG48" s="103" cm="1">
        <f t="array" ref="BG48">INDEX(InputArea,_xlfn.XMATCH($K$85,ColName),_xlfn.XMATCH(RIGHT(BC46),RowName))</f>
        <v>0</v>
      </c>
    </row>
    <row r="49" spans="1:59" x14ac:dyDescent="0.4">
      <c r="A49" s="103" cm="1">
        <f t="array" ref="A49">INDEX(InputArea,_xlfn.XMATCH($A$86,ColName),_xlfn.XMATCH(RIGHT(A46),RowName))</f>
        <v>0</v>
      </c>
      <c r="B49" s="103" cm="1">
        <f t="array" ref="B49">INDEX(InputArea,_xlfn.XMATCH($B$86,ColName),_xlfn.XMATCH(RIGHT(A46),RowName))</f>
        <v>0</v>
      </c>
      <c r="C49" s="103" cm="1">
        <f t="array" ref="C49">INDEX(InputArea,_xlfn.XMATCH($C$86,ColName),_xlfn.XMATCH(RIGHT(A46),RowName))</f>
        <v>0</v>
      </c>
      <c r="D49" s="103" cm="1">
        <f t="array" ref="D49">INDEX(InputArea,_xlfn.XMATCH($D$86,ColName),_xlfn.XMATCH(RIGHT(A46),RowName))</f>
        <v>0</v>
      </c>
      <c r="E49" s="103" cm="1">
        <f t="array" ref="E49">INDEX(InputArea,_xlfn.XMATCH($E$86,ColName),_xlfn.XMATCH(RIGHT(A46),RowName))</f>
        <v>0</v>
      </c>
      <c r="F49" s="79"/>
      <c r="G49" s="103" cm="1">
        <f t="array" ref="G49">INDEX(InputArea,_xlfn.XMATCH($A$86,ColName),_xlfn.XMATCH(RIGHT(G46),RowName))</f>
        <v>0</v>
      </c>
      <c r="H49" s="103" cm="1">
        <f t="array" ref="H49">INDEX(InputArea,_xlfn.XMATCH($B$86,ColName),_xlfn.XMATCH(RIGHT(G46),RowName))</f>
        <v>0</v>
      </c>
      <c r="I49" s="103" cm="1">
        <f t="array" ref="I49">INDEX(InputArea,_xlfn.XMATCH($C$86,ColName),_xlfn.XMATCH(RIGHT(G46),RowName))</f>
        <v>0</v>
      </c>
      <c r="J49" s="103" cm="1">
        <f t="array" ref="J49">INDEX(InputArea,_xlfn.XMATCH($D$86,ColName),_xlfn.XMATCH(RIGHT(G46),RowName))</f>
        <v>0</v>
      </c>
      <c r="K49" s="103" cm="1">
        <f t="array" ref="K49">INDEX(InputArea,_xlfn.XMATCH($E$86,ColName),_xlfn.XMATCH(RIGHT(G46),RowName))</f>
        <v>0</v>
      </c>
      <c r="L49" s="79"/>
      <c r="M49" s="103" cm="1">
        <f t="array" ref="M49">INDEX(InputArea,_xlfn.XMATCH($A$86,ColName),_xlfn.XMATCH(RIGHT(M46),RowName))</f>
        <v>0</v>
      </c>
      <c r="N49" s="103" cm="1">
        <f t="array" ref="N49">INDEX(InputArea,_xlfn.XMATCH($B$86,ColName),_xlfn.XMATCH(RIGHT(M46),RowName))</f>
        <v>0</v>
      </c>
      <c r="O49" s="103" cm="1">
        <f t="array" ref="O49">INDEX(InputArea,_xlfn.XMATCH($C$86,ColName),_xlfn.XMATCH(RIGHT(M46),RowName))</f>
        <v>0</v>
      </c>
      <c r="P49" s="103" cm="1">
        <f t="array" ref="P49">INDEX(InputArea,_xlfn.XMATCH($D$86,ColName),_xlfn.XMATCH(RIGHT(M46),RowName))</f>
        <v>0</v>
      </c>
      <c r="Q49" s="103" cm="1">
        <f t="array" ref="Q49">INDEX(InputArea,_xlfn.XMATCH($E$86,ColName),_xlfn.XMATCH(RIGHT(M46),RowName))</f>
        <v>0</v>
      </c>
      <c r="R49" s="79"/>
      <c r="S49" s="103" cm="1">
        <f t="array" ref="S49">INDEX(InputArea,_xlfn.XMATCH($A$86,ColName),_xlfn.XMATCH(RIGHT(S46),RowName))</f>
        <v>0</v>
      </c>
      <c r="T49" s="103" cm="1">
        <f t="array" ref="T49">INDEX(InputArea,_xlfn.XMATCH($B$86,ColName),_xlfn.XMATCH(RIGHT(S46),RowName))</f>
        <v>0</v>
      </c>
      <c r="U49" s="103" cm="1">
        <f t="array" ref="U49">INDEX(InputArea,_xlfn.XMATCH($C$86,ColName),_xlfn.XMATCH(RIGHT(S46),RowName))</f>
        <v>0</v>
      </c>
      <c r="V49" s="103" cm="1">
        <f t="array" ref="V49">INDEX(InputArea,_xlfn.XMATCH($D$86,ColName),_xlfn.XMATCH(RIGHT(S46),RowName))</f>
        <v>0</v>
      </c>
      <c r="W49" s="103" cm="1">
        <f t="array" ref="W49">INDEX(InputArea,_xlfn.XMATCH($E$86,ColName),_xlfn.XMATCH(RIGHT(S46),RowName))</f>
        <v>0</v>
      </c>
      <c r="X49" s="79"/>
      <c r="Y49" s="103" cm="1">
        <f t="array" ref="Y49">INDEX(InputArea,_xlfn.XMATCH($A$86,ColName),_xlfn.XMATCH(RIGHT(Y46),RowName))</f>
        <v>0</v>
      </c>
      <c r="Z49" s="103" cm="1">
        <f t="array" ref="Z49">INDEX(InputArea,_xlfn.XMATCH($B$86,ColName),_xlfn.XMATCH(RIGHT(Y46),RowName))</f>
        <v>0</v>
      </c>
      <c r="AA49" s="103" cm="1">
        <f t="array" ref="AA49">INDEX(InputArea,_xlfn.XMATCH($C$86,ColName),_xlfn.XMATCH(RIGHT(Y46),RowName))</f>
        <v>0</v>
      </c>
      <c r="AB49" s="103" cm="1">
        <f t="array" ref="AB49">INDEX(InputArea,_xlfn.XMATCH($D$86,ColName),_xlfn.XMATCH(RIGHT(Y46),RowName))</f>
        <v>0</v>
      </c>
      <c r="AC49" s="103" cm="1">
        <f t="array" ref="AC49">INDEX(InputArea,_xlfn.XMATCH($E$86,ColName),_xlfn.XMATCH(RIGHT(Y46),RowName))</f>
        <v>0</v>
      </c>
      <c r="AD49" s="79"/>
      <c r="AE49" s="103" cm="1">
        <f t="array" ref="AE49">INDEX(InputArea,_xlfn.XMATCH($G$86,ColName),_xlfn.XMATCH(RIGHT(AE46),RowName))</f>
        <v>0</v>
      </c>
      <c r="AF49" s="103" cm="1">
        <f t="array" ref="AF49">INDEX(InputArea,_xlfn.XMATCH($H$86,ColName),_xlfn.XMATCH(RIGHT(AE46),RowName))</f>
        <v>0</v>
      </c>
      <c r="AG49" s="103" cm="1">
        <f t="array" ref="AG49">INDEX(InputArea,_xlfn.XMATCH($I$86,ColName),_xlfn.XMATCH(RIGHT(AE46),RowName))</f>
        <v>0</v>
      </c>
      <c r="AH49" s="103" cm="1">
        <f t="array" ref="AH49">INDEX(InputArea,_xlfn.XMATCH($J$86,ColName),_xlfn.XMATCH(RIGHT(AE46),RowName))</f>
        <v>0</v>
      </c>
      <c r="AI49" s="103" cm="1">
        <f t="array" ref="AI49">INDEX(InputArea,_xlfn.XMATCH($K$86,ColName),_xlfn.XMATCH(RIGHT(AE46),RowName))</f>
        <v>0</v>
      </c>
      <c r="AJ49" s="79"/>
      <c r="AK49" s="103" cm="1">
        <f t="array" ref="AK49">INDEX(InputArea,_xlfn.XMATCH($G$86,ColName),_xlfn.XMATCH(RIGHT(AK46),RowName))</f>
        <v>0</v>
      </c>
      <c r="AL49" s="103" cm="1">
        <f t="array" ref="AL49">INDEX(InputArea,_xlfn.XMATCH($H$86,ColName),_xlfn.XMATCH(RIGHT(AK46),RowName))</f>
        <v>0</v>
      </c>
      <c r="AM49" s="103" cm="1">
        <f t="array" ref="AM49">INDEX(InputArea,_xlfn.XMATCH($I$86,ColName),_xlfn.XMATCH(RIGHT(AK46),RowName))</f>
        <v>0</v>
      </c>
      <c r="AN49" s="103" cm="1">
        <f t="array" ref="AN49">INDEX(InputArea,_xlfn.XMATCH($J$86,ColName),_xlfn.XMATCH(RIGHT(AK46),RowName))</f>
        <v>0</v>
      </c>
      <c r="AO49" s="103" cm="1">
        <f t="array" ref="AO49">INDEX(InputArea,_xlfn.XMATCH($K$86,ColName),_xlfn.XMATCH(RIGHT(AK46),RowName))</f>
        <v>0</v>
      </c>
      <c r="AP49" s="79"/>
      <c r="AQ49" s="103" cm="1">
        <f t="array" ref="AQ49">INDEX(InputArea,_xlfn.XMATCH($G$86,ColName),_xlfn.XMATCH(RIGHT(AQ46),RowName))</f>
        <v>0</v>
      </c>
      <c r="AR49" s="103" cm="1">
        <f t="array" ref="AR49">INDEX(InputArea,_xlfn.XMATCH($H$86,ColName),_xlfn.XMATCH(RIGHT(AQ46),RowName))</f>
        <v>0</v>
      </c>
      <c r="AS49" s="103" cm="1">
        <f t="array" ref="AS49">INDEX(InputArea,_xlfn.XMATCH($I$86,ColName),_xlfn.XMATCH(RIGHT(AQ46),RowName))</f>
        <v>0</v>
      </c>
      <c r="AT49" s="103" cm="1">
        <f t="array" ref="AT49">INDEX(InputArea,_xlfn.XMATCH($J$86,ColName),_xlfn.XMATCH(RIGHT(AQ46),RowName))</f>
        <v>0</v>
      </c>
      <c r="AU49" s="103" cm="1">
        <f t="array" ref="AU49">INDEX(InputArea,_xlfn.XMATCH($K$86,ColName),_xlfn.XMATCH(RIGHT(AQ46),RowName))</f>
        <v>0</v>
      </c>
      <c r="AV49" s="79"/>
      <c r="AW49" s="103" cm="1">
        <f t="array" ref="AW49">INDEX(InputArea,_xlfn.XMATCH($G$86,ColName),_xlfn.XMATCH(RIGHT(AW46),RowName))</f>
        <v>0</v>
      </c>
      <c r="AX49" s="103" cm="1">
        <f t="array" ref="AX49">INDEX(InputArea,_xlfn.XMATCH($H$86,ColName),_xlfn.XMATCH(RIGHT(AW46),RowName))</f>
        <v>0</v>
      </c>
      <c r="AY49" s="103" cm="1">
        <f t="array" ref="AY49">INDEX(InputArea,_xlfn.XMATCH($I$86,ColName),_xlfn.XMATCH(RIGHT(AW46),RowName))</f>
        <v>0</v>
      </c>
      <c r="AZ49" s="103" cm="1">
        <f t="array" ref="AZ49">INDEX(InputArea,_xlfn.XMATCH($J$86,ColName),_xlfn.XMATCH(RIGHT(AW46),RowName))</f>
        <v>0</v>
      </c>
      <c r="BA49" s="103" cm="1">
        <f t="array" ref="BA49">INDEX(InputArea,_xlfn.XMATCH($K$86,ColName),_xlfn.XMATCH(RIGHT(AW46),RowName))</f>
        <v>0</v>
      </c>
      <c r="BB49" s="79"/>
      <c r="BC49" s="103" cm="1">
        <f t="array" ref="BC49">INDEX(InputArea,_xlfn.XMATCH($G$86,ColName),_xlfn.XMATCH(RIGHT(BC46),RowName))</f>
        <v>0</v>
      </c>
      <c r="BD49" s="103" cm="1">
        <f t="array" ref="BD49">INDEX(InputArea,_xlfn.XMATCH($H$86,ColName),_xlfn.XMATCH(RIGHT(BC46),RowName))</f>
        <v>0</v>
      </c>
      <c r="BE49" s="103" cm="1">
        <f t="array" ref="BE49">INDEX(InputArea,_xlfn.XMATCH($I$86,ColName),_xlfn.XMATCH(RIGHT(BC46),RowName))</f>
        <v>0</v>
      </c>
      <c r="BF49" s="103" cm="1">
        <f t="array" ref="BF49">INDEX(InputArea,_xlfn.XMATCH($J$86,ColName),_xlfn.XMATCH(RIGHT(BC46),RowName))</f>
        <v>0</v>
      </c>
      <c r="BG49" s="103" cm="1">
        <f t="array" ref="BG49">INDEX(InputArea,_xlfn.XMATCH($K$86,ColName),_xlfn.XMATCH(RIGHT(BC46),RowName))</f>
        <v>0</v>
      </c>
    </row>
    <row r="50" spans="1:59" x14ac:dyDescent="0.4">
      <c r="A50" s="79" t="s">
        <v>37</v>
      </c>
      <c r="B50" s="79"/>
      <c r="C50" s="79"/>
      <c r="D50" s="79"/>
      <c r="E50" s="79"/>
      <c r="F50" s="79"/>
      <c r="G50" s="79" t="s">
        <v>38</v>
      </c>
      <c r="H50" s="79"/>
      <c r="I50" s="79"/>
      <c r="J50" s="79"/>
      <c r="K50" s="79"/>
      <c r="L50" s="79"/>
      <c r="M50" s="79" t="s">
        <v>39</v>
      </c>
      <c r="N50" s="79"/>
      <c r="O50" s="79"/>
      <c r="P50" s="79"/>
      <c r="Q50" s="79"/>
      <c r="R50" s="79"/>
      <c r="S50" s="79" t="s">
        <v>40</v>
      </c>
      <c r="T50" s="79"/>
      <c r="U50" s="79"/>
      <c r="V50" s="79"/>
      <c r="W50" s="79"/>
      <c r="X50" s="79"/>
      <c r="Y50" s="79" t="s">
        <v>41</v>
      </c>
      <c r="Z50" s="79"/>
      <c r="AA50" s="79"/>
      <c r="AB50" s="79"/>
      <c r="AC50" s="79"/>
      <c r="AD50" s="79"/>
      <c r="AE50" s="79" t="s">
        <v>52</v>
      </c>
      <c r="AF50" s="79"/>
      <c r="AG50" s="79"/>
      <c r="AH50" s="79"/>
      <c r="AI50" s="79"/>
      <c r="AJ50" s="79"/>
      <c r="AK50" s="79" t="s">
        <v>53</v>
      </c>
      <c r="AL50" s="79"/>
      <c r="AM50" s="79"/>
      <c r="AN50" s="79"/>
      <c r="AO50" s="79"/>
      <c r="AP50" s="79"/>
      <c r="AQ50" s="79" t="s">
        <v>54</v>
      </c>
      <c r="AR50" s="79"/>
      <c r="AS50" s="79"/>
      <c r="AT50" s="79"/>
      <c r="AU50" s="79"/>
      <c r="AV50" s="79"/>
      <c r="AW50" s="79" t="s">
        <v>55</v>
      </c>
      <c r="AX50" s="79"/>
      <c r="AY50" s="79"/>
      <c r="AZ50" s="79"/>
      <c r="BA50" s="79"/>
      <c r="BB50" s="79"/>
      <c r="BC50" s="79" t="s">
        <v>56</v>
      </c>
      <c r="BD50" s="79"/>
      <c r="BE50" s="79"/>
      <c r="BF50" s="79"/>
      <c r="BG50" s="79"/>
    </row>
    <row r="51" spans="1:59" x14ac:dyDescent="0.4">
      <c r="A51" s="103" cm="1">
        <f t="array" ref="A51">INDEX(InputArea,_xlfn.XMATCH($A$84,ColName),_xlfn.XMATCH(RIGHT(A50),RowName))</f>
        <v>0</v>
      </c>
      <c r="B51" s="103" cm="1">
        <f t="array" ref="B51">INDEX(InputArea,_xlfn.XMATCH($B$84,ColName),_xlfn.XMATCH(RIGHT(A50),RowName))</f>
        <v>0</v>
      </c>
      <c r="C51" s="103" cm="1">
        <f t="array" ref="C51">INDEX(InputArea,_xlfn.XMATCH($C$84,ColName),_xlfn.XMATCH(RIGHT(A50),RowName))</f>
        <v>0</v>
      </c>
      <c r="D51" s="103" cm="1">
        <f t="array" ref="D51">INDEX(InputArea,_xlfn.XMATCH($D$84,ColName),_xlfn.XMATCH(RIGHT(A50),RowName))</f>
        <v>0</v>
      </c>
      <c r="E51" s="103" cm="1">
        <f t="array" ref="E51">INDEX(InputArea,_xlfn.XMATCH($E$84,ColName),_xlfn.XMATCH(RIGHT(A50),RowName))</f>
        <v>0</v>
      </c>
      <c r="F51" s="79"/>
      <c r="G51" s="103" cm="1">
        <f t="array" ref="G51">INDEX(InputArea,_xlfn.XMATCH($A$84,ColName),_xlfn.XMATCH(RIGHT(G50),RowName))</f>
        <v>0</v>
      </c>
      <c r="H51" s="103" cm="1">
        <f t="array" ref="H51">INDEX(InputArea,_xlfn.XMATCH($B$84,ColName),_xlfn.XMATCH(RIGHT(G50),RowName))</f>
        <v>0</v>
      </c>
      <c r="I51" s="103" cm="1">
        <f t="array" ref="I51">INDEX(InputArea,_xlfn.XMATCH($C$84,ColName),_xlfn.XMATCH(RIGHT(G50),RowName))</f>
        <v>0</v>
      </c>
      <c r="J51" s="103" cm="1">
        <f t="array" ref="J51">INDEX(InputArea,_xlfn.XMATCH($D$84,ColName),_xlfn.XMATCH(RIGHT(G50),RowName))</f>
        <v>0</v>
      </c>
      <c r="K51" s="103" cm="1">
        <f t="array" ref="K51">INDEX(InputArea,_xlfn.XMATCH($E$84,ColName),_xlfn.XMATCH(RIGHT(G50),RowName))</f>
        <v>0</v>
      </c>
      <c r="L51" s="79"/>
      <c r="M51" s="103" cm="1">
        <f t="array" ref="M51">INDEX(InputArea,_xlfn.XMATCH($A$84,ColName),_xlfn.XMATCH(RIGHT(M50),RowName))</f>
        <v>0</v>
      </c>
      <c r="N51" s="103" cm="1">
        <f t="array" ref="N51">INDEX(InputArea,_xlfn.XMATCH($B$84,ColName),_xlfn.XMATCH(RIGHT(M50),RowName))</f>
        <v>0</v>
      </c>
      <c r="O51" s="103" cm="1">
        <f t="array" ref="O51">INDEX(InputArea,_xlfn.XMATCH($C$84,ColName),_xlfn.XMATCH(RIGHT(M50),RowName))</f>
        <v>0</v>
      </c>
      <c r="P51" s="103" cm="1">
        <f t="array" ref="P51">INDEX(InputArea,_xlfn.XMATCH($D$84,ColName),_xlfn.XMATCH(RIGHT(M50),RowName))</f>
        <v>0</v>
      </c>
      <c r="Q51" s="103" cm="1">
        <f t="array" ref="Q51">INDEX(InputArea,_xlfn.XMATCH($E$84,ColName),_xlfn.XMATCH(RIGHT(M50),RowName))</f>
        <v>0</v>
      </c>
      <c r="R51" s="79"/>
      <c r="S51" s="103" cm="1">
        <f t="array" ref="S51">INDEX(InputArea,_xlfn.XMATCH($A$84,ColName),_xlfn.XMATCH(RIGHT(S50),RowName))</f>
        <v>0</v>
      </c>
      <c r="T51" s="103" cm="1">
        <f t="array" ref="T51">INDEX(InputArea,_xlfn.XMATCH($B$84,ColName),_xlfn.XMATCH(RIGHT(S50),RowName))</f>
        <v>0</v>
      </c>
      <c r="U51" s="103" cm="1">
        <f t="array" ref="U51">INDEX(InputArea,_xlfn.XMATCH($C$84,ColName),_xlfn.XMATCH(RIGHT(S50),RowName))</f>
        <v>0</v>
      </c>
      <c r="V51" s="103" cm="1">
        <f t="array" ref="V51">INDEX(InputArea,_xlfn.XMATCH($D$84,ColName),_xlfn.XMATCH(RIGHT(S50),RowName))</f>
        <v>0</v>
      </c>
      <c r="W51" s="103" cm="1">
        <f t="array" ref="W51">INDEX(InputArea,_xlfn.XMATCH($E$84,ColName),_xlfn.XMATCH(RIGHT(S50),RowName))</f>
        <v>0</v>
      </c>
      <c r="X51" s="79"/>
      <c r="Y51" s="103" cm="1">
        <f t="array" ref="Y51">INDEX(InputArea,_xlfn.XMATCH($A$84,ColName),_xlfn.XMATCH(RIGHT(Y50),RowName))</f>
        <v>0</v>
      </c>
      <c r="Z51" s="103" cm="1">
        <f t="array" ref="Z51">INDEX(InputArea,_xlfn.XMATCH($B$84,ColName),_xlfn.XMATCH(RIGHT(Y50),RowName))</f>
        <v>0</v>
      </c>
      <c r="AA51" s="103" cm="1">
        <f t="array" ref="AA51">INDEX(InputArea,_xlfn.XMATCH($C$84,ColName),_xlfn.XMATCH(RIGHT(Y50),RowName))</f>
        <v>0</v>
      </c>
      <c r="AB51" s="103" cm="1">
        <f t="array" ref="AB51">INDEX(InputArea,_xlfn.XMATCH($D$84,ColName),_xlfn.XMATCH(RIGHT(Y50),RowName))</f>
        <v>0</v>
      </c>
      <c r="AC51" s="103" cm="1">
        <f t="array" ref="AC51">INDEX(InputArea,_xlfn.XMATCH($E$84,ColName),_xlfn.XMATCH(RIGHT(Y50),RowName))</f>
        <v>0</v>
      </c>
      <c r="AD51" s="79"/>
      <c r="AE51" s="103" cm="1">
        <f t="array" ref="AE51">INDEX(InputArea,_xlfn.XMATCH($G$84,ColName),_xlfn.XMATCH(RIGHT(AE50),RowName))</f>
        <v>0</v>
      </c>
      <c r="AF51" s="103" cm="1">
        <f t="array" ref="AF51">INDEX(InputArea,_xlfn.XMATCH($H$84,ColName),_xlfn.XMATCH(RIGHT(AE50),RowName))</f>
        <v>0</v>
      </c>
      <c r="AG51" s="103" cm="1">
        <f t="array" ref="AG51">INDEX(InputArea,_xlfn.XMATCH($I$84,ColName),_xlfn.XMATCH(RIGHT(AE50),RowName))</f>
        <v>0</v>
      </c>
      <c r="AH51" s="103" cm="1">
        <f t="array" ref="AH51">INDEX(InputArea,_xlfn.XMATCH($J$84,ColName),_xlfn.XMATCH(RIGHT(AE50),RowName))</f>
        <v>0</v>
      </c>
      <c r="AI51" s="103" cm="1">
        <f t="array" ref="AI51">INDEX(InputArea,_xlfn.XMATCH($K$84,ColName),_xlfn.XMATCH(RIGHT(AE50),RowName))</f>
        <v>0</v>
      </c>
      <c r="AJ51" s="79"/>
      <c r="AK51" s="103" cm="1">
        <f t="array" ref="AK51">INDEX(InputArea,_xlfn.XMATCH($G$84,ColName),_xlfn.XMATCH(RIGHT(AK50),RowName))</f>
        <v>0</v>
      </c>
      <c r="AL51" s="103" cm="1">
        <f t="array" ref="AL51">INDEX(InputArea,_xlfn.XMATCH($H$84,ColName),_xlfn.XMATCH(RIGHT(AK50),RowName))</f>
        <v>0</v>
      </c>
      <c r="AM51" s="103" cm="1">
        <f t="array" ref="AM51">INDEX(InputArea,_xlfn.XMATCH($I$84,ColName),_xlfn.XMATCH(RIGHT(AK50),RowName))</f>
        <v>0</v>
      </c>
      <c r="AN51" s="103" cm="1">
        <f t="array" ref="AN51">INDEX(InputArea,_xlfn.XMATCH($J$84,ColName),_xlfn.XMATCH(RIGHT(AK50),RowName))</f>
        <v>0</v>
      </c>
      <c r="AO51" s="103" cm="1">
        <f t="array" ref="AO51">INDEX(InputArea,_xlfn.XMATCH($K$84,ColName),_xlfn.XMATCH(RIGHT(AK50),RowName))</f>
        <v>0</v>
      </c>
      <c r="AP51" s="79"/>
      <c r="AQ51" s="103" cm="1">
        <f t="array" ref="AQ51">INDEX(InputArea,_xlfn.XMATCH($G$84,ColName),_xlfn.XMATCH(RIGHT(AQ50),RowName))</f>
        <v>0</v>
      </c>
      <c r="AR51" s="103" cm="1">
        <f t="array" ref="AR51">INDEX(InputArea,_xlfn.XMATCH($H$84,ColName),_xlfn.XMATCH(RIGHT(AQ50),RowName))</f>
        <v>0</v>
      </c>
      <c r="AS51" s="103" cm="1">
        <f t="array" ref="AS51">INDEX(InputArea,_xlfn.XMATCH($I$84,ColName),_xlfn.XMATCH(RIGHT(AQ50),RowName))</f>
        <v>0</v>
      </c>
      <c r="AT51" s="103" cm="1">
        <f t="array" ref="AT51">INDEX(InputArea,_xlfn.XMATCH($J$84,ColName),_xlfn.XMATCH(RIGHT(AQ50),RowName))</f>
        <v>0</v>
      </c>
      <c r="AU51" s="103" cm="1">
        <f t="array" ref="AU51">INDEX(InputArea,_xlfn.XMATCH($K$84,ColName),_xlfn.XMATCH(RIGHT(AQ50),RowName))</f>
        <v>0</v>
      </c>
      <c r="AV51" s="79"/>
      <c r="AW51" s="103" cm="1">
        <f t="array" ref="AW51">INDEX(InputArea,_xlfn.XMATCH($G$84,ColName),_xlfn.XMATCH(RIGHT(AW50),RowName))</f>
        <v>0</v>
      </c>
      <c r="AX51" s="103" cm="1">
        <f t="array" ref="AX51">INDEX(InputArea,_xlfn.XMATCH($H$84,ColName),_xlfn.XMATCH(RIGHT(AW50),RowName))</f>
        <v>0</v>
      </c>
      <c r="AY51" s="103" cm="1">
        <f t="array" ref="AY51">INDEX(InputArea,_xlfn.XMATCH($I$84,ColName),_xlfn.XMATCH(RIGHT(AW50),RowName))</f>
        <v>0</v>
      </c>
      <c r="AZ51" s="103" cm="1">
        <f t="array" ref="AZ51">INDEX(InputArea,_xlfn.XMATCH($J$84,ColName),_xlfn.XMATCH(RIGHT(AW50),RowName))</f>
        <v>0</v>
      </c>
      <c r="BA51" s="103" cm="1">
        <f t="array" ref="BA51">INDEX(InputArea,_xlfn.XMATCH($K$84,ColName),_xlfn.XMATCH(RIGHT(AW50),RowName))</f>
        <v>0</v>
      </c>
      <c r="BB51" s="79"/>
      <c r="BC51" s="103" cm="1">
        <f t="array" ref="BC51">INDEX(InputArea,_xlfn.XMATCH($G$84,ColName),_xlfn.XMATCH(RIGHT(BC50),RowName))</f>
        <v>0</v>
      </c>
      <c r="BD51" s="103" cm="1">
        <f t="array" ref="BD51">INDEX(InputArea,_xlfn.XMATCH($H$84,ColName),_xlfn.XMATCH(RIGHT(BC50),RowName))</f>
        <v>0</v>
      </c>
      <c r="BE51" s="103" cm="1">
        <f t="array" ref="BE51">INDEX(InputArea,_xlfn.XMATCH($I$84,ColName),_xlfn.XMATCH(RIGHT(BC50),RowName))</f>
        <v>0</v>
      </c>
      <c r="BF51" s="103" cm="1">
        <f t="array" ref="BF51">INDEX(InputArea,_xlfn.XMATCH($J$84,ColName),_xlfn.XMATCH(RIGHT(BC50),RowName))</f>
        <v>0</v>
      </c>
      <c r="BG51" s="103" cm="1">
        <f t="array" ref="BG51">INDEX(InputArea,_xlfn.XMATCH($K$84,ColName),_xlfn.XMATCH(RIGHT(BC50),RowName))</f>
        <v>0</v>
      </c>
    </row>
    <row r="52" spans="1:59" ht="19.5" thickBot="1" x14ac:dyDescent="0.45">
      <c r="A52" s="103" cm="1">
        <f t="array" ref="A52">INDEX(InputArea,_xlfn.XMATCH($A$85,ColName),_xlfn.XMATCH(RIGHT(A50),RowName))</f>
        <v>0</v>
      </c>
      <c r="B52" s="102" cm="1">
        <f t="array" ref="B52">INDEX(InputArea,_xlfn.XMATCH($B$85,ColName),_xlfn.XMATCH(RIGHT(A50),RowName))</f>
        <v>0</v>
      </c>
      <c r="C52" s="103" cm="1">
        <f t="array" ref="C52">INDEX(InputArea,_xlfn.XMATCH($C$85,ColName),_xlfn.XMATCH(RIGHT(A50),RowName))</f>
        <v>0</v>
      </c>
      <c r="D52" s="103" cm="1">
        <f t="array" ref="D52">INDEX(InputArea,_xlfn.XMATCH($D$85,ColName),_xlfn.XMATCH(RIGHT(A50),RowName))</f>
        <v>0</v>
      </c>
      <c r="E52" s="103" cm="1">
        <f t="array" ref="E52">INDEX(InputArea,_xlfn.XMATCH($E$85,ColName),_xlfn.XMATCH(RIGHT(A50),RowName))</f>
        <v>0</v>
      </c>
      <c r="F52" s="79"/>
      <c r="G52" s="103" cm="1">
        <f t="array" ref="G52">INDEX(InputArea,_xlfn.XMATCH($A$85,ColName),_xlfn.XMATCH(RIGHT(G50),RowName))</f>
        <v>0</v>
      </c>
      <c r="H52" s="102" cm="1">
        <f t="array" ref="H52">INDEX(InputArea,_xlfn.XMATCH($B$85,ColName),_xlfn.XMATCH(RIGHT(G50),RowName))</f>
        <v>0</v>
      </c>
      <c r="I52" s="103" cm="1">
        <f t="array" ref="I52">INDEX(InputArea,_xlfn.XMATCH($C$85,ColName),_xlfn.XMATCH(RIGHT(G50),RowName))</f>
        <v>0</v>
      </c>
      <c r="J52" s="103" cm="1">
        <f t="array" ref="J52">INDEX(InputArea,_xlfn.XMATCH($D$85,ColName),_xlfn.XMATCH(RIGHT(G50),RowName))</f>
        <v>0</v>
      </c>
      <c r="K52" s="103" cm="1">
        <f t="array" ref="K52">INDEX(InputArea,_xlfn.XMATCH($E$85,ColName),_xlfn.XMATCH(RIGHT(G50),RowName))</f>
        <v>0</v>
      </c>
      <c r="L52" s="79"/>
      <c r="M52" s="103" cm="1">
        <f t="array" ref="M52">INDEX(InputArea,_xlfn.XMATCH($A$85,ColName),_xlfn.XMATCH(RIGHT(M50),RowName))</f>
        <v>0</v>
      </c>
      <c r="N52" s="102" cm="1">
        <f t="array" ref="N52">INDEX(InputArea,_xlfn.XMATCH($B$85,ColName),_xlfn.XMATCH(RIGHT(M50),RowName))</f>
        <v>0</v>
      </c>
      <c r="O52" s="103" cm="1">
        <f t="array" ref="O52">INDEX(InputArea,_xlfn.XMATCH($C$85,ColName),_xlfn.XMATCH(RIGHT(M50),RowName))</f>
        <v>0</v>
      </c>
      <c r="P52" s="103" cm="1">
        <f t="array" ref="P52">INDEX(InputArea,_xlfn.XMATCH($D$85,ColName),_xlfn.XMATCH(RIGHT(M50),RowName))</f>
        <v>0</v>
      </c>
      <c r="Q52" s="103" cm="1">
        <f t="array" ref="Q52">INDEX(InputArea,_xlfn.XMATCH($E$85,ColName),_xlfn.XMATCH(RIGHT(M50),RowName))</f>
        <v>0</v>
      </c>
      <c r="R52" s="79"/>
      <c r="S52" s="103" cm="1">
        <f t="array" ref="S52">INDEX(InputArea,_xlfn.XMATCH($A$85,ColName),_xlfn.XMATCH(RIGHT(S50),RowName))</f>
        <v>0</v>
      </c>
      <c r="T52" s="102" cm="1">
        <f t="array" ref="T52">INDEX(InputArea,_xlfn.XMATCH($B$85,ColName),_xlfn.XMATCH(RIGHT(S50),RowName))</f>
        <v>0</v>
      </c>
      <c r="U52" s="103" cm="1">
        <f t="array" ref="U52">INDEX(InputArea,_xlfn.XMATCH($C$85,ColName),_xlfn.XMATCH(RIGHT(S50),RowName))</f>
        <v>0</v>
      </c>
      <c r="V52" s="103" cm="1">
        <f t="array" ref="V52">INDEX(InputArea,_xlfn.XMATCH($D$85,ColName),_xlfn.XMATCH(RIGHT(S50),RowName))</f>
        <v>0</v>
      </c>
      <c r="W52" s="103" cm="1">
        <f t="array" ref="W52">INDEX(InputArea,_xlfn.XMATCH($E$85,ColName),_xlfn.XMATCH(RIGHT(S50),RowName))</f>
        <v>0</v>
      </c>
      <c r="X52" s="79"/>
      <c r="Y52" s="103" cm="1">
        <f t="array" ref="Y52">INDEX(InputArea,_xlfn.XMATCH($A$85,ColName),_xlfn.XMATCH(RIGHT(Y50),RowName))</f>
        <v>0</v>
      </c>
      <c r="Z52" s="102" cm="1">
        <f t="array" ref="Z52">INDEX(InputArea,_xlfn.XMATCH($B$85,ColName),_xlfn.XMATCH(RIGHT(Y50),RowName))</f>
        <v>0</v>
      </c>
      <c r="AA52" s="103" cm="1">
        <f t="array" ref="AA52">INDEX(InputArea,_xlfn.XMATCH($C$85,ColName),_xlfn.XMATCH(RIGHT(Y50),RowName))</f>
        <v>0</v>
      </c>
      <c r="AB52" s="103" cm="1">
        <f t="array" ref="AB52">INDEX(InputArea,_xlfn.XMATCH($D$85,ColName),_xlfn.XMATCH(RIGHT(Y50),RowName))</f>
        <v>0</v>
      </c>
      <c r="AC52" s="103" cm="1">
        <f t="array" ref="AC52">INDEX(InputArea,_xlfn.XMATCH($E$85,ColName),_xlfn.XMATCH(RIGHT(Y50),RowName))</f>
        <v>0</v>
      </c>
      <c r="AD52" s="79"/>
      <c r="AE52" s="103" cm="1">
        <f t="array" ref="AE52">INDEX(InputArea,_xlfn.XMATCH($G$85,ColName),_xlfn.XMATCH(RIGHT(AE50),RowName))</f>
        <v>0</v>
      </c>
      <c r="AF52" s="103" cm="1">
        <f t="array" ref="AF52">INDEX(InputArea,_xlfn.XMATCH($H$85,ColName),_xlfn.XMATCH(RIGHT(AE50),RowName))</f>
        <v>0</v>
      </c>
      <c r="AG52" s="103" cm="1">
        <f t="array" ref="AG52">INDEX(InputArea,_xlfn.XMATCH($I$85,ColName),_xlfn.XMATCH(RIGHT(AE50),RowName))</f>
        <v>0</v>
      </c>
      <c r="AH52" s="102" cm="1">
        <f t="array" ref="AH52">INDEX(InputArea,_xlfn.XMATCH($J$85,ColName),_xlfn.XMATCH(RIGHT(AE50),RowName))</f>
        <v>0</v>
      </c>
      <c r="AI52" s="103" cm="1">
        <f t="array" ref="AI52">INDEX(InputArea,_xlfn.XMATCH($K$85,ColName),_xlfn.XMATCH(RIGHT(AE50),RowName))</f>
        <v>0</v>
      </c>
      <c r="AJ52" s="79"/>
      <c r="AK52" s="103" cm="1">
        <f t="array" ref="AK52">INDEX(InputArea,_xlfn.XMATCH($G$85,ColName),_xlfn.XMATCH(RIGHT(AK50),RowName))</f>
        <v>0</v>
      </c>
      <c r="AL52" s="103" cm="1">
        <f t="array" ref="AL52">INDEX(InputArea,_xlfn.XMATCH($H$85,ColName),_xlfn.XMATCH(RIGHT(AK50),RowName))</f>
        <v>0</v>
      </c>
      <c r="AM52" s="103" cm="1">
        <f t="array" ref="AM52">INDEX(InputArea,_xlfn.XMATCH($I$85,ColName),_xlfn.XMATCH(RIGHT(AK50),RowName))</f>
        <v>0</v>
      </c>
      <c r="AN52" s="102" cm="1">
        <f t="array" ref="AN52">INDEX(InputArea,_xlfn.XMATCH($J$85,ColName),_xlfn.XMATCH(RIGHT(AK50),RowName))</f>
        <v>0</v>
      </c>
      <c r="AO52" s="103" cm="1">
        <f t="array" ref="AO52">INDEX(InputArea,_xlfn.XMATCH($K$85,ColName),_xlfn.XMATCH(RIGHT(AK50),RowName))</f>
        <v>0</v>
      </c>
      <c r="AP52" s="79"/>
      <c r="AQ52" s="103" cm="1">
        <f t="array" ref="AQ52">INDEX(InputArea,_xlfn.XMATCH($G$85,ColName),_xlfn.XMATCH(RIGHT(AQ50),RowName))</f>
        <v>0</v>
      </c>
      <c r="AR52" s="103" cm="1">
        <f t="array" ref="AR52">INDEX(InputArea,_xlfn.XMATCH($H$85,ColName),_xlfn.XMATCH(RIGHT(AQ50),RowName))</f>
        <v>0</v>
      </c>
      <c r="AS52" s="103" cm="1">
        <f t="array" ref="AS52">INDEX(InputArea,_xlfn.XMATCH($I$85,ColName),_xlfn.XMATCH(RIGHT(AQ50),RowName))</f>
        <v>0</v>
      </c>
      <c r="AT52" s="102" cm="1">
        <f t="array" ref="AT52">INDEX(InputArea,_xlfn.XMATCH($J$85,ColName),_xlfn.XMATCH(RIGHT(AQ50),RowName))</f>
        <v>0</v>
      </c>
      <c r="AU52" s="103" cm="1">
        <f t="array" ref="AU52">INDEX(InputArea,_xlfn.XMATCH($K$85,ColName),_xlfn.XMATCH(RIGHT(AQ50),RowName))</f>
        <v>0</v>
      </c>
      <c r="AV52" s="79"/>
      <c r="AW52" s="103" cm="1">
        <f t="array" ref="AW52">INDEX(InputArea,_xlfn.XMATCH($G$85,ColName),_xlfn.XMATCH(RIGHT(AW50),RowName))</f>
        <v>0</v>
      </c>
      <c r="AX52" s="103" cm="1">
        <f t="array" ref="AX52">INDEX(InputArea,_xlfn.XMATCH($H$85,ColName),_xlfn.XMATCH(RIGHT(AW50),RowName))</f>
        <v>0</v>
      </c>
      <c r="AY52" s="103" cm="1">
        <f t="array" ref="AY52">INDEX(InputArea,_xlfn.XMATCH($I$85,ColName),_xlfn.XMATCH(RIGHT(AW50),RowName))</f>
        <v>0</v>
      </c>
      <c r="AZ52" s="102" cm="1">
        <f t="array" ref="AZ52">INDEX(InputArea,_xlfn.XMATCH($J$85,ColName),_xlfn.XMATCH(RIGHT(AW50),RowName))</f>
        <v>0</v>
      </c>
      <c r="BA52" s="103" cm="1">
        <f t="array" ref="BA52">INDEX(InputArea,_xlfn.XMATCH($K$85,ColName),_xlfn.XMATCH(RIGHT(AW50),RowName))</f>
        <v>0</v>
      </c>
      <c r="BB52" s="79"/>
      <c r="BC52" s="103" cm="1">
        <f t="array" ref="BC52">INDEX(InputArea,_xlfn.XMATCH($G$85,ColName),_xlfn.XMATCH(RIGHT(BC50),RowName))</f>
        <v>0</v>
      </c>
      <c r="BD52" s="103" cm="1">
        <f t="array" ref="BD52">INDEX(InputArea,_xlfn.XMATCH($H$85,ColName),_xlfn.XMATCH(RIGHT(BC50),RowName))</f>
        <v>0</v>
      </c>
      <c r="BE52" s="103" cm="1">
        <f t="array" ref="BE52">INDEX(InputArea,_xlfn.XMATCH($I$85,ColName),_xlfn.XMATCH(RIGHT(BC50),RowName))</f>
        <v>0</v>
      </c>
      <c r="BF52" s="102" cm="1">
        <f t="array" ref="BF52">INDEX(InputArea,_xlfn.XMATCH($J$85,ColName),_xlfn.XMATCH(RIGHT(BC50),RowName))</f>
        <v>0</v>
      </c>
      <c r="BG52" s="103" cm="1">
        <f t="array" ref="BG52">INDEX(InputArea,_xlfn.XMATCH($K$85,ColName),_xlfn.XMATCH(RIGHT(BC50),RowName))</f>
        <v>0</v>
      </c>
    </row>
    <row r="53" spans="1:59" x14ac:dyDescent="0.4">
      <c r="A53" s="103" cm="1">
        <f t="array" ref="A53">INDEX(InputArea,_xlfn.XMATCH($A$86,ColName),_xlfn.XMATCH(RIGHT(A50),RowName))</f>
        <v>0</v>
      </c>
      <c r="B53" s="103" cm="1">
        <f t="array" ref="B53">INDEX(InputArea,_xlfn.XMATCH($B$86,ColName),_xlfn.XMATCH(RIGHT(A50),RowName))</f>
        <v>0</v>
      </c>
      <c r="C53" s="103" cm="1">
        <f t="array" ref="C53">INDEX(InputArea,_xlfn.XMATCH($C$86,ColName),_xlfn.XMATCH(RIGHT(A50),RowName))</f>
        <v>0</v>
      </c>
      <c r="D53" s="103" cm="1">
        <f t="array" ref="D53">INDEX(InputArea,_xlfn.XMATCH($D$86,ColName),_xlfn.XMATCH(RIGHT(A50),RowName))</f>
        <v>0</v>
      </c>
      <c r="E53" s="103" cm="1">
        <f t="array" ref="E53">INDEX(InputArea,_xlfn.XMATCH($E$86,ColName),_xlfn.XMATCH(RIGHT(A50),RowName))</f>
        <v>0</v>
      </c>
      <c r="F53" s="79"/>
      <c r="G53" s="103" cm="1">
        <f t="array" ref="G53">INDEX(InputArea,_xlfn.XMATCH($A$86,ColName),_xlfn.XMATCH(RIGHT(G50),RowName))</f>
        <v>0</v>
      </c>
      <c r="H53" s="103" cm="1">
        <f t="array" ref="H53">INDEX(InputArea,_xlfn.XMATCH($B$86,ColName),_xlfn.XMATCH(RIGHT(G50),RowName))</f>
        <v>0</v>
      </c>
      <c r="I53" s="103" cm="1">
        <f t="array" ref="I53">INDEX(InputArea,_xlfn.XMATCH($C$86,ColName),_xlfn.XMATCH(RIGHT(G50),RowName))</f>
        <v>0</v>
      </c>
      <c r="J53" s="103" cm="1">
        <f t="array" ref="J53">INDEX(InputArea,_xlfn.XMATCH($D$86,ColName),_xlfn.XMATCH(RIGHT(G50),RowName))</f>
        <v>0</v>
      </c>
      <c r="K53" s="103" cm="1">
        <f t="array" ref="K53">INDEX(InputArea,_xlfn.XMATCH($E$86,ColName),_xlfn.XMATCH(RIGHT(G50),RowName))</f>
        <v>0</v>
      </c>
      <c r="L53" s="79"/>
      <c r="M53" s="103" cm="1">
        <f t="array" ref="M53">INDEX(InputArea,_xlfn.XMATCH($A$86,ColName),_xlfn.XMATCH(RIGHT(M50),RowName))</f>
        <v>0</v>
      </c>
      <c r="N53" s="103" cm="1">
        <f t="array" ref="N53">INDEX(InputArea,_xlfn.XMATCH($B$86,ColName),_xlfn.XMATCH(RIGHT(M50),RowName))</f>
        <v>0</v>
      </c>
      <c r="O53" s="103" cm="1">
        <f t="array" ref="O53">INDEX(InputArea,_xlfn.XMATCH($C$86,ColName),_xlfn.XMATCH(RIGHT(M50),RowName))</f>
        <v>0</v>
      </c>
      <c r="P53" s="103" cm="1">
        <f t="array" ref="P53">INDEX(InputArea,_xlfn.XMATCH($D$86,ColName),_xlfn.XMATCH(RIGHT(M50),RowName))</f>
        <v>0</v>
      </c>
      <c r="Q53" s="103" cm="1">
        <f t="array" ref="Q53">INDEX(InputArea,_xlfn.XMATCH($E$86,ColName),_xlfn.XMATCH(RIGHT(M50),RowName))</f>
        <v>0</v>
      </c>
      <c r="R53" s="79"/>
      <c r="S53" s="103" cm="1">
        <f t="array" ref="S53">INDEX(InputArea,_xlfn.XMATCH($A$86,ColName),_xlfn.XMATCH(RIGHT(S50),RowName))</f>
        <v>0</v>
      </c>
      <c r="T53" s="103" cm="1">
        <f t="array" ref="T53">INDEX(InputArea,_xlfn.XMATCH($B$86,ColName),_xlfn.XMATCH(RIGHT(S50),RowName))</f>
        <v>0</v>
      </c>
      <c r="U53" s="103" cm="1">
        <f t="array" ref="U53">INDEX(InputArea,_xlfn.XMATCH($C$86,ColName),_xlfn.XMATCH(RIGHT(S50),RowName))</f>
        <v>0</v>
      </c>
      <c r="V53" s="103" cm="1">
        <f t="array" ref="V53">INDEX(InputArea,_xlfn.XMATCH($D$86,ColName),_xlfn.XMATCH(RIGHT(S50),RowName))</f>
        <v>0</v>
      </c>
      <c r="W53" s="103" cm="1">
        <f t="array" ref="W53">INDEX(InputArea,_xlfn.XMATCH($E$86,ColName),_xlfn.XMATCH(RIGHT(S50),RowName))</f>
        <v>0</v>
      </c>
      <c r="X53" s="79"/>
      <c r="Y53" s="103" cm="1">
        <f t="array" ref="Y53">INDEX(InputArea,_xlfn.XMATCH($A$86,ColName),_xlfn.XMATCH(RIGHT(Y50),RowName))</f>
        <v>0</v>
      </c>
      <c r="Z53" s="103" cm="1">
        <f t="array" ref="Z53">INDEX(InputArea,_xlfn.XMATCH($B$86,ColName),_xlfn.XMATCH(RIGHT(Y50),RowName))</f>
        <v>0</v>
      </c>
      <c r="AA53" s="103" cm="1">
        <f t="array" ref="AA53">INDEX(InputArea,_xlfn.XMATCH($C$86,ColName),_xlfn.XMATCH(RIGHT(Y50),RowName))</f>
        <v>0</v>
      </c>
      <c r="AB53" s="103" cm="1">
        <f t="array" ref="AB53">INDEX(InputArea,_xlfn.XMATCH($D$86,ColName),_xlfn.XMATCH(RIGHT(Y50),RowName))</f>
        <v>0</v>
      </c>
      <c r="AC53" s="103" cm="1">
        <f t="array" ref="AC53">INDEX(InputArea,_xlfn.XMATCH($E$86,ColName),_xlfn.XMATCH(RIGHT(Y50),RowName))</f>
        <v>0</v>
      </c>
      <c r="AD53" s="79"/>
      <c r="AE53" s="103" cm="1">
        <f t="array" ref="AE53">INDEX(InputArea,_xlfn.XMATCH($G$86,ColName),_xlfn.XMATCH(RIGHT(AE50),RowName))</f>
        <v>0</v>
      </c>
      <c r="AF53" s="103" cm="1">
        <f t="array" ref="AF53">INDEX(InputArea,_xlfn.XMATCH($H$86,ColName),_xlfn.XMATCH(RIGHT(AE50),RowName))</f>
        <v>0</v>
      </c>
      <c r="AG53" s="103" cm="1">
        <f t="array" ref="AG53">INDEX(InputArea,_xlfn.XMATCH($I$86,ColName),_xlfn.XMATCH(RIGHT(AE50),RowName))</f>
        <v>0</v>
      </c>
      <c r="AH53" s="103" cm="1">
        <f t="array" ref="AH53">INDEX(InputArea,_xlfn.XMATCH($J$86,ColName),_xlfn.XMATCH(RIGHT(AE50),RowName))</f>
        <v>0</v>
      </c>
      <c r="AI53" s="103" cm="1">
        <f t="array" ref="AI53">INDEX(InputArea,_xlfn.XMATCH($K$86,ColName),_xlfn.XMATCH(RIGHT(AE50),RowName))</f>
        <v>0</v>
      </c>
      <c r="AJ53" s="79"/>
      <c r="AK53" s="103" cm="1">
        <f t="array" ref="AK53">INDEX(InputArea,_xlfn.XMATCH($G$86,ColName),_xlfn.XMATCH(RIGHT(AK50),RowName))</f>
        <v>0</v>
      </c>
      <c r="AL53" s="103" cm="1">
        <f t="array" ref="AL53">INDEX(InputArea,_xlfn.XMATCH($H$86,ColName),_xlfn.XMATCH(RIGHT(AK50),RowName))</f>
        <v>0</v>
      </c>
      <c r="AM53" s="103" cm="1">
        <f t="array" ref="AM53">INDEX(InputArea,_xlfn.XMATCH($I$86,ColName),_xlfn.XMATCH(RIGHT(AK50),RowName))</f>
        <v>0</v>
      </c>
      <c r="AN53" s="103" cm="1">
        <f t="array" ref="AN53">INDEX(InputArea,_xlfn.XMATCH($J$86,ColName),_xlfn.XMATCH(RIGHT(AK50),RowName))</f>
        <v>0</v>
      </c>
      <c r="AO53" s="103" cm="1">
        <f t="array" ref="AO53">INDEX(InputArea,_xlfn.XMATCH($K$86,ColName),_xlfn.XMATCH(RIGHT(AK50),RowName))</f>
        <v>0</v>
      </c>
      <c r="AP53" s="79"/>
      <c r="AQ53" s="103" cm="1">
        <f t="array" ref="AQ53">INDEX(InputArea,_xlfn.XMATCH($G$86,ColName),_xlfn.XMATCH(RIGHT(AQ50),RowName))</f>
        <v>0</v>
      </c>
      <c r="AR53" s="103" cm="1">
        <f t="array" ref="AR53">INDEX(InputArea,_xlfn.XMATCH($H$86,ColName),_xlfn.XMATCH(RIGHT(AQ50),RowName))</f>
        <v>0</v>
      </c>
      <c r="AS53" s="103" cm="1">
        <f t="array" ref="AS53">INDEX(InputArea,_xlfn.XMATCH($I$86,ColName),_xlfn.XMATCH(RIGHT(AQ50),RowName))</f>
        <v>0</v>
      </c>
      <c r="AT53" s="103" cm="1">
        <f t="array" ref="AT53">INDEX(InputArea,_xlfn.XMATCH($J$86,ColName),_xlfn.XMATCH(RIGHT(AQ50),RowName))</f>
        <v>0</v>
      </c>
      <c r="AU53" s="103" cm="1">
        <f t="array" ref="AU53">INDEX(InputArea,_xlfn.XMATCH($K$86,ColName),_xlfn.XMATCH(RIGHT(AQ50),RowName))</f>
        <v>0</v>
      </c>
      <c r="AV53" s="79"/>
      <c r="AW53" s="103" cm="1">
        <f t="array" ref="AW53">INDEX(InputArea,_xlfn.XMATCH($G$86,ColName),_xlfn.XMATCH(RIGHT(AW50),RowName))</f>
        <v>0</v>
      </c>
      <c r="AX53" s="103" cm="1">
        <f t="array" ref="AX53">INDEX(InputArea,_xlfn.XMATCH($H$86,ColName),_xlfn.XMATCH(RIGHT(AW50),RowName))</f>
        <v>0</v>
      </c>
      <c r="AY53" s="103" cm="1">
        <f t="array" ref="AY53">INDEX(InputArea,_xlfn.XMATCH($I$86,ColName),_xlfn.XMATCH(RIGHT(AW50),RowName))</f>
        <v>0</v>
      </c>
      <c r="AZ53" s="103" cm="1">
        <f t="array" ref="AZ53">INDEX(InputArea,_xlfn.XMATCH($J$86,ColName),_xlfn.XMATCH(RIGHT(AW50),RowName))</f>
        <v>0</v>
      </c>
      <c r="BA53" s="103" cm="1">
        <f t="array" ref="BA53">INDEX(InputArea,_xlfn.XMATCH($K$86,ColName),_xlfn.XMATCH(RIGHT(AW50),RowName))</f>
        <v>0</v>
      </c>
      <c r="BB53" s="79"/>
      <c r="BC53" s="103" cm="1">
        <f t="array" ref="BC53">INDEX(InputArea,_xlfn.XMATCH($G$86,ColName),_xlfn.XMATCH(RIGHT(BC50),RowName))</f>
        <v>0</v>
      </c>
      <c r="BD53" s="103" cm="1">
        <f t="array" ref="BD53">INDEX(InputArea,_xlfn.XMATCH($H$86,ColName),_xlfn.XMATCH(RIGHT(BC50),RowName))</f>
        <v>0</v>
      </c>
      <c r="BE53" s="103" cm="1">
        <f t="array" ref="BE53">INDEX(InputArea,_xlfn.XMATCH($I$86,ColName),_xlfn.XMATCH(RIGHT(BC50),RowName))</f>
        <v>0</v>
      </c>
      <c r="BF53" s="103" cm="1">
        <f t="array" ref="BF53">INDEX(InputArea,_xlfn.XMATCH($J$86,ColName),_xlfn.XMATCH(RIGHT(BC50),RowName))</f>
        <v>0</v>
      </c>
      <c r="BG53" s="103" cm="1">
        <f t="array" ref="BG53">INDEX(InputArea,_xlfn.XMATCH($K$86,ColName),_xlfn.XMATCH(RIGHT(BC50),RowName))</f>
        <v>0</v>
      </c>
    </row>
    <row r="54" spans="1:59" x14ac:dyDescent="0.4">
      <c r="A54" s="79" t="s">
        <v>42</v>
      </c>
      <c r="B54" s="79"/>
      <c r="C54" s="79"/>
      <c r="D54" s="79"/>
      <c r="E54" s="79"/>
      <c r="F54" s="79"/>
      <c r="G54" s="79" t="s">
        <v>43</v>
      </c>
      <c r="H54" s="79"/>
      <c r="I54" s="79"/>
      <c r="J54" s="79"/>
      <c r="K54" s="79"/>
      <c r="L54" s="79"/>
      <c r="M54" s="79" t="s">
        <v>44</v>
      </c>
      <c r="N54" s="79"/>
      <c r="O54" s="79"/>
      <c r="P54" s="79"/>
      <c r="Q54" s="79"/>
      <c r="R54" s="79"/>
      <c r="S54" s="79" t="s">
        <v>45</v>
      </c>
      <c r="T54" s="79"/>
      <c r="U54" s="79"/>
      <c r="V54" s="79"/>
      <c r="W54" s="79"/>
      <c r="X54" s="79"/>
      <c r="Y54" s="79" t="s">
        <v>46</v>
      </c>
      <c r="Z54" s="79"/>
      <c r="AA54" s="79"/>
      <c r="AB54" s="79"/>
      <c r="AC54" s="79"/>
      <c r="AD54" s="79"/>
      <c r="AE54" s="79" t="s">
        <v>57</v>
      </c>
      <c r="AF54" s="79"/>
      <c r="AG54" s="79"/>
      <c r="AH54" s="79"/>
      <c r="AI54" s="79"/>
      <c r="AJ54" s="79"/>
      <c r="AK54" s="79" t="s">
        <v>58</v>
      </c>
      <c r="AL54" s="79"/>
      <c r="AM54" s="79"/>
      <c r="AN54" s="79"/>
      <c r="AO54" s="79"/>
      <c r="AP54" s="79"/>
      <c r="AQ54" s="79" t="s">
        <v>59</v>
      </c>
      <c r="AR54" s="79"/>
      <c r="AS54" s="79"/>
      <c r="AT54" s="79"/>
      <c r="AU54" s="79"/>
      <c r="AV54" s="79"/>
      <c r="AW54" s="79" t="s">
        <v>60</v>
      </c>
      <c r="AX54" s="79"/>
      <c r="AY54" s="79"/>
      <c r="AZ54" s="79"/>
      <c r="BA54" s="79"/>
      <c r="BB54" s="79"/>
      <c r="BC54" s="79" t="s">
        <v>61</v>
      </c>
      <c r="BD54" s="79"/>
      <c r="BE54" s="79"/>
      <c r="BF54" s="79"/>
      <c r="BG54" s="79"/>
    </row>
    <row r="55" spans="1:59" x14ac:dyDescent="0.4">
      <c r="A55" s="103" cm="1">
        <f t="array" ref="A55">INDEX(InputArea,_xlfn.XMATCH($A$84,ColName),_xlfn.XMATCH(RIGHT(A54),RowName))</f>
        <v>0</v>
      </c>
      <c r="B55" s="103" cm="1">
        <f t="array" ref="B55">INDEX(InputArea,_xlfn.XMATCH($B$84,ColName),_xlfn.XMATCH(RIGHT(A54),RowName))</f>
        <v>0</v>
      </c>
      <c r="C55" s="103" cm="1">
        <f t="array" ref="C55">INDEX(InputArea,_xlfn.XMATCH($C$84,ColName),_xlfn.XMATCH(RIGHT(A54),RowName))</f>
        <v>0</v>
      </c>
      <c r="D55" s="103" cm="1">
        <f t="array" ref="D55">INDEX(InputArea,_xlfn.XMATCH($D$84,ColName),_xlfn.XMATCH(RIGHT(A54),RowName))</f>
        <v>0</v>
      </c>
      <c r="E55" s="103" cm="1">
        <f t="array" ref="E55">INDEX(InputArea,_xlfn.XMATCH($E$84,ColName),_xlfn.XMATCH(RIGHT(A54),RowName))</f>
        <v>0</v>
      </c>
      <c r="F55" s="79"/>
      <c r="G55" s="103" cm="1">
        <f t="array" ref="G55">INDEX(InputArea,_xlfn.XMATCH($A$84,ColName),_xlfn.XMATCH(RIGHT(G54),RowName))</f>
        <v>0</v>
      </c>
      <c r="H55" s="103" cm="1">
        <f t="array" ref="H55">INDEX(InputArea,_xlfn.XMATCH($B$84,ColName),_xlfn.XMATCH(RIGHT(G54),RowName))</f>
        <v>0</v>
      </c>
      <c r="I55" s="103" cm="1">
        <f t="array" ref="I55">INDEX(InputArea,_xlfn.XMATCH($C$84,ColName),_xlfn.XMATCH(RIGHT(G54),RowName))</f>
        <v>0</v>
      </c>
      <c r="J55" s="103" cm="1">
        <f t="array" ref="J55">INDEX(InputArea,_xlfn.XMATCH($D$84,ColName),_xlfn.XMATCH(RIGHT(G54),RowName))</f>
        <v>0</v>
      </c>
      <c r="K55" s="103" cm="1">
        <f t="array" ref="K55">INDEX(InputArea,_xlfn.XMATCH($E$84,ColName),_xlfn.XMATCH(RIGHT(G54),RowName))</f>
        <v>0</v>
      </c>
      <c r="L55" s="79"/>
      <c r="M55" s="103" cm="1">
        <f t="array" ref="M55">INDEX(InputArea,_xlfn.XMATCH($A$84,ColName),_xlfn.XMATCH(RIGHT(M54),RowName))</f>
        <v>0</v>
      </c>
      <c r="N55" s="103" cm="1">
        <f t="array" ref="N55">INDEX(InputArea,_xlfn.XMATCH($B$84,ColName),_xlfn.XMATCH(RIGHT(M54),RowName))</f>
        <v>0</v>
      </c>
      <c r="O55" s="103" cm="1">
        <f t="array" ref="O55">INDEX(InputArea,_xlfn.XMATCH($C$84,ColName),_xlfn.XMATCH(RIGHT(M54),RowName))</f>
        <v>0</v>
      </c>
      <c r="P55" s="103" cm="1">
        <f t="array" ref="P55">INDEX(InputArea,_xlfn.XMATCH($D$84,ColName),_xlfn.XMATCH(RIGHT(M54),RowName))</f>
        <v>0</v>
      </c>
      <c r="Q55" s="103" cm="1">
        <f t="array" ref="Q55">INDEX(InputArea,_xlfn.XMATCH($E$84,ColName),_xlfn.XMATCH(RIGHT(M54),RowName))</f>
        <v>0</v>
      </c>
      <c r="R55" s="79"/>
      <c r="S55" s="103" cm="1">
        <f t="array" ref="S55">INDEX(InputArea,_xlfn.XMATCH($A$84,ColName),_xlfn.XMATCH(RIGHT(S54),RowName))</f>
        <v>0</v>
      </c>
      <c r="T55" s="103" cm="1">
        <f t="array" ref="T55">INDEX(InputArea,_xlfn.XMATCH($B$84,ColName),_xlfn.XMATCH(RIGHT(S54),RowName))</f>
        <v>0</v>
      </c>
      <c r="U55" s="103" cm="1">
        <f t="array" ref="U55">INDEX(InputArea,_xlfn.XMATCH($C$84,ColName),_xlfn.XMATCH(RIGHT(S54),RowName))</f>
        <v>0</v>
      </c>
      <c r="V55" s="103" cm="1">
        <f t="array" ref="V55">INDEX(InputArea,_xlfn.XMATCH($D$84,ColName),_xlfn.XMATCH(RIGHT(S54),RowName))</f>
        <v>0</v>
      </c>
      <c r="W55" s="103" cm="1">
        <f t="array" ref="W55">INDEX(InputArea,_xlfn.XMATCH($E$84,ColName),_xlfn.XMATCH(RIGHT(S54),RowName))</f>
        <v>0</v>
      </c>
      <c r="X55" s="79"/>
      <c r="Y55" s="103" cm="1">
        <f t="array" ref="Y55">INDEX(InputArea,_xlfn.XMATCH($A$84,ColName),_xlfn.XMATCH(RIGHT(Y54),RowName))</f>
        <v>0</v>
      </c>
      <c r="Z55" s="103" cm="1">
        <f t="array" ref="Z55">INDEX(InputArea,_xlfn.XMATCH($B$84,ColName),_xlfn.XMATCH(RIGHT(Y54),RowName))</f>
        <v>0</v>
      </c>
      <c r="AA55" s="103" cm="1">
        <f t="array" ref="AA55">INDEX(InputArea,_xlfn.XMATCH($C$84,ColName),_xlfn.XMATCH(RIGHT(Y54),RowName))</f>
        <v>0</v>
      </c>
      <c r="AB55" s="103" cm="1">
        <f t="array" ref="AB55">INDEX(InputArea,_xlfn.XMATCH($D$84,ColName),_xlfn.XMATCH(RIGHT(Y54),RowName))</f>
        <v>0</v>
      </c>
      <c r="AC55" s="103" cm="1">
        <f t="array" ref="AC55">INDEX(InputArea,_xlfn.XMATCH($E$84,ColName),_xlfn.XMATCH(RIGHT(Y54),RowName))</f>
        <v>0</v>
      </c>
      <c r="AD55" s="79"/>
      <c r="AE55" s="103" cm="1">
        <f t="array" ref="AE55">INDEX(InputArea,_xlfn.XMATCH($G$84,ColName),_xlfn.XMATCH(RIGHT(AE54),RowName))</f>
        <v>0</v>
      </c>
      <c r="AF55" s="103" cm="1">
        <f t="array" ref="AF55">INDEX(InputArea,_xlfn.XMATCH($H$84,ColName),_xlfn.XMATCH(RIGHT(AE54),RowName))</f>
        <v>0</v>
      </c>
      <c r="AG55" s="103" cm="1">
        <f t="array" ref="AG55">INDEX(InputArea,_xlfn.XMATCH($I$84,ColName),_xlfn.XMATCH(RIGHT(AE54),RowName))</f>
        <v>0</v>
      </c>
      <c r="AH55" s="103" cm="1">
        <f t="array" ref="AH55">INDEX(InputArea,_xlfn.XMATCH($J$84,ColName),_xlfn.XMATCH(RIGHT(AE54),RowName))</f>
        <v>0</v>
      </c>
      <c r="AI55" s="103" cm="1">
        <f t="array" ref="AI55">INDEX(InputArea,_xlfn.XMATCH($K$84,ColName),_xlfn.XMATCH(RIGHT(AE54),RowName))</f>
        <v>0</v>
      </c>
      <c r="AJ55" s="79"/>
      <c r="AK55" s="103" cm="1">
        <f t="array" ref="AK55">INDEX(InputArea,_xlfn.XMATCH($G$84,ColName),_xlfn.XMATCH(RIGHT(AK54),RowName))</f>
        <v>0</v>
      </c>
      <c r="AL55" s="103" cm="1">
        <f t="array" ref="AL55">INDEX(InputArea,_xlfn.XMATCH($H$84,ColName),_xlfn.XMATCH(RIGHT(AK54),RowName))</f>
        <v>0</v>
      </c>
      <c r="AM55" s="103" cm="1">
        <f t="array" ref="AM55">INDEX(InputArea,_xlfn.XMATCH($I$84,ColName),_xlfn.XMATCH(RIGHT(AK54),RowName))</f>
        <v>0</v>
      </c>
      <c r="AN55" s="103" cm="1">
        <f t="array" ref="AN55">INDEX(InputArea,_xlfn.XMATCH($J$84,ColName),_xlfn.XMATCH(RIGHT(AK54),RowName))</f>
        <v>0</v>
      </c>
      <c r="AO55" s="103" cm="1">
        <f t="array" ref="AO55">INDEX(InputArea,_xlfn.XMATCH($K$84,ColName),_xlfn.XMATCH(RIGHT(AK54),RowName))</f>
        <v>0</v>
      </c>
      <c r="AP55" s="79"/>
      <c r="AQ55" s="103" cm="1">
        <f t="array" ref="AQ55">INDEX(InputArea,_xlfn.XMATCH($G$84,ColName),_xlfn.XMATCH(RIGHT(AQ54),RowName))</f>
        <v>0</v>
      </c>
      <c r="AR55" s="103" cm="1">
        <f t="array" ref="AR55">INDEX(InputArea,_xlfn.XMATCH($H$84,ColName),_xlfn.XMATCH(RIGHT(AQ54),RowName))</f>
        <v>0</v>
      </c>
      <c r="AS55" s="103" cm="1">
        <f t="array" ref="AS55">INDEX(InputArea,_xlfn.XMATCH($I$84,ColName),_xlfn.XMATCH(RIGHT(AQ54),RowName))</f>
        <v>0</v>
      </c>
      <c r="AT55" s="103" cm="1">
        <f t="array" ref="AT55">INDEX(InputArea,_xlfn.XMATCH($J$84,ColName),_xlfn.XMATCH(RIGHT(AQ54),RowName))</f>
        <v>0</v>
      </c>
      <c r="AU55" s="103" cm="1">
        <f t="array" ref="AU55">INDEX(InputArea,_xlfn.XMATCH($K$84,ColName),_xlfn.XMATCH(RIGHT(AQ54),RowName))</f>
        <v>0</v>
      </c>
      <c r="AV55" s="79"/>
      <c r="AW55" s="103" cm="1">
        <f t="array" ref="AW55">INDEX(InputArea,_xlfn.XMATCH($G$84,ColName),_xlfn.XMATCH(RIGHT(AW54),RowName))</f>
        <v>0</v>
      </c>
      <c r="AX55" s="103" cm="1">
        <f t="array" ref="AX55">INDEX(InputArea,_xlfn.XMATCH($H$84,ColName),_xlfn.XMATCH(RIGHT(AW54),RowName))</f>
        <v>0</v>
      </c>
      <c r="AY55" s="103" cm="1">
        <f t="array" ref="AY55">INDEX(InputArea,_xlfn.XMATCH($I$84,ColName),_xlfn.XMATCH(RIGHT(AW54),RowName))</f>
        <v>0</v>
      </c>
      <c r="AZ55" s="103" cm="1">
        <f t="array" ref="AZ55">INDEX(InputArea,_xlfn.XMATCH($J$84,ColName),_xlfn.XMATCH(RIGHT(AW54),RowName))</f>
        <v>0</v>
      </c>
      <c r="BA55" s="103" cm="1">
        <f t="array" ref="BA55">INDEX(InputArea,_xlfn.XMATCH($K$84,ColName),_xlfn.XMATCH(RIGHT(AW54),RowName))</f>
        <v>0</v>
      </c>
      <c r="BB55" s="79"/>
      <c r="BC55" s="103" cm="1">
        <f t="array" ref="BC55">INDEX(InputArea,_xlfn.XMATCH($G$84,ColName),_xlfn.XMATCH(RIGHT(BC54),RowName))</f>
        <v>0</v>
      </c>
      <c r="BD55" s="103" cm="1">
        <f t="array" ref="BD55">INDEX(InputArea,_xlfn.XMATCH($H$84,ColName),_xlfn.XMATCH(RIGHT(BC54),RowName))</f>
        <v>0</v>
      </c>
      <c r="BE55" s="103" cm="1">
        <f t="array" ref="BE55">INDEX(InputArea,_xlfn.XMATCH($I$84,ColName),_xlfn.XMATCH(RIGHT(BC54),RowName))</f>
        <v>0</v>
      </c>
      <c r="BF55" s="103" cm="1">
        <f t="array" ref="BF55">INDEX(InputArea,_xlfn.XMATCH($J$84,ColName),_xlfn.XMATCH(RIGHT(BC54),RowName))</f>
        <v>0</v>
      </c>
      <c r="BG55" s="103" cm="1">
        <f t="array" ref="BG55">INDEX(InputArea,_xlfn.XMATCH($K$84,ColName),_xlfn.XMATCH(RIGHT(BC54),RowName))</f>
        <v>0</v>
      </c>
    </row>
    <row r="56" spans="1:59" ht="19.5" thickBot="1" x14ac:dyDescent="0.45">
      <c r="A56" s="103" cm="1">
        <f t="array" ref="A56">INDEX(InputArea,_xlfn.XMATCH($A$85,ColName),_xlfn.XMATCH(RIGHT(A54),RowName))</f>
        <v>0</v>
      </c>
      <c r="B56" s="102" cm="1">
        <f t="array" ref="B56">INDEX(InputArea,_xlfn.XMATCH($B$85,ColName),_xlfn.XMATCH(RIGHT(A54),RowName))</f>
        <v>0</v>
      </c>
      <c r="C56" s="103" cm="1">
        <f t="array" ref="C56">INDEX(InputArea,_xlfn.XMATCH($C$85,ColName),_xlfn.XMATCH(RIGHT(A54),RowName))</f>
        <v>0</v>
      </c>
      <c r="D56" s="103" cm="1">
        <f t="array" ref="D56">INDEX(InputArea,_xlfn.XMATCH($D$85,ColName),_xlfn.XMATCH(RIGHT(A54),RowName))</f>
        <v>0</v>
      </c>
      <c r="E56" s="103" cm="1">
        <f t="array" ref="E56">INDEX(InputArea,_xlfn.XMATCH($E$85,ColName),_xlfn.XMATCH(RIGHT(A54),RowName))</f>
        <v>0</v>
      </c>
      <c r="F56" s="79"/>
      <c r="G56" s="103" cm="1">
        <f t="array" ref="G56">INDEX(InputArea,_xlfn.XMATCH($A$85,ColName),_xlfn.XMATCH(RIGHT(G54),RowName))</f>
        <v>0</v>
      </c>
      <c r="H56" s="102" cm="1">
        <f t="array" ref="H56">INDEX(InputArea,_xlfn.XMATCH($B$85,ColName),_xlfn.XMATCH(RIGHT(G54),RowName))</f>
        <v>0</v>
      </c>
      <c r="I56" s="103" cm="1">
        <f t="array" ref="I56">INDEX(InputArea,_xlfn.XMATCH($C$85,ColName),_xlfn.XMATCH(RIGHT(G54),RowName))</f>
        <v>0</v>
      </c>
      <c r="J56" s="103" cm="1">
        <f t="array" ref="J56">INDEX(InputArea,_xlfn.XMATCH($D$85,ColName),_xlfn.XMATCH(RIGHT(G54),RowName))</f>
        <v>0</v>
      </c>
      <c r="K56" s="103" cm="1">
        <f t="array" ref="K56">INDEX(InputArea,_xlfn.XMATCH($E$85,ColName),_xlfn.XMATCH(RIGHT(G54),RowName))</f>
        <v>0</v>
      </c>
      <c r="L56" s="79"/>
      <c r="M56" s="103" cm="1">
        <f t="array" ref="M56">INDEX(InputArea,_xlfn.XMATCH($A$85,ColName),_xlfn.XMATCH(RIGHT(M54),RowName))</f>
        <v>0</v>
      </c>
      <c r="N56" s="102" cm="1">
        <f t="array" ref="N56">INDEX(InputArea,_xlfn.XMATCH($B$85,ColName),_xlfn.XMATCH(RIGHT(M54),RowName))</f>
        <v>0</v>
      </c>
      <c r="O56" s="103" cm="1">
        <f t="array" ref="O56">INDEX(InputArea,_xlfn.XMATCH($C$85,ColName),_xlfn.XMATCH(RIGHT(M54),RowName))</f>
        <v>0</v>
      </c>
      <c r="P56" s="103" cm="1">
        <f t="array" ref="P56">INDEX(InputArea,_xlfn.XMATCH($D$85,ColName),_xlfn.XMATCH(RIGHT(M54),RowName))</f>
        <v>0</v>
      </c>
      <c r="Q56" s="103" cm="1">
        <f t="array" ref="Q56">INDEX(InputArea,_xlfn.XMATCH($E$85,ColName),_xlfn.XMATCH(RIGHT(M54),RowName))</f>
        <v>0</v>
      </c>
      <c r="R56" s="79"/>
      <c r="S56" s="103" cm="1">
        <f t="array" ref="S56">INDEX(InputArea,_xlfn.XMATCH($A$85,ColName),_xlfn.XMATCH(RIGHT(S54),RowName))</f>
        <v>0</v>
      </c>
      <c r="T56" s="102" cm="1">
        <f t="array" ref="T56">INDEX(InputArea,_xlfn.XMATCH($B$85,ColName),_xlfn.XMATCH(RIGHT(S54),RowName))</f>
        <v>0</v>
      </c>
      <c r="U56" s="103" cm="1">
        <f t="array" ref="U56">INDEX(InputArea,_xlfn.XMATCH($C$85,ColName),_xlfn.XMATCH(RIGHT(S54),RowName))</f>
        <v>0</v>
      </c>
      <c r="V56" s="103" cm="1">
        <f t="array" ref="V56">INDEX(InputArea,_xlfn.XMATCH($D$85,ColName),_xlfn.XMATCH(RIGHT(S54),RowName))</f>
        <v>0</v>
      </c>
      <c r="W56" s="103" cm="1">
        <f t="array" ref="W56">INDEX(InputArea,_xlfn.XMATCH($E$85,ColName),_xlfn.XMATCH(RIGHT(S54),RowName))</f>
        <v>0</v>
      </c>
      <c r="X56" s="79"/>
      <c r="Y56" s="103" cm="1">
        <f t="array" ref="Y56">INDEX(InputArea,_xlfn.XMATCH($A$85,ColName),_xlfn.XMATCH(RIGHT(Y54),RowName))</f>
        <v>0</v>
      </c>
      <c r="Z56" s="102" cm="1">
        <f t="array" ref="Z56">INDEX(InputArea,_xlfn.XMATCH($B$85,ColName),_xlfn.XMATCH(RIGHT(Y54),RowName))</f>
        <v>0</v>
      </c>
      <c r="AA56" s="103" cm="1">
        <f t="array" ref="AA56">INDEX(InputArea,_xlfn.XMATCH($C$85,ColName),_xlfn.XMATCH(RIGHT(Y54),RowName))</f>
        <v>0</v>
      </c>
      <c r="AB56" s="103" cm="1">
        <f t="array" ref="AB56">INDEX(InputArea,_xlfn.XMATCH($D$85,ColName),_xlfn.XMATCH(RIGHT(Y54),RowName))</f>
        <v>0</v>
      </c>
      <c r="AC56" s="103" cm="1">
        <f t="array" ref="AC56">INDEX(InputArea,_xlfn.XMATCH($E$85,ColName),_xlfn.XMATCH(RIGHT(Y54),RowName))</f>
        <v>0</v>
      </c>
      <c r="AD56" s="79"/>
      <c r="AE56" s="103" cm="1">
        <f t="array" ref="AE56">INDEX(InputArea,_xlfn.XMATCH($G$85,ColName),_xlfn.XMATCH(RIGHT(AE54),RowName))</f>
        <v>0</v>
      </c>
      <c r="AF56" s="103" cm="1">
        <f t="array" ref="AF56">INDEX(InputArea,_xlfn.XMATCH($H$85,ColName),_xlfn.XMATCH(RIGHT(AE54),RowName))</f>
        <v>0</v>
      </c>
      <c r="AG56" s="103" cm="1">
        <f t="array" ref="AG56">INDEX(InputArea,_xlfn.XMATCH($I$85,ColName),_xlfn.XMATCH(RIGHT(AE54),RowName))</f>
        <v>0</v>
      </c>
      <c r="AH56" s="102" cm="1">
        <f t="array" ref="AH56">INDEX(InputArea,_xlfn.XMATCH($J$85,ColName),_xlfn.XMATCH(RIGHT(AE54),RowName))</f>
        <v>0</v>
      </c>
      <c r="AI56" s="103" cm="1">
        <f t="array" ref="AI56">INDEX(InputArea,_xlfn.XMATCH($K$85,ColName),_xlfn.XMATCH(RIGHT(AE54),RowName))</f>
        <v>0</v>
      </c>
      <c r="AJ56" s="79"/>
      <c r="AK56" s="103" cm="1">
        <f t="array" ref="AK56">INDEX(InputArea,_xlfn.XMATCH($G$85,ColName),_xlfn.XMATCH(RIGHT(AK54),RowName))</f>
        <v>0</v>
      </c>
      <c r="AL56" s="103" cm="1">
        <f t="array" ref="AL56">INDEX(InputArea,_xlfn.XMATCH($H$85,ColName),_xlfn.XMATCH(RIGHT(AK54),RowName))</f>
        <v>0</v>
      </c>
      <c r="AM56" s="103" cm="1">
        <f t="array" ref="AM56">INDEX(InputArea,_xlfn.XMATCH($I$85,ColName),_xlfn.XMATCH(RIGHT(AK54),RowName))</f>
        <v>0</v>
      </c>
      <c r="AN56" s="102" cm="1">
        <f t="array" ref="AN56">INDEX(InputArea,_xlfn.XMATCH($J$85,ColName),_xlfn.XMATCH(RIGHT(AK54),RowName))</f>
        <v>0</v>
      </c>
      <c r="AO56" s="103" cm="1">
        <f t="array" ref="AO56">INDEX(InputArea,_xlfn.XMATCH($K$85,ColName),_xlfn.XMATCH(RIGHT(AK54),RowName))</f>
        <v>0</v>
      </c>
      <c r="AP56" s="79"/>
      <c r="AQ56" s="103" cm="1">
        <f t="array" ref="AQ56">INDEX(InputArea,_xlfn.XMATCH($G$85,ColName),_xlfn.XMATCH(RIGHT(AQ54),RowName))</f>
        <v>0</v>
      </c>
      <c r="AR56" s="103" cm="1">
        <f t="array" ref="AR56">INDEX(InputArea,_xlfn.XMATCH($H$85,ColName),_xlfn.XMATCH(RIGHT(AQ54),RowName))</f>
        <v>0</v>
      </c>
      <c r="AS56" s="103" cm="1">
        <f t="array" ref="AS56">INDEX(InputArea,_xlfn.XMATCH($I$85,ColName),_xlfn.XMATCH(RIGHT(AQ54),RowName))</f>
        <v>0</v>
      </c>
      <c r="AT56" s="102" cm="1">
        <f t="array" ref="AT56">INDEX(InputArea,_xlfn.XMATCH($J$85,ColName),_xlfn.XMATCH(RIGHT(AQ54),RowName))</f>
        <v>0</v>
      </c>
      <c r="AU56" s="103" cm="1">
        <f t="array" ref="AU56">INDEX(InputArea,_xlfn.XMATCH($K$85,ColName),_xlfn.XMATCH(RIGHT(AQ54),RowName))</f>
        <v>0</v>
      </c>
      <c r="AV56" s="79"/>
      <c r="AW56" s="103" cm="1">
        <f t="array" ref="AW56">INDEX(InputArea,_xlfn.XMATCH($G$85,ColName),_xlfn.XMATCH(RIGHT(AW54),RowName))</f>
        <v>0</v>
      </c>
      <c r="AX56" s="103" cm="1">
        <f t="array" ref="AX56">INDEX(InputArea,_xlfn.XMATCH($H$85,ColName),_xlfn.XMATCH(RIGHT(AW54),RowName))</f>
        <v>0</v>
      </c>
      <c r="AY56" s="103" cm="1">
        <f t="array" ref="AY56">INDEX(InputArea,_xlfn.XMATCH($I$85,ColName),_xlfn.XMATCH(RIGHT(AW54),RowName))</f>
        <v>0</v>
      </c>
      <c r="AZ56" s="102" cm="1">
        <f t="array" ref="AZ56">INDEX(InputArea,_xlfn.XMATCH($J$85,ColName),_xlfn.XMATCH(RIGHT(AW54),RowName))</f>
        <v>0</v>
      </c>
      <c r="BA56" s="103" cm="1">
        <f t="array" ref="BA56">INDEX(InputArea,_xlfn.XMATCH($K$85,ColName),_xlfn.XMATCH(RIGHT(AW54),RowName))</f>
        <v>0</v>
      </c>
      <c r="BB56" s="79"/>
      <c r="BC56" s="103" cm="1">
        <f t="array" ref="BC56">INDEX(InputArea,_xlfn.XMATCH($G$85,ColName),_xlfn.XMATCH(RIGHT(BC54),RowName))</f>
        <v>0</v>
      </c>
      <c r="BD56" s="103" cm="1">
        <f t="array" ref="BD56">INDEX(InputArea,_xlfn.XMATCH($H$85,ColName),_xlfn.XMATCH(RIGHT(BC54),RowName))</f>
        <v>0</v>
      </c>
      <c r="BE56" s="103" cm="1">
        <f t="array" ref="BE56">INDEX(InputArea,_xlfn.XMATCH($I$85,ColName),_xlfn.XMATCH(RIGHT(BC54),RowName))</f>
        <v>0</v>
      </c>
      <c r="BF56" s="102" cm="1">
        <f t="array" ref="BF56">INDEX(InputArea,_xlfn.XMATCH($J$85,ColName),_xlfn.XMATCH(RIGHT(BC54),RowName))</f>
        <v>0</v>
      </c>
      <c r="BG56" s="103" cm="1">
        <f t="array" ref="BG56">INDEX(InputArea,_xlfn.XMATCH($K$85,ColName),_xlfn.XMATCH(RIGHT(BC54),RowName))</f>
        <v>0</v>
      </c>
    </row>
    <row r="57" spans="1:59" x14ac:dyDescent="0.4">
      <c r="A57" s="103" cm="1">
        <f t="array" ref="A57">INDEX(InputArea,_xlfn.XMATCH($A$86,ColName),_xlfn.XMATCH(RIGHT(A54),RowName))</f>
        <v>0</v>
      </c>
      <c r="B57" s="103" cm="1">
        <f t="array" ref="B57">INDEX(InputArea,_xlfn.XMATCH($B$86,ColName),_xlfn.XMATCH(RIGHT(A54),RowName))</f>
        <v>0</v>
      </c>
      <c r="C57" s="103" cm="1">
        <f t="array" ref="C57">INDEX(InputArea,_xlfn.XMATCH($C$86,ColName),_xlfn.XMATCH(RIGHT(A54),RowName))</f>
        <v>0</v>
      </c>
      <c r="D57" s="103" cm="1">
        <f t="array" ref="D57">INDEX(InputArea,_xlfn.XMATCH($D$86,ColName),_xlfn.XMATCH(RIGHT(A54),RowName))</f>
        <v>0</v>
      </c>
      <c r="E57" s="103" cm="1">
        <f t="array" ref="E57">INDEX(InputArea,_xlfn.XMATCH($E$86,ColName),_xlfn.XMATCH(RIGHT(A54),RowName))</f>
        <v>0</v>
      </c>
      <c r="F57" s="79"/>
      <c r="G57" s="103" cm="1">
        <f t="array" ref="G57">INDEX(InputArea,_xlfn.XMATCH($A$86,ColName),_xlfn.XMATCH(RIGHT(G54),RowName))</f>
        <v>0</v>
      </c>
      <c r="H57" s="103" cm="1">
        <f t="array" ref="H57">INDEX(InputArea,_xlfn.XMATCH($B$86,ColName),_xlfn.XMATCH(RIGHT(G54),RowName))</f>
        <v>0</v>
      </c>
      <c r="I57" s="103" cm="1">
        <f t="array" ref="I57">INDEX(InputArea,_xlfn.XMATCH($C$86,ColName),_xlfn.XMATCH(RIGHT(G54),RowName))</f>
        <v>0</v>
      </c>
      <c r="J57" s="103" cm="1">
        <f t="array" ref="J57">INDEX(InputArea,_xlfn.XMATCH($D$86,ColName),_xlfn.XMATCH(RIGHT(G54),RowName))</f>
        <v>0</v>
      </c>
      <c r="K57" s="103" cm="1">
        <f t="array" ref="K57">INDEX(InputArea,_xlfn.XMATCH($E$86,ColName),_xlfn.XMATCH(RIGHT(G54),RowName))</f>
        <v>0</v>
      </c>
      <c r="L57" s="79"/>
      <c r="M57" s="103" cm="1">
        <f t="array" ref="M57">INDEX(InputArea,_xlfn.XMATCH($A$86,ColName),_xlfn.XMATCH(RIGHT(M54),RowName))</f>
        <v>0</v>
      </c>
      <c r="N57" s="103" cm="1">
        <f t="array" ref="N57">INDEX(InputArea,_xlfn.XMATCH($B$86,ColName),_xlfn.XMATCH(RIGHT(M54),RowName))</f>
        <v>0</v>
      </c>
      <c r="O57" s="103" cm="1">
        <f t="array" ref="O57">INDEX(InputArea,_xlfn.XMATCH($C$86,ColName),_xlfn.XMATCH(RIGHT(M54),RowName))</f>
        <v>0</v>
      </c>
      <c r="P57" s="103" cm="1">
        <f t="array" ref="P57">INDEX(InputArea,_xlfn.XMATCH($D$86,ColName),_xlfn.XMATCH(RIGHT(M54),RowName))</f>
        <v>0</v>
      </c>
      <c r="Q57" s="103" cm="1">
        <f t="array" ref="Q57">INDEX(InputArea,_xlfn.XMATCH($E$86,ColName),_xlfn.XMATCH(RIGHT(M54),RowName))</f>
        <v>0</v>
      </c>
      <c r="R57" s="79"/>
      <c r="S57" s="103" cm="1">
        <f t="array" ref="S57">INDEX(InputArea,_xlfn.XMATCH($A$86,ColName),_xlfn.XMATCH(RIGHT(S54),RowName))</f>
        <v>0</v>
      </c>
      <c r="T57" s="103" cm="1">
        <f t="array" ref="T57">INDEX(InputArea,_xlfn.XMATCH($B$86,ColName),_xlfn.XMATCH(RIGHT(S54),RowName))</f>
        <v>0</v>
      </c>
      <c r="U57" s="103" cm="1">
        <f t="array" ref="U57">INDEX(InputArea,_xlfn.XMATCH($C$86,ColName),_xlfn.XMATCH(RIGHT(S54),RowName))</f>
        <v>0</v>
      </c>
      <c r="V57" s="103" cm="1">
        <f t="array" ref="V57">INDEX(InputArea,_xlfn.XMATCH($D$86,ColName),_xlfn.XMATCH(RIGHT(S54),RowName))</f>
        <v>0</v>
      </c>
      <c r="W57" s="103" cm="1">
        <f t="array" ref="W57">INDEX(InputArea,_xlfn.XMATCH($E$86,ColName),_xlfn.XMATCH(RIGHT(S54),RowName))</f>
        <v>0</v>
      </c>
      <c r="X57" s="79"/>
      <c r="Y57" s="103" cm="1">
        <f t="array" ref="Y57">INDEX(InputArea,_xlfn.XMATCH($A$86,ColName),_xlfn.XMATCH(RIGHT(Y54),RowName))</f>
        <v>0</v>
      </c>
      <c r="Z57" s="103" cm="1">
        <f t="array" ref="Z57">INDEX(InputArea,_xlfn.XMATCH($B$86,ColName),_xlfn.XMATCH(RIGHT(Y54),RowName))</f>
        <v>0</v>
      </c>
      <c r="AA57" s="103" cm="1">
        <f t="array" ref="AA57">INDEX(InputArea,_xlfn.XMATCH($C$86,ColName),_xlfn.XMATCH(RIGHT(Y54),RowName))</f>
        <v>0</v>
      </c>
      <c r="AB57" s="103" cm="1">
        <f t="array" ref="AB57">INDEX(InputArea,_xlfn.XMATCH($D$86,ColName),_xlfn.XMATCH(RIGHT(Y54),RowName))</f>
        <v>0</v>
      </c>
      <c r="AC57" s="103" cm="1">
        <f t="array" ref="AC57">INDEX(InputArea,_xlfn.XMATCH($E$86,ColName),_xlfn.XMATCH(RIGHT(Y54),RowName))</f>
        <v>0</v>
      </c>
      <c r="AD57" s="79"/>
      <c r="AE57" s="103" cm="1">
        <f t="array" ref="AE57">INDEX(InputArea,_xlfn.XMATCH($G$86,ColName),_xlfn.XMATCH(RIGHT(AE54),RowName))</f>
        <v>0</v>
      </c>
      <c r="AF57" s="103" cm="1">
        <f t="array" ref="AF57">INDEX(InputArea,_xlfn.XMATCH($H$86,ColName),_xlfn.XMATCH(RIGHT(AE54),RowName))</f>
        <v>0</v>
      </c>
      <c r="AG57" s="103" cm="1">
        <f t="array" ref="AG57">INDEX(InputArea,_xlfn.XMATCH($I$86,ColName),_xlfn.XMATCH(RIGHT(AE54),RowName))</f>
        <v>0</v>
      </c>
      <c r="AH57" s="103" cm="1">
        <f t="array" ref="AH57">INDEX(InputArea,_xlfn.XMATCH($J$86,ColName),_xlfn.XMATCH(RIGHT(AE54),RowName))</f>
        <v>0</v>
      </c>
      <c r="AI57" s="103" cm="1">
        <f t="array" ref="AI57">INDEX(InputArea,_xlfn.XMATCH($K$86,ColName),_xlfn.XMATCH(RIGHT(AE54),RowName))</f>
        <v>0</v>
      </c>
      <c r="AJ57" s="79"/>
      <c r="AK57" s="103" cm="1">
        <f t="array" ref="AK57">INDEX(InputArea,_xlfn.XMATCH($G$86,ColName),_xlfn.XMATCH(RIGHT(AK54),RowName))</f>
        <v>0</v>
      </c>
      <c r="AL57" s="103" cm="1">
        <f t="array" ref="AL57">INDEX(InputArea,_xlfn.XMATCH($H$86,ColName),_xlfn.XMATCH(RIGHT(AK54),RowName))</f>
        <v>0</v>
      </c>
      <c r="AM57" s="103" cm="1">
        <f t="array" ref="AM57">INDEX(InputArea,_xlfn.XMATCH($I$86,ColName),_xlfn.XMATCH(RIGHT(AK54),RowName))</f>
        <v>0</v>
      </c>
      <c r="AN57" s="103" cm="1">
        <f t="array" ref="AN57">INDEX(InputArea,_xlfn.XMATCH($J$86,ColName),_xlfn.XMATCH(RIGHT(AK54),RowName))</f>
        <v>0</v>
      </c>
      <c r="AO57" s="103" cm="1">
        <f t="array" ref="AO57">INDEX(InputArea,_xlfn.XMATCH($K$86,ColName),_xlfn.XMATCH(RIGHT(AK54),RowName))</f>
        <v>0</v>
      </c>
      <c r="AP57" s="79"/>
      <c r="AQ57" s="103" cm="1">
        <f t="array" ref="AQ57">INDEX(InputArea,_xlfn.XMATCH($G$86,ColName),_xlfn.XMATCH(RIGHT(AQ54),RowName))</f>
        <v>0</v>
      </c>
      <c r="AR57" s="103" cm="1">
        <f t="array" ref="AR57">INDEX(InputArea,_xlfn.XMATCH($H$86,ColName),_xlfn.XMATCH(RIGHT(AQ54),RowName))</f>
        <v>0</v>
      </c>
      <c r="AS57" s="103" cm="1">
        <f t="array" ref="AS57">INDEX(InputArea,_xlfn.XMATCH($I$86,ColName),_xlfn.XMATCH(RIGHT(AQ54),RowName))</f>
        <v>0</v>
      </c>
      <c r="AT57" s="103" cm="1">
        <f t="array" ref="AT57">INDEX(InputArea,_xlfn.XMATCH($J$86,ColName),_xlfn.XMATCH(RIGHT(AQ54),RowName))</f>
        <v>0</v>
      </c>
      <c r="AU57" s="103" cm="1">
        <f t="array" ref="AU57">INDEX(InputArea,_xlfn.XMATCH($K$86,ColName),_xlfn.XMATCH(RIGHT(AQ54),RowName))</f>
        <v>0</v>
      </c>
      <c r="AV57" s="79"/>
      <c r="AW57" s="103" cm="1">
        <f t="array" ref="AW57">INDEX(InputArea,_xlfn.XMATCH($G$86,ColName),_xlfn.XMATCH(RIGHT(AW54),RowName))</f>
        <v>0</v>
      </c>
      <c r="AX57" s="103" cm="1">
        <f t="array" ref="AX57">INDEX(InputArea,_xlfn.XMATCH($H$86,ColName),_xlfn.XMATCH(RIGHT(AW54),RowName))</f>
        <v>0</v>
      </c>
      <c r="AY57" s="103" cm="1">
        <f t="array" ref="AY57">INDEX(InputArea,_xlfn.XMATCH($I$86,ColName),_xlfn.XMATCH(RIGHT(AW54),RowName))</f>
        <v>0</v>
      </c>
      <c r="AZ57" s="103" cm="1">
        <f t="array" ref="AZ57">INDEX(InputArea,_xlfn.XMATCH($J$86,ColName),_xlfn.XMATCH(RIGHT(AW54),RowName))</f>
        <v>0</v>
      </c>
      <c r="BA57" s="103" cm="1">
        <f t="array" ref="BA57">INDEX(InputArea,_xlfn.XMATCH($K$86,ColName),_xlfn.XMATCH(RIGHT(AW54),RowName))</f>
        <v>0</v>
      </c>
      <c r="BB57" s="79"/>
      <c r="BC57" s="103" cm="1">
        <f t="array" ref="BC57">INDEX(InputArea,_xlfn.XMATCH($G$86,ColName),_xlfn.XMATCH(RIGHT(BC54),RowName))</f>
        <v>0</v>
      </c>
      <c r="BD57" s="103" cm="1">
        <f t="array" ref="BD57">INDEX(InputArea,_xlfn.XMATCH($H$86,ColName),_xlfn.XMATCH(RIGHT(BC54),RowName))</f>
        <v>0</v>
      </c>
      <c r="BE57" s="103" cm="1">
        <f t="array" ref="BE57">INDEX(InputArea,_xlfn.XMATCH($I$86,ColName),_xlfn.XMATCH(RIGHT(BC54),RowName))</f>
        <v>0</v>
      </c>
      <c r="BF57" s="103" cm="1">
        <f t="array" ref="BF57">INDEX(InputArea,_xlfn.XMATCH($J$86,ColName),_xlfn.XMATCH(RIGHT(BC54),RowName))</f>
        <v>0</v>
      </c>
      <c r="BG57" s="103" cm="1">
        <f t="array" ref="BG57">INDEX(InputArea,_xlfn.XMATCH($K$86,ColName),_xlfn.XMATCH(RIGHT(BC54),RowName))</f>
        <v>0</v>
      </c>
    </row>
    <row r="62" spans="1:59" x14ac:dyDescent="0.4">
      <c r="A62" t="s">
        <v>98</v>
      </c>
    </row>
    <row r="63" spans="1:59" x14ac:dyDescent="0.4">
      <c r="A63" t="s">
        <v>97</v>
      </c>
    </row>
    <row r="67" spans="1:11" ht="35.25" x14ac:dyDescent="0.4">
      <c r="A67" s="68" t="s">
        <v>230</v>
      </c>
      <c r="B67" s="69"/>
      <c r="C67" s="69"/>
      <c r="D67" s="69"/>
      <c r="E67" s="69"/>
      <c r="F67" s="69"/>
      <c r="G67" s="69"/>
      <c r="H67" s="69"/>
      <c r="I67" s="69"/>
      <c r="J67" s="69"/>
      <c r="K67" s="70"/>
    </row>
    <row r="68" spans="1:11" ht="25.5" x14ac:dyDescent="0.4">
      <c r="A68" s="71" t="s">
        <v>103</v>
      </c>
      <c r="G68" s="10" t="s">
        <v>102</v>
      </c>
      <c r="K68" s="5"/>
    </row>
    <row r="69" spans="1:11" x14ac:dyDescent="0.4">
      <c r="A69" s="73" t="s">
        <v>201</v>
      </c>
      <c r="B69" s="58" t="s">
        <v>204</v>
      </c>
      <c r="C69" s="58" t="s">
        <v>207</v>
      </c>
      <c r="D69" s="58" t="s">
        <v>210</v>
      </c>
      <c r="E69" s="58" t="s">
        <v>213</v>
      </c>
      <c r="G69" s="58" t="s">
        <v>216</v>
      </c>
      <c r="H69" s="58" t="s">
        <v>219</v>
      </c>
      <c r="I69" s="58" t="s">
        <v>222</v>
      </c>
      <c r="J69" s="58" t="s">
        <v>226</v>
      </c>
      <c r="K69" s="74" t="s">
        <v>228</v>
      </c>
    </row>
    <row r="70" spans="1:11" x14ac:dyDescent="0.4">
      <c r="A70" s="73" t="s">
        <v>202</v>
      </c>
      <c r="B70" s="58" t="s">
        <v>205</v>
      </c>
      <c r="C70" s="58" t="s">
        <v>208</v>
      </c>
      <c r="D70" s="58" t="s">
        <v>211</v>
      </c>
      <c r="E70" s="58" t="s">
        <v>214</v>
      </c>
      <c r="G70" s="58" t="s">
        <v>217</v>
      </c>
      <c r="H70" s="58" t="s">
        <v>220</v>
      </c>
      <c r="I70" s="58" t="s">
        <v>223</v>
      </c>
      <c r="J70" s="58" t="s">
        <v>227</v>
      </c>
      <c r="K70" s="74" t="s">
        <v>229</v>
      </c>
    </row>
    <row r="71" spans="1:11" x14ac:dyDescent="0.4">
      <c r="A71" s="73" t="s">
        <v>203</v>
      </c>
      <c r="B71" s="58" t="s">
        <v>206</v>
      </c>
      <c r="C71" s="58" t="s">
        <v>209</v>
      </c>
      <c r="D71" s="58" t="s">
        <v>212</v>
      </c>
      <c r="E71" s="58" t="s">
        <v>215</v>
      </c>
      <c r="G71" s="58" t="s">
        <v>218</v>
      </c>
      <c r="H71" s="58" t="s">
        <v>221</v>
      </c>
      <c r="I71" s="58" t="s">
        <v>224</v>
      </c>
      <c r="J71" s="58" t="s">
        <v>225</v>
      </c>
      <c r="K71" s="74" t="s">
        <v>91</v>
      </c>
    </row>
    <row r="72" spans="1:11" x14ac:dyDescent="0.4">
      <c r="A72" s="72"/>
      <c r="K72" s="5"/>
    </row>
    <row r="73" spans="1:11" ht="25.5" x14ac:dyDescent="0.4">
      <c r="A73" s="71" t="s">
        <v>4</v>
      </c>
      <c r="G73" s="10" t="s">
        <v>16</v>
      </c>
      <c r="K73" s="5"/>
    </row>
    <row r="74" spans="1:11" x14ac:dyDescent="0.4">
      <c r="A74" s="73" t="s">
        <v>153</v>
      </c>
      <c r="B74" s="58" t="s">
        <v>151</v>
      </c>
      <c r="C74" s="58" t="s">
        <v>149</v>
      </c>
      <c r="D74" s="58" t="s">
        <v>147</v>
      </c>
      <c r="E74" s="58" t="s">
        <v>145</v>
      </c>
      <c r="G74" s="58" t="s">
        <v>185</v>
      </c>
      <c r="H74" s="58" t="s">
        <v>183</v>
      </c>
      <c r="I74" s="58" t="s">
        <v>181</v>
      </c>
      <c r="J74" s="58" t="s">
        <v>179</v>
      </c>
      <c r="K74" s="74" t="s">
        <v>177</v>
      </c>
    </row>
    <row r="75" spans="1:11" x14ac:dyDescent="0.4">
      <c r="A75" s="73" t="s">
        <v>142</v>
      </c>
      <c r="B75" s="58" t="s">
        <v>140</v>
      </c>
      <c r="C75" s="58" t="s">
        <v>138</v>
      </c>
      <c r="D75" s="58" t="s">
        <v>136</v>
      </c>
      <c r="E75" s="58" t="s">
        <v>134</v>
      </c>
      <c r="G75" s="58" t="s">
        <v>175</v>
      </c>
      <c r="H75" s="58" t="s">
        <v>173</v>
      </c>
      <c r="I75" s="58" t="s">
        <v>171</v>
      </c>
      <c r="J75" s="58" t="s">
        <v>169</v>
      </c>
      <c r="K75" s="74" t="s">
        <v>167</v>
      </c>
    </row>
    <row r="76" spans="1:11" x14ac:dyDescent="0.4">
      <c r="A76" s="73" t="s">
        <v>131</v>
      </c>
      <c r="B76" s="58" t="s">
        <v>129</v>
      </c>
      <c r="C76" s="58" t="s">
        <v>127</v>
      </c>
      <c r="D76" s="58" t="s">
        <v>125</v>
      </c>
      <c r="E76" s="58" t="s">
        <v>123</v>
      </c>
      <c r="G76" s="58" t="s">
        <v>165</v>
      </c>
      <c r="H76" s="58" t="s">
        <v>163</v>
      </c>
      <c r="I76" s="58" t="s">
        <v>161</v>
      </c>
      <c r="J76" s="58" t="s">
        <v>159</v>
      </c>
      <c r="K76" s="74" t="s">
        <v>157</v>
      </c>
    </row>
    <row r="77" spans="1:11" ht="35.25" x14ac:dyDescent="0.4">
      <c r="A77" s="75" t="s">
        <v>231</v>
      </c>
      <c r="K77" s="5"/>
    </row>
    <row r="78" spans="1:11" ht="25.5" x14ac:dyDescent="0.4">
      <c r="A78" s="71" t="s">
        <v>103</v>
      </c>
      <c r="G78" s="10" t="s">
        <v>102</v>
      </c>
      <c r="K78" s="5"/>
    </row>
    <row r="79" spans="1:11" x14ac:dyDescent="0.4">
      <c r="A79" s="73" t="s">
        <v>185</v>
      </c>
      <c r="B79" s="58" t="s">
        <v>183</v>
      </c>
      <c r="C79" s="58" t="s">
        <v>181</v>
      </c>
      <c r="D79" s="58" t="s">
        <v>179</v>
      </c>
      <c r="E79" s="58" t="s">
        <v>177</v>
      </c>
      <c r="G79" s="58" t="s">
        <v>153</v>
      </c>
      <c r="H79" s="58" t="s">
        <v>151</v>
      </c>
      <c r="I79" s="58" t="s">
        <v>149</v>
      </c>
      <c r="J79" s="58" t="s">
        <v>147</v>
      </c>
      <c r="K79" s="74" t="s">
        <v>145</v>
      </c>
    </row>
    <row r="80" spans="1:11" x14ac:dyDescent="0.4">
      <c r="A80" s="73" t="s">
        <v>175</v>
      </c>
      <c r="B80" s="58" t="s">
        <v>173</v>
      </c>
      <c r="C80" s="58" t="s">
        <v>171</v>
      </c>
      <c r="D80" s="58" t="s">
        <v>169</v>
      </c>
      <c r="E80" s="58" t="s">
        <v>167</v>
      </c>
      <c r="G80" s="58" t="s">
        <v>142</v>
      </c>
      <c r="H80" s="58" t="s">
        <v>140</v>
      </c>
      <c r="I80" s="58" t="s">
        <v>138</v>
      </c>
      <c r="J80" s="58" t="s">
        <v>136</v>
      </c>
      <c r="K80" s="74" t="s">
        <v>134</v>
      </c>
    </row>
    <row r="81" spans="1:11" x14ac:dyDescent="0.4">
      <c r="A81" s="73" t="s">
        <v>165</v>
      </c>
      <c r="B81" s="58" t="s">
        <v>163</v>
      </c>
      <c r="C81" s="58" t="s">
        <v>161</v>
      </c>
      <c r="D81" s="58" t="s">
        <v>159</v>
      </c>
      <c r="E81" s="58" t="s">
        <v>157</v>
      </c>
      <c r="G81" s="58" t="s">
        <v>131</v>
      </c>
      <c r="H81" s="58" t="s">
        <v>129</v>
      </c>
      <c r="I81" s="58" t="s">
        <v>127</v>
      </c>
      <c r="J81" s="58" t="s">
        <v>125</v>
      </c>
      <c r="K81" s="74" t="s">
        <v>123</v>
      </c>
    </row>
    <row r="82" spans="1:11" x14ac:dyDescent="0.4">
      <c r="A82" s="72"/>
      <c r="K82" s="5"/>
    </row>
    <row r="83" spans="1:11" ht="25.5" x14ac:dyDescent="0.4">
      <c r="A83" s="71" t="s">
        <v>16</v>
      </c>
      <c r="G83" s="10" t="s">
        <v>4</v>
      </c>
      <c r="K83" s="5"/>
    </row>
    <row r="84" spans="1:11" x14ac:dyDescent="0.4">
      <c r="A84" s="73" t="s">
        <v>153</v>
      </c>
      <c r="B84" s="58" t="s">
        <v>151</v>
      </c>
      <c r="C84" s="58" t="s">
        <v>149</v>
      </c>
      <c r="D84" s="58" t="s">
        <v>147</v>
      </c>
      <c r="E84" s="58" t="s">
        <v>145</v>
      </c>
      <c r="G84" s="58" t="s">
        <v>185</v>
      </c>
      <c r="H84" s="58" t="s">
        <v>183</v>
      </c>
      <c r="I84" s="58" t="s">
        <v>181</v>
      </c>
      <c r="J84" s="58" t="s">
        <v>179</v>
      </c>
      <c r="K84" s="74" t="s">
        <v>177</v>
      </c>
    </row>
    <row r="85" spans="1:11" x14ac:dyDescent="0.4">
      <c r="A85" s="73" t="s">
        <v>142</v>
      </c>
      <c r="B85" s="58" t="s">
        <v>140</v>
      </c>
      <c r="C85" s="58" t="s">
        <v>138</v>
      </c>
      <c r="D85" s="58" t="s">
        <v>136</v>
      </c>
      <c r="E85" s="58" t="s">
        <v>134</v>
      </c>
      <c r="G85" s="58" t="s">
        <v>175</v>
      </c>
      <c r="H85" s="58" t="s">
        <v>173</v>
      </c>
      <c r="I85" s="58" t="s">
        <v>171</v>
      </c>
      <c r="J85" s="58" t="s">
        <v>169</v>
      </c>
      <c r="K85" s="74" t="s">
        <v>167</v>
      </c>
    </row>
    <row r="86" spans="1:11" x14ac:dyDescent="0.4">
      <c r="A86" s="76" t="s">
        <v>131</v>
      </c>
      <c r="B86" s="77" t="s">
        <v>129</v>
      </c>
      <c r="C86" s="77" t="s">
        <v>127</v>
      </c>
      <c r="D86" s="77" t="s">
        <v>125</v>
      </c>
      <c r="E86" s="77" t="s">
        <v>123</v>
      </c>
      <c r="F86" s="67"/>
      <c r="G86" s="77" t="s">
        <v>165</v>
      </c>
      <c r="H86" s="77" t="s">
        <v>163</v>
      </c>
      <c r="I86" s="77" t="s">
        <v>161</v>
      </c>
      <c r="J86" s="77" t="s">
        <v>159</v>
      </c>
      <c r="K86" s="78" t="s">
        <v>157</v>
      </c>
    </row>
  </sheetData>
  <sheetProtection sheet="1" objects="1" scenarios="1"/>
  <phoneticPr fontId="5"/>
  <conditionalFormatting sqref="A2:BG28 A31:BG57">
    <cfRule type="expression" priority="1" stopIfTrue="1">
      <formula>OR(ISNUMBER(A2)=FALSE,A2&lt;=0)</formula>
    </cfRule>
    <cfRule type="cellIs" dxfId="81" priority="2" stopIfTrue="1" operator="lessThan">
      <formula>4</formula>
    </cfRule>
    <cfRule type="cellIs" dxfId="80" priority="3" stopIfTrue="1" operator="lessThan">
      <formula>5</formula>
    </cfRule>
    <cfRule type="cellIs" dxfId="79" priority="4" stopIfTrue="1" operator="lessThan">
      <formula>6</formula>
    </cfRule>
    <cfRule type="cellIs" dxfId="78" priority="5" stopIfTrue="1" operator="greaterThanOrEqual">
      <formula>10</formula>
    </cfRule>
    <cfRule type="cellIs" dxfId="77" priority="6" stopIfTrue="1" operator="greaterThanOrEqual">
      <formula>9</formula>
    </cfRule>
    <cfRule type="cellIs" dxfId="76" priority="7" stopIfTrue="1" operator="greaterThanOrEqual">
      <formula>8</formula>
    </cfRule>
    <cfRule type="cellIs" dxfId="75" priority="8" stopIfTrue="1" operator="greaterThanOrEqual">
      <formula>7</formula>
    </cfRule>
  </conditionalFormatting>
  <pageMargins left="0.35433070866141736" right="0.35433070866141736" top="0.94488188976377963" bottom="0.35433070866141736" header="0.31496062992125984" footer="0.31496062992125984"/>
  <pageSetup paperSize="9" scale="3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C8A-C96B-41EB-9772-935BDD1CAE3D}">
  <sheetPr codeName="Sheet21">
    <pageSetUpPr fitToPage="1"/>
  </sheetPr>
  <dimension ref="A1:BG71"/>
  <sheetViews>
    <sheetView zoomScale="70" zoomScaleNormal="70" workbookViewId="0"/>
  </sheetViews>
  <sheetFormatPr defaultColWidth="8.875" defaultRowHeight="18.75" x14ac:dyDescent="0.4"/>
  <cols>
    <col min="1" max="59" width="7.625" customWidth="1"/>
  </cols>
  <sheetData>
    <row r="1" spans="1:31" x14ac:dyDescent="0.4">
      <c r="B1" s="58" t="s">
        <v>113</v>
      </c>
      <c r="E1" s="58" t="s">
        <v>200</v>
      </c>
      <c r="F1" s="58" t="s">
        <v>199</v>
      </c>
      <c r="G1" s="58" t="s">
        <v>121</v>
      </c>
    </row>
    <row r="2" spans="1:31" x14ac:dyDescent="0.4">
      <c r="A2" s="4" t="s">
        <v>4</v>
      </c>
      <c r="B2" s="110" t="e">
        <f>AVERAGE(入力!T8:AH22)</f>
        <v>#DIV/0!</v>
      </c>
      <c r="C2" s="1"/>
      <c r="E2" s="111">
        <f>MIN(入力!T8:AH22)</f>
        <v>0</v>
      </c>
      <c r="F2" s="110">
        <f>MAX(入力!T8:AH22)</f>
        <v>0</v>
      </c>
      <c r="G2" s="110">
        <f>F2-E2</f>
        <v>0</v>
      </c>
    </row>
    <row r="3" spans="1:31" x14ac:dyDescent="0.4">
      <c r="A3" s="3" t="s">
        <v>102</v>
      </c>
      <c r="B3" s="110" t="e">
        <f>AVERAGE(入力!T23:AH37)</f>
        <v>#DIV/0!</v>
      </c>
      <c r="C3" s="1"/>
      <c r="E3" s="111">
        <f>MIN(入力!T23:AH37)</f>
        <v>0</v>
      </c>
      <c r="F3" s="110">
        <f>MAX(入力!T23:AH37)</f>
        <v>0</v>
      </c>
      <c r="G3" s="110">
        <f t="shared" ref="G3:G6" si="0">F3-E3</f>
        <v>0</v>
      </c>
    </row>
    <row r="4" spans="1:31" x14ac:dyDescent="0.4">
      <c r="A4" s="7" t="s">
        <v>16</v>
      </c>
      <c r="B4" s="110" t="e">
        <f>AVERAGE(入力!E23:S37)</f>
        <v>#DIV/0!</v>
      </c>
      <c r="C4" s="1"/>
      <c r="E4" s="111">
        <f>MIN(入力!E23:S37)</f>
        <v>0</v>
      </c>
      <c r="F4" s="110">
        <f>MAX(入力!E23:S37)</f>
        <v>0</v>
      </c>
      <c r="G4" s="110">
        <f t="shared" si="0"/>
        <v>0</v>
      </c>
    </row>
    <row r="5" spans="1:31" x14ac:dyDescent="0.4">
      <c r="A5" s="6" t="s">
        <v>103</v>
      </c>
      <c r="B5" s="110" t="e">
        <f>AVERAGE(入力!E8:S22)</f>
        <v>#DIV/0!</v>
      </c>
      <c r="C5" s="1"/>
      <c r="E5" s="111">
        <f>MIN(入力!E8:S22)</f>
        <v>0</v>
      </c>
      <c r="F5" s="110">
        <f>MAX(入力!E8:S22)</f>
        <v>0</v>
      </c>
      <c r="G5" s="110">
        <f t="shared" si="0"/>
        <v>0</v>
      </c>
    </row>
    <row r="6" spans="1:31" x14ac:dyDescent="0.4">
      <c r="A6" t="s">
        <v>120</v>
      </c>
      <c r="B6" s="110" t="e">
        <f>AVERAGE(InputArea)</f>
        <v>#DIV/0!</v>
      </c>
      <c r="C6" s="158" t="e">
        <f>40/B6</f>
        <v>#DIV/0!</v>
      </c>
      <c r="D6" s="158"/>
      <c r="E6" s="111">
        <f>MIN(InputArea)</f>
        <v>0</v>
      </c>
      <c r="F6" s="110">
        <f>MAX(InputArea)</f>
        <v>0</v>
      </c>
      <c r="G6" s="110">
        <f t="shared" si="0"/>
        <v>0</v>
      </c>
    </row>
    <row r="8" spans="1:31" ht="24" x14ac:dyDescent="0.4">
      <c r="A8" s="8" t="s">
        <v>94</v>
      </c>
    </row>
    <row r="9" spans="1:31" ht="19.5" thickBot="1" x14ac:dyDescent="0.45">
      <c r="B9" s="102" cm="1">
        <f t="array" ref="B9:AE14">TRANSPOSE(順位一覧!M2:R31)</f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3">
        <v>0</v>
      </c>
      <c r="I9" s="103">
        <v>0</v>
      </c>
      <c r="J9" s="103">
        <v>0</v>
      </c>
      <c r="K9" s="103">
        <v>0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  <c r="X9" s="103">
        <v>0</v>
      </c>
      <c r="Y9" s="103">
        <v>0</v>
      </c>
      <c r="Z9" s="103">
        <v>0</v>
      </c>
      <c r="AA9" s="103">
        <v>0</v>
      </c>
      <c r="AB9" s="103">
        <v>0</v>
      </c>
      <c r="AC9" s="103">
        <v>0</v>
      </c>
      <c r="AD9" s="103">
        <v>0</v>
      </c>
      <c r="AE9" s="103">
        <v>0</v>
      </c>
    </row>
    <row r="10" spans="1:31" x14ac:dyDescent="0.4">
      <c r="B10" s="92" t="str">
        <v>QQ</v>
      </c>
      <c r="C10" s="92" t="str">
        <v>QW</v>
      </c>
      <c r="D10" s="92" t="str">
        <v>QE</v>
      </c>
      <c r="E10" s="92" t="str">
        <v>QR</v>
      </c>
      <c r="F10" s="92" t="str">
        <v>QT</v>
      </c>
      <c r="G10" s="92" t="str">
        <v>QA</v>
      </c>
      <c r="H10" s="92" t="str">
        <v>QS</v>
      </c>
      <c r="I10" s="92" t="str">
        <v>QD</v>
      </c>
      <c r="J10" s="92" t="str">
        <v>QF</v>
      </c>
      <c r="K10" s="92" t="str">
        <v>QG</v>
      </c>
      <c r="L10" s="92" t="str">
        <v>QZ</v>
      </c>
      <c r="M10" s="92" t="str">
        <v>QX</v>
      </c>
      <c r="N10" s="92" t="str">
        <v>QC</v>
      </c>
      <c r="O10" s="92" t="str">
        <v>QV</v>
      </c>
      <c r="P10" s="92" t="str">
        <v>QB</v>
      </c>
      <c r="Q10" s="92" t="str">
        <v>QY</v>
      </c>
      <c r="R10" s="92" t="str">
        <v>QU</v>
      </c>
      <c r="S10" s="92" t="str">
        <v>QI</v>
      </c>
      <c r="T10" s="92" t="str">
        <v>QO</v>
      </c>
      <c r="U10" s="92" t="str">
        <v>QP</v>
      </c>
      <c r="V10" s="92" t="str">
        <v>QH</v>
      </c>
      <c r="W10" s="92" t="str">
        <v>QJ</v>
      </c>
      <c r="X10" s="92" t="str">
        <v>QK</v>
      </c>
      <c r="Y10" s="92" t="str">
        <v>QL</v>
      </c>
      <c r="Z10" s="92" t="str">
        <v>Q;</v>
      </c>
      <c r="AA10" s="92" t="str">
        <v>QN</v>
      </c>
      <c r="AB10" s="92" t="str">
        <v>QM</v>
      </c>
      <c r="AC10" s="92" t="str">
        <v>Q,</v>
      </c>
      <c r="AD10" s="92" t="str">
        <v>Q.</v>
      </c>
      <c r="AE10" s="92" t="str">
        <v>Q/</v>
      </c>
    </row>
    <row r="11" spans="1:31" ht="18" customHeight="1" x14ac:dyDescent="0.4">
      <c r="A11" t="s">
        <v>119</v>
      </c>
      <c r="B11" s="92" t="str">
        <v>ヴヴ</v>
      </c>
      <c r="C11" s="92" t="str">
        <v>ヴき</v>
      </c>
      <c r="D11" s="92" t="str">
        <v>ヴて</v>
      </c>
      <c r="E11" s="92" t="str">
        <v>ヴし</v>
      </c>
      <c r="F11" s="92" t="str">
        <v>ヴ←</v>
      </c>
      <c r="G11" s="92" t="str">
        <v>ヴろ</v>
      </c>
      <c r="H11" s="92" t="str">
        <v>ヴけ</v>
      </c>
      <c r="I11" s="92" t="str">
        <v>ヴと</v>
      </c>
      <c r="J11" s="92" t="str">
        <v>ヴか</v>
      </c>
      <c r="K11" s="92" t="str">
        <v>ヴっ</v>
      </c>
      <c r="L11" s="92" t="str">
        <v>ヴほ</v>
      </c>
      <c r="M11" s="92" t="str">
        <v>ヴひ</v>
      </c>
      <c r="N11" s="92" t="str">
        <v>ヴは</v>
      </c>
      <c r="O11" s="92" t="str">
        <v>ヴこ</v>
      </c>
      <c r="P11" s="92" t="str">
        <v>ヴそ</v>
      </c>
      <c r="Q11" s="92" t="str">
        <v>ヴ→</v>
      </c>
      <c r="R11" s="92" t="str">
        <v>ヴBS</v>
      </c>
      <c r="S11" s="92" t="str">
        <v>ヴる</v>
      </c>
      <c r="T11" s="92" t="str">
        <v>ヴす</v>
      </c>
      <c r="U11" s="92" t="str">
        <v>ヴへ</v>
      </c>
      <c r="V11" s="92" t="str">
        <v>ヴく</v>
      </c>
      <c r="W11" s="92" t="str">
        <v>ヴあ</v>
      </c>
      <c r="X11" s="92" t="str">
        <v>ヴい</v>
      </c>
      <c r="Y11" s="92" t="str">
        <v>ヴう</v>
      </c>
      <c r="Z11" s="92" t="str">
        <v>ヴー</v>
      </c>
      <c r="AA11" s="92" t="str">
        <v>ヴた</v>
      </c>
      <c r="AB11" s="92" t="str">
        <v>ヴな</v>
      </c>
      <c r="AC11" s="92" t="str">
        <v>ヴん</v>
      </c>
      <c r="AD11" s="92" t="str">
        <v>ヴら</v>
      </c>
      <c r="AE11" s="92" t="str">
        <v>ヴれ</v>
      </c>
    </row>
    <row r="12" spans="1:31" ht="18" customHeight="1" x14ac:dyDescent="0.4">
      <c r="B12" s="92">
        <v>0</v>
      </c>
      <c r="C12" s="92">
        <v>0</v>
      </c>
      <c r="D12" s="92">
        <v>0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92">
        <v>0</v>
      </c>
      <c r="K12" s="92">
        <v>0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 t="str">
        <v>ょ</v>
      </c>
      <c r="T12" s="92" t="str">
        <v>ぇ</v>
      </c>
      <c r="U12" s="92" t="str">
        <v>ゅ</v>
      </c>
      <c r="V12" s="92" t="str">
        <v>ゃ</v>
      </c>
      <c r="W12" s="92" t="str">
        <v>ぁ</v>
      </c>
      <c r="X12" s="92" t="str">
        <v>ぃ</v>
      </c>
      <c r="Y12" s="92" t="str">
        <v>ぅ</v>
      </c>
      <c r="Z12" s="92">
        <v>0</v>
      </c>
      <c r="AA12" s="92" t="str">
        <v>ぉ</v>
      </c>
      <c r="AB12" s="92">
        <v>0</v>
      </c>
      <c r="AC12" s="92">
        <v>0</v>
      </c>
      <c r="AD12" s="92" t="str">
        <v>ゎ</v>
      </c>
      <c r="AE12" s="92">
        <v>0</v>
      </c>
    </row>
    <row r="13" spans="1:31" ht="18" customHeight="1" x14ac:dyDescent="0.4">
      <c r="A13" t="s">
        <v>233</v>
      </c>
      <c r="B13" s="92" t="str">
        <v>っｑ</v>
      </c>
      <c r="C13" s="92">
        <v>0</v>
      </c>
      <c r="D13" s="92" t="str">
        <v>くぇ</v>
      </c>
      <c r="E13" s="92">
        <v>0</v>
      </c>
      <c r="F13" s="92">
        <v>0</v>
      </c>
      <c r="G13" s="92" t="str">
        <v>くぁ</v>
      </c>
      <c r="H13" s="92">
        <v>0</v>
      </c>
      <c r="I13" s="92">
        <v>0</v>
      </c>
      <c r="J13" s="92">
        <v>0</v>
      </c>
      <c r="K13" s="92">
        <v>0</v>
      </c>
      <c r="L13" s="92">
        <v>0</v>
      </c>
      <c r="M13" s="92">
        <v>0</v>
      </c>
      <c r="N13" s="92">
        <v>0</v>
      </c>
      <c r="O13" s="92">
        <v>0</v>
      </c>
      <c r="P13" s="92">
        <v>0</v>
      </c>
      <c r="Q13" s="92">
        <v>0</v>
      </c>
      <c r="R13" s="92" t="str">
        <v>く</v>
      </c>
      <c r="S13" s="92" t="str">
        <v>くぃ</v>
      </c>
      <c r="T13" s="92" t="str">
        <v>くぉ</v>
      </c>
      <c r="U13" s="92">
        <v>0</v>
      </c>
      <c r="V13" s="92">
        <v>0</v>
      </c>
      <c r="W13" s="92">
        <v>0</v>
      </c>
      <c r="X13" s="92">
        <v>0</v>
      </c>
      <c r="Y13" s="92">
        <v>0</v>
      </c>
      <c r="Z13" s="92">
        <v>0</v>
      </c>
      <c r="AA13" s="92">
        <v>0</v>
      </c>
      <c r="AB13" s="92">
        <v>0</v>
      </c>
      <c r="AC13" s="92">
        <v>0</v>
      </c>
      <c r="AD13" s="92">
        <v>0</v>
      </c>
      <c r="AE13" s="92">
        <v>0</v>
      </c>
    </row>
    <row r="14" spans="1:31" hidden="1" x14ac:dyDescent="0.4">
      <c r="A14" t="s">
        <v>232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</row>
    <row r="15" spans="1:31" x14ac:dyDescent="0.4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4" x14ac:dyDescent="0.4">
      <c r="A16" s="9" t="s">
        <v>122</v>
      </c>
    </row>
    <row r="17" spans="1:59" x14ac:dyDescent="0.4">
      <c r="B17" s="103" cm="1">
        <f t="array" ref="B17:AE22">TRANSPOSE(順位一覧!U2:Z31)</f>
        <v>0</v>
      </c>
      <c r="C17" s="103">
        <v>0</v>
      </c>
      <c r="D17" s="103">
        <v>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0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  <c r="X17" s="103">
        <v>0</v>
      </c>
      <c r="Y17" s="103">
        <v>0</v>
      </c>
      <c r="Z17" s="103">
        <v>0</v>
      </c>
      <c r="AA17" s="103">
        <v>0</v>
      </c>
      <c r="AB17" s="103">
        <v>0</v>
      </c>
      <c r="AC17" s="103">
        <v>0</v>
      </c>
      <c r="AD17" s="103">
        <v>0</v>
      </c>
      <c r="AE17" s="103">
        <v>0</v>
      </c>
    </row>
    <row r="18" spans="1:59" x14ac:dyDescent="0.4">
      <c r="B18" s="92" t="str">
        <v>QQ</v>
      </c>
      <c r="C18" s="92" t="str">
        <v>QW</v>
      </c>
      <c r="D18" s="92" t="str">
        <v>QE</v>
      </c>
      <c r="E18" s="92" t="str">
        <v>QR</v>
      </c>
      <c r="F18" s="92" t="str">
        <v>QT</v>
      </c>
      <c r="G18" s="92" t="str">
        <v>QA</v>
      </c>
      <c r="H18" s="92" t="str">
        <v>QS</v>
      </c>
      <c r="I18" s="92" t="str">
        <v>QD</v>
      </c>
      <c r="J18" s="92" t="str">
        <v>QF</v>
      </c>
      <c r="K18" s="92" t="str">
        <v>QG</v>
      </c>
      <c r="L18" s="92" t="str">
        <v>QZ</v>
      </c>
      <c r="M18" s="92" t="str">
        <v>QX</v>
      </c>
      <c r="N18" s="92" t="str">
        <v>QC</v>
      </c>
      <c r="O18" s="92" t="str">
        <v>QV</v>
      </c>
      <c r="P18" s="92" t="str">
        <v>QB</v>
      </c>
      <c r="Q18" s="92" t="str">
        <v>QY</v>
      </c>
      <c r="R18" s="92" t="str">
        <v>QU</v>
      </c>
      <c r="S18" s="92" t="str">
        <v>QI</v>
      </c>
      <c r="T18" s="92" t="str">
        <v>QO</v>
      </c>
      <c r="U18" s="92" t="str">
        <v>QP</v>
      </c>
      <c r="V18" s="92" t="str">
        <v>QH</v>
      </c>
      <c r="W18" s="92" t="str">
        <v>QJ</v>
      </c>
      <c r="X18" s="92" t="str">
        <v>QK</v>
      </c>
      <c r="Y18" s="92" t="str">
        <v>QL</v>
      </c>
      <c r="Z18" s="92" t="str">
        <v>Q;</v>
      </c>
      <c r="AA18" s="92" t="str">
        <v>QN</v>
      </c>
      <c r="AB18" s="92" t="str">
        <v>QM</v>
      </c>
      <c r="AC18" s="92" t="str">
        <v>Q,</v>
      </c>
      <c r="AD18" s="92" t="str">
        <v>Q.</v>
      </c>
      <c r="AE18" s="92" t="str">
        <v>Q/</v>
      </c>
    </row>
    <row r="19" spans="1:59" ht="18" customHeight="1" x14ac:dyDescent="0.4">
      <c r="A19" t="s">
        <v>119</v>
      </c>
      <c r="B19" s="92" t="str">
        <v>ヴヴ</v>
      </c>
      <c r="C19" s="92" t="str">
        <v>ヴき</v>
      </c>
      <c r="D19" s="92" t="str">
        <v>ヴて</v>
      </c>
      <c r="E19" s="92" t="str">
        <v>ヴし</v>
      </c>
      <c r="F19" s="92" t="str">
        <v>ヴ←</v>
      </c>
      <c r="G19" s="92" t="str">
        <v>ヴろ</v>
      </c>
      <c r="H19" s="92" t="str">
        <v>ヴけ</v>
      </c>
      <c r="I19" s="92" t="str">
        <v>ヴと</v>
      </c>
      <c r="J19" s="92" t="str">
        <v>ヴか</v>
      </c>
      <c r="K19" s="92" t="str">
        <v>ヴっ</v>
      </c>
      <c r="L19" s="92" t="str">
        <v>ヴほ</v>
      </c>
      <c r="M19" s="92" t="str">
        <v>ヴひ</v>
      </c>
      <c r="N19" s="92" t="str">
        <v>ヴは</v>
      </c>
      <c r="O19" s="92" t="str">
        <v>ヴこ</v>
      </c>
      <c r="P19" s="92" t="str">
        <v>ヴそ</v>
      </c>
      <c r="Q19" s="92" t="str">
        <v>ヴ→</v>
      </c>
      <c r="R19" s="92" t="str">
        <v>ヴBS</v>
      </c>
      <c r="S19" s="92" t="str">
        <v>ヴる</v>
      </c>
      <c r="T19" s="92" t="str">
        <v>ヴす</v>
      </c>
      <c r="U19" s="92" t="str">
        <v>ヴへ</v>
      </c>
      <c r="V19" s="92" t="str">
        <v>ヴく</v>
      </c>
      <c r="W19" s="92" t="str">
        <v>ヴあ</v>
      </c>
      <c r="X19" s="92" t="str">
        <v>ヴい</v>
      </c>
      <c r="Y19" s="92" t="str">
        <v>ヴう</v>
      </c>
      <c r="Z19" s="92" t="str">
        <v>ヴー</v>
      </c>
      <c r="AA19" s="92" t="str">
        <v>ヴた</v>
      </c>
      <c r="AB19" s="92" t="str">
        <v>ヴな</v>
      </c>
      <c r="AC19" s="92" t="str">
        <v>ヴん</v>
      </c>
      <c r="AD19" s="92" t="str">
        <v>ヴら</v>
      </c>
      <c r="AE19" s="92" t="str">
        <v>ヴれ</v>
      </c>
    </row>
    <row r="20" spans="1:59" ht="18" customHeight="1" x14ac:dyDescent="0.4">
      <c r="B20" s="92">
        <v>0</v>
      </c>
      <c r="C20" s="92">
        <v>0</v>
      </c>
      <c r="D20" s="92">
        <v>0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 t="str">
        <v>ょ</v>
      </c>
      <c r="T20" s="92" t="str">
        <v>ぇ</v>
      </c>
      <c r="U20" s="92" t="str">
        <v>ゅ</v>
      </c>
      <c r="V20" s="92" t="str">
        <v>ゃ</v>
      </c>
      <c r="W20" s="92" t="str">
        <v>ぁ</v>
      </c>
      <c r="X20" s="92" t="str">
        <v>ぃ</v>
      </c>
      <c r="Y20" s="92" t="str">
        <v>ぅ</v>
      </c>
      <c r="Z20" s="92">
        <v>0</v>
      </c>
      <c r="AA20" s="92" t="str">
        <v>ぉ</v>
      </c>
      <c r="AB20" s="92">
        <v>0</v>
      </c>
      <c r="AC20" s="92">
        <v>0</v>
      </c>
      <c r="AD20" s="92" t="str">
        <v>ゎ</v>
      </c>
      <c r="AE20" s="92">
        <v>0</v>
      </c>
    </row>
    <row r="21" spans="1:59" ht="18" customHeight="1" x14ac:dyDescent="0.4">
      <c r="A21" t="s">
        <v>233</v>
      </c>
      <c r="B21" s="92" t="str">
        <v>っｑ</v>
      </c>
      <c r="C21" s="92">
        <v>0</v>
      </c>
      <c r="D21" s="92" t="str">
        <v>くぇ</v>
      </c>
      <c r="E21" s="92">
        <v>0</v>
      </c>
      <c r="F21" s="92">
        <v>0</v>
      </c>
      <c r="G21" s="92" t="str">
        <v>くぁ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  <c r="N21" s="92">
        <v>0</v>
      </c>
      <c r="O21" s="92">
        <v>0</v>
      </c>
      <c r="P21" s="92">
        <v>0</v>
      </c>
      <c r="Q21" s="92">
        <v>0</v>
      </c>
      <c r="R21" s="92" t="str">
        <v>く</v>
      </c>
      <c r="S21" s="92" t="str">
        <v>くぃ</v>
      </c>
      <c r="T21" s="92" t="str">
        <v>くぉ</v>
      </c>
      <c r="U21" s="92">
        <v>0</v>
      </c>
      <c r="V21" s="92">
        <v>0</v>
      </c>
      <c r="W21" s="92">
        <v>0</v>
      </c>
      <c r="X21" s="92">
        <v>0</v>
      </c>
      <c r="Y21" s="92">
        <v>0</v>
      </c>
      <c r="Z21" s="92">
        <v>0</v>
      </c>
      <c r="AA21" s="92">
        <v>0</v>
      </c>
      <c r="AB21" s="92">
        <v>0</v>
      </c>
      <c r="AC21" s="92">
        <v>0</v>
      </c>
      <c r="AD21" s="92">
        <v>0</v>
      </c>
      <c r="AE21" s="92">
        <v>0</v>
      </c>
    </row>
    <row r="22" spans="1:59" hidden="1" x14ac:dyDescent="0.4">
      <c r="A22" t="s">
        <v>232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</row>
    <row r="23" spans="1:59" x14ac:dyDescent="0.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59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59" ht="24" x14ac:dyDescent="0.4">
      <c r="A25" s="8" t="s">
        <v>112</v>
      </c>
    </row>
    <row r="26" spans="1:59" ht="19.5" thickBot="1" x14ac:dyDescent="0.45">
      <c r="A26" s="79" t="s">
        <v>0</v>
      </c>
      <c r="B26" s="79"/>
      <c r="C26" s="79"/>
      <c r="D26" s="79"/>
      <c r="E26" s="80"/>
      <c r="F26" s="79"/>
      <c r="G26" s="79" t="s">
        <v>1</v>
      </c>
      <c r="H26" s="79"/>
      <c r="I26" s="79"/>
      <c r="J26" s="79"/>
      <c r="K26" s="79"/>
      <c r="L26" s="79"/>
      <c r="M26" s="79" t="s">
        <v>2</v>
      </c>
      <c r="N26" s="79"/>
      <c r="O26" s="79"/>
      <c r="P26" s="79"/>
      <c r="Q26" s="79"/>
      <c r="R26" s="79"/>
      <c r="S26" s="79" t="s">
        <v>9</v>
      </c>
      <c r="T26" s="79"/>
      <c r="U26" s="79"/>
      <c r="V26" s="79"/>
      <c r="W26" s="79"/>
      <c r="X26" s="79"/>
      <c r="Y26" s="79" t="s">
        <v>10</v>
      </c>
      <c r="Z26" s="79"/>
      <c r="AA26" s="79"/>
      <c r="AB26" s="79"/>
      <c r="AC26" s="79"/>
      <c r="AD26" s="79"/>
      <c r="AE26" s="79" t="s">
        <v>17</v>
      </c>
      <c r="AF26" s="79"/>
      <c r="AG26" s="79"/>
      <c r="AH26" s="79"/>
      <c r="AI26" s="79"/>
      <c r="AJ26" s="79"/>
      <c r="AK26" s="79" t="s">
        <v>18</v>
      </c>
      <c r="AL26" s="79"/>
      <c r="AM26" s="79"/>
      <c r="AN26" s="79"/>
      <c r="AO26" s="79"/>
      <c r="AP26" s="79"/>
      <c r="AQ26" s="79" t="s">
        <v>19</v>
      </c>
      <c r="AR26" s="79"/>
      <c r="AS26" s="79"/>
      <c r="AT26" s="79"/>
      <c r="AU26" s="79"/>
      <c r="AV26" s="79"/>
      <c r="AW26" s="79" t="s">
        <v>20</v>
      </c>
      <c r="AX26" s="79"/>
      <c r="AY26" s="79"/>
      <c r="AZ26" s="79"/>
      <c r="BA26" s="79"/>
      <c r="BB26" s="79"/>
      <c r="BC26" s="79" t="s">
        <v>21</v>
      </c>
      <c r="BD26" s="79"/>
      <c r="BE26" s="79"/>
      <c r="BF26" s="79"/>
      <c r="BG26" s="79"/>
    </row>
    <row r="27" spans="1:59" ht="19.5" thickBot="1" x14ac:dyDescent="0.45">
      <c r="A27" s="104">
        <f>変換データ!A4</f>
        <v>0</v>
      </c>
      <c r="B27" s="103">
        <f>変換データ!B4</f>
        <v>0</v>
      </c>
      <c r="C27" s="103">
        <f>変換データ!C4</f>
        <v>0</v>
      </c>
      <c r="D27" s="103">
        <f>変換データ!D4</f>
        <v>0</v>
      </c>
      <c r="E27" s="103">
        <f>変換データ!E4</f>
        <v>0</v>
      </c>
      <c r="F27" s="79"/>
      <c r="G27" s="103">
        <f>変換データ!G4</f>
        <v>0</v>
      </c>
      <c r="H27" s="104">
        <f>変換データ!H4</f>
        <v>0</v>
      </c>
      <c r="I27" s="103">
        <f>変換データ!I4</f>
        <v>0</v>
      </c>
      <c r="J27" s="103">
        <f>変換データ!J4</f>
        <v>0</v>
      </c>
      <c r="K27" s="103">
        <f>変換データ!K4</f>
        <v>0</v>
      </c>
      <c r="L27" s="79"/>
      <c r="M27" s="103">
        <f>変換データ!M4</f>
        <v>0</v>
      </c>
      <c r="N27" s="103">
        <f>変換データ!N4</f>
        <v>0</v>
      </c>
      <c r="O27" s="104">
        <f>変換データ!O4</f>
        <v>0</v>
      </c>
      <c r="P27" s="103">
        <f>変換データ!P4</f>
        <v>0</v>
      </c>
      <c r="Q27" s="103">
        <f>変換データ!Q4</f>
        <v>0</v>
      </c>
      <c r="R27" s="79"/>
      <c r="S27" s="103">
        <f>変換データ!S4</f>
        <v>0</v>
      </c>
      <c r="T27" s="103">
        <f>変換データ!T4</f>
        <v>0</v>
      </c>
      <c r="U27" s="103">
        <f>変換データ!U4</f>
        <v>0</v>
      </c>
      <c r="V27" s="104">
        <f>変換データ!V4</f>
        <v>0</v>
      </c>
      <c r="W27" s="103">
        <f>変換データ!W4</f>
        <v>0</v>
      </c>
      <c r="X27" s="79"/>
      <c r="Y27" s="103">
        <f>変換データ!Y4</f>
        <v>0</v>
      </c>
      <c r="Z27" s="103">
        <f>変換データ!Z4</f>
        <v>0</v>
      </c>
      <c r="AA27" s="103">
        <f>変換データ!AA4</f>
        <v>0</v>
      </c>
      <c r="AB27" s="103">
        <f>変換データ!AB4</f>
        <v>0</v>
      </c>
      <c r="AC27" s="104">
        <f>変換データ!AC4</f>
        <v>0</v>
      </c>
      <c r="AD27" s="79"/>
      <c r="AE27" s="104">
        <f>変換データ!AE4</f>
        <v>0</v>
      </c>
      <c r="AF27" s="103">
        <f>変換データ!AF4</f>
        <v>0</v>
      </c>
      <c r="AG27" s="103">
        <f>変換データ!AG4</f>
        <v>0</v>
      </c>
      <c r="AH27" s="103">
        <f>変換データ!AH4</f>
        <v>0</v>
      </c>
      <c r="AI27" s="103">
        <f>変換データ!AI4</f>
        <v>0</v>
      </c>
      <c r="AJ27" s="79"/>
      <c r="AK27" s="103">
        <f>変換データ!AK4</f>
        <v>0</v>
      </c>
      <c r="AL27" s="104">
        <f>変換データ!AL4</f>
        <v>0</v>
      </c>
      <c r="AM27" s="103">
        <f>変換データ!AM4</f>
        <v>0</v>
      </c>
      <c r="AN27" s="103">
        <f>変換データ!AN4</f>
        <v>0</v>
      </c>
      <c r="AO27" s="103">
        <f>変換データ!AO4</f>
        <v>0</v>
      </c>
      <c r="AP27" s="79"/>
      <c r="AQ27" s="103">
        <f>変換データ!AQ4</f>
        <v>0</v>
      </c>
      <c r="AR27" s="103">
        <f>変換データ!AR4</f>
        <v>0</v>
      </c>
      <c r="AS27" s="104">
        <f>変換データ!AS4</f>
        <v>0</v>
      </c>
      <c r="AT27" s="103">
        <f>変換データ!AT4</f>
        <v>0</v>
      </c>
      <c r="AU27" s="103">
        <f>変換データ!AU4</f>
        <v>0</v>
      </c>
      <c r="AV27" s="79"/>
      <c r="AW27" s="103">
        <f>変換データ!AW4</f>
        <v>0</v>
      </c>
      <c r="AX27" s="103">
        <f>変換データ!AX4</f>
        <v>0</v>
      </c>
      <c r="AY27" s="103">
        <f>変換データ!AY4</f>
        <v>0</v>
      </c>
      <c r="AZ27" s="104">
        <f>変換データ!AZ4</f>
        <v>0</v>
      </c>
      <c r="BA27" s="103">
        <f>変換データ!BA4</f>
        <v>0</v>
      </c>
      <c r="BB27" s="79"/>
      <c r="BC27" s="103">
        <f>変換データ!BC4</f>
        <v>0</v>
      </c>
      <c r="BD27" s="103">
        <f>変換データ!BD4</f>
        <v>0</v>
      </c>
      <c r="BE27" s="103">
        <f>変換データ!BE4</f>
        <v>0</v>
      </c>
      <c r="BF27" s="103">
        <f>変換データ!BF4</f>
        <v>0</v>
      </c>
      <c r="BG27" s="104">
        <f>変換データ!BG4</f>
        <v>0</v>
      </c>
    </row>
    <row r="28" spans="1:59" ht="19.5" thickBot="1" x14ac:dyDescent="0.45">
      <c r="A28" s="103">
        <f>変換データ!A5</f>
        <v>0</v>
      </c>
      <c r="B28" s="103">
        <f>変換データ!B5</f>
        <v>0</v>
      </c>
      <c r="C28" s="103">
        <f>変換データ!C5</f>
        <v>0</v>
      </c>
      <c r="D28" s="102">
        <f>変換データ!D5</f>
        <v>0</v>
      </c>
      <c r="E28" s="103">
        <f>変換データ!E5</f>
        <v>0</v>
      </c>
      <c r="F28" s="79"/>
      <c r="G28" s="103">
        <f>変換データ!G5</f>
        <v>0</v>
      </c>
      <c r="H28" s="103">
        <f>変換データ!H5</f>
        <v>0</v>
      </c>
      <c r="I28" s="103">
        <f>変換データ!I5</f>
        <v>0</v>
      </c>
      <c r="J28" s="102">
        <f>変換データ!J5</f>
        <v>0</v>
      </c>
      <c r="K28" s="103">
        <f>変換データ!K5</f>
        <v>0</v>
      </c>
      <c r="L28" s="79"/>
      <c r="M28" s="103">
        <f>変換データ!M5</f>
        <v>0</v>
      </c>
      <c r="N28" s="103">
        <f>変換データ!N5</f>
        <v>0</v>
      </c>
      <c r="O28" s="103">
        <f>変換データ!O5</f>
        <v>0</v>
      </c>
      <c r="P28" s="102">
        <f>変換データ!P5</f>
        <v>0</v>
      </c>
      <c r="Q28" s="103">
        <f>変換データ!Q5</f>
        <v>0</v>
      </c>
      <c r="R28" s="79"/>
      <c r="S28" s="103">
        <f>変換データ!S5</f>
        <v>0</v>
      </c>
      <c r="T28" s="103">
        <f>変換データ!T5</f>
        <v>0</v>
      </c>
      <c r="U28" s="103">
        <f>変換データ!U5</f>
        <v>0</v>
      </c>
      <c r="V28" s="102">
        <f>変換データ!V5</f>
        <v>0</v>
      </c>
      <c r="W28" s="103">
        <f>変換データ!W5</f>
        <v>0</v>
      </c>
      <c r="X28" s="79"/>
      <c r="Y28" s="103">
        <f>変換データ!Y5</f>
        <v>0</v>
      </c>
      <c r="Z28" s="103">
        <f>変換データ!Z5</f>
        <v>0</v>
      </c>
      <c r="AA28" s="103">
        <f>変換データ!AA5</f>
        <v>0</v>
      </c>
      <c r="AB28" s="102">
        <f>変換データ!AB5</f>
        <v>0</v>
      </c>
      <c r="AC28" s="103">
        <f>変換データ!AC5</f>
        <v>0</v>
      </c>
      <c r="AD28" s="79"/>
      <c r="AE28" s="103">
        <f>変換データ!AE5</f>
        <v>0</v>
      </c>
      <c r="AF28" s="102">
        <f>変換データ!AF5</f>
        <v>0</v>
      </c>
      <c r="AG28" s="103">
        <f>変換データ!AG5</f>
        <v>0</v>
      </c>
      <c r="AH28" s="103">
        <f>変換データ!AH5</f>
        <v>0</v>
      </c>
      <c r="AI28" s="103">
        <f>変換データ!AI5</f>
        <v>0</v>
      </c>
      <c r="AJ28" s="79"/>
      <c r="AK28" s="103">
        <f>変換データ!AK5</f>
        <v>0</v>
      </c>
      <c r="AL28" s="102">
        <f>変換データ!AL5</f>
        <v>0</v>
      </c>
      <c r="AM28" s="103">
        <f>変換データ!AM5</f>
        <v>0</v>
      </c>
      <c r="AN28" s="103">
        <f>変換データ!AN5</f>
        <v>0</v>
      </c>
      <c r="AO28" s="103">
        <f>変換データ!AO5</f>
        <v>0</v>
      </c>
      <c r="AP28" s="79"/>
      <c r="AQ28" s="103">
        <f>変換データ!AQ5</f>
        <v>0</v>
      </c>
      <c r="AR28" s="102">
        <f>変換データ!AR5</f>
        <v>0</v>
      </c>
      <c r="AS28" s="103">
        <f>変換データ!AS5</f>
        <v>0</v>
      </c>
      <c r="AT28" s="103">
        <f>変換データ!AT5</f>
        <v>0</v>
      </c>
      <c r="AU28" s="103">
        <f>変換データ!AU5</f>
        <v>0</v>
      </c>
      <c r="AV28" s="79"/>
      <c r="AW28" s="103">
        <f>変換データ!AW5</f>
        <v>0</v>
      </c>
      <c r="AX28" s="102">
        <f>変換データ!AX5</f>
        <v>0</v>
      </c>
      <c r="AY28" s="103">
        <f>変換データ!AY5</f>
        <v>0</v>
      </c>
      <c r="AZ28" s="103">
        <f>変換データ!AZ5</f>
        <v>0</v>
      </c>
      <c r="BA28" s="103">
        <f>変換データ!BA5</f>
        <v>0</v>
      </c>
      <c r="BB28" s="79"/>
      <c r="BC28" s="103">
        <f>変換データ!BC5</f>
        <v>0</v>
      </c>
      <c r="BD28" s="102">
        <f>変換データ!BD5</f>
        <v>0</v>
      </c>
      <c r="BE28" s="103">
        <f>変換データ!BE5</f>
        <v>0</v>
      </c>
      <c r="BF28" s="103">
        <f>変換データ!BF5</f>
        <v>0</v>
      </c>
      <c r="BG28" s="103">
        <f>変換データ!BG5</f>
        <v>0</v>
      </c>
    </row>
    <row r="29" spans="1:59" x14ac:dyDescent="0.4">
      <c r="A29" s="103">
        <f>変換データ!A6</f>
        <v>0</v>
      </c>
      <c r="B29" s="103">
        <f>変換データ!B6</f>
        <v>0</v>
      </c>
      <c r="C29" s="103">
        <f>変換データ!C6</f>
        <v>0</v>
      </c>
      <c r="D29" s="103">
        <f>変換データ!D6</f>
        <v>0</v>
      </c>
      <c r="E29" s="103">
        <f>変換データ!E6</f>
        <v>0</v>
      </c>
      <c r="F29" s="79"/>
      <c r="G29" s="103">
        <f>変換データ!G6</f>
        <v>0</v>
      </c>
      <c r="H29" s="103">
        <f>変換データ!H6</f>
        <v>0</v>
      </c>
      <c r="I29" s="103">
        <f>変換データ!I6</f>
        <v>0</v>
      </c>
      <c r="J29" s="103">
        <f>変換データ!J6</f>
        <v>0</v>
      </c>
      <c r="K29" s="103">
        <f>変換データ!K6</f>
        <v>0</v>
      </c>
      <c r="L29" s="79"/>
      <c r="M29" s="103">
        <f>変換データ!M6</f>
        <v>0</v>
      </c>
      <c r="N29" s="103">
        <f>変換データ!N6</f>
        <v>0</v>
      </c>
      <c r="O29" s="103">
        <f>変換データ!O6</f>
        <v>0</v>
      </c>
      <c r="P29" s="103">
        <f>変換データ!P6</f>
        <v>0</v>
      </c>
      <c r="Q29" s="103">
        <f>変換データ!Q6</f>
        <v>0</v>
      </c>
      <c r="R29" s="79"/>
      <c r="S29" s="103">
        <f>変換データ!S6</f>
        <v>0</v>
      </c>
      <c r="T29" s="103">
        <f>変換データ!T6</f>
        <v>0</v>
      </c>
      <c r="U29" s="103">
        <f>変換データ!U6</f>
        <v>0</v>
      </c>
      <c r="V29" s="103">
        <f>変換データ!V6</f>
        <v>0</v>
      </c>
      <c r="W29" s="103">
        <f>変換データ!W6</f>
        <v>0</v>
      </c>
      <c r="X29" s="79"/>
      <c r="Y29" s="103">
        <f>変換データ!Y6</f>
        <v>0</v>
      </c>
      <c r="Z29" s="103">
        <f>変換データ!Z6</f>
        <v>0</v>
      </c>
      <c r="AA29" s="103">
        <f>変換データ!AA6</f>
        <v>0</v>
      </c>
      <c r="AB29" s="103">
        <f>変換データ!AB6</f>
        <v>0</v>
      </c>
      <c r="AC29" s="103">
        <f>変換データ!AC6</f>
        <v>0</v>
      </c>
      <c r="AD29" s="79"/>
      <c r="AE29" s="103">
        <f>変換データ!AE6</f>
        <v>0</v>
      </c>
      <c r="AF29" s="103">
        <f>変換データ!AF6</f>
        <v>0</v>
      </c>
      <c r="AG29" s="103">
        <f>変換データ!AG6</f>
        <v>0</v>
      </c>
      <c r="AH29" s="103">
        <f>変換データ!AH6</f>
        <v>0</v>
      </c>
      <c r="AI29" s="103">
        <f>変換データ!AI6</f>
        <v>0</v>
      </c>
      <c r="AJ29" s="79"/>
      <c r="AK29" s="103">
        <f>変換データ!AK6</f>
        <v>0</v>
      </c>
      <c r="AL29" s="103">
        <f>変換データ!AL6</f>
        <v>0</v>
      </c>
      <c r="AM29" s="103">
        <f>変換データ!AM6</f>
        <v>0</v>
      </c>
      <c r="AN29" s="103">
        <f>変換データ!AN6</f>
        <v>0</v>
      </c>
      <c r="AO29" s="103">
        <f>変換データ!AO6</f>
        <v>0</v>
      </c>
      <c r="AP29" s="79"/>
      <c r="AQ29" s="103">
        <f>変換データ!AQ6</f>
        <v>0</v>
      </c>
      <c r="AR29" s="103">
        <f>変換データ!AR6</f>
        <v>0</v>
      </c>
      <c r="AS29" s="103">
        <f>変換データ!AS6</f>
        <v>0</v>
      </c>
      <c r="AT29" s="103">
        <f>変換データ!AT6</f>
        <v>0</v>
      </c>
      <c r="AU29" s="103">
        <f>変換データ!AU6</f>
        <v>0</v>
      </c>
      <c r="AV29" s="79"/>
      <c r="AW29" s="103">
        <f>変換データ!AW6</f>
        <v>0</v>
      </c>
      <c r="AX29" s="103">
        <f>変換データ!AX6</f>
        <v>0</v>
      </c>
      <c r="AY29" s="103">
        <f>変換データ!AY6</f>
        <v>0</v>
      </c>
      <c r="AZ29" s="103">
        <f>変換データ!AZ6</f>
        <v>0</v>
      </c>
      <c r="BA29" s="103">
        <f>変換データ!BA6</f>
        <v>0</v>
      </c>
      <c r="BB29" s="79"/>
      <c r="BC29" s="103">
        <f>変換データ!BC6</f>
        <v>0</v>
      </c>
      <c r="BD29" s="103">
        <f>変換データ!BD6</f>
        <v>0</v>
      </c>
      <c r="BE29" s="103">
        <f>変換データ!BE6</f>
        <v>0</v>
      </c>
      <c r="BF29" s="103">
        <f>変換データ!BF6</f>
        <v>0</v>
      </c>
      <c r="BG29" s="103">
        <f>変換データ!BG6</f>
        <v>0</v>
      </c>
    </row>
    <row r="30" spans="1:59" x14ac:dyDescent="0.4">
      <c r="A30" s="79" t="s">
        <v>3</v>
      </c>
      <c r="B30" s="79"/>
      <c r="C30" s="79"/>
      <c r="D30" s="79"/>
      <c r="E30" s="79"/>
      <c r="F30" s="79"/>
      <c r="G30" s="79" t="s">
        <v>6</v>
      </c>
      <c r="H30" s="79"/>
      <c r="I30" s="79"/>
      <c r="J30" s="79"/>
      <c r="K30" s="79"/>
      <c r="L30" s="79"/>
      <c r="M30" s="79" t="s">
        <v>7</v>
      </c>
      <c r="N30" s="79"/>
      <c r="O30" s="79"/>
      <c r="P30" s="79"/>
      <c r="Q30" s="79"/>
      <c r="R30" s="79"/>
      <c r="S30" s="79" t="s">
        <v>8</v>
      </c>
      <c r="T30" s="79"/>
      <c r="U30" s="79"/>
      <c r="V30" s="79"/>
      <c r="W30" s="79"/>
      <c r="X30" s="79"/>
      <c r="Y30" s="79" t="s">
        <v>11</v>
      </c>
      <c r="Z30" s="79"/>
      <c r="AA30" s="79"/>
      <c r="AB30" s="79"/>
      <c r="AC30" s="79"/>
      <c r="AD30" s="79"/>
      <c r="AE30" s="79" t="s">
        <v>22</v>
      </c>
      <c r="AF30" s="79"/>
      <c r="AG30" s="79"/>
      <c r="AH30" s="79"/>
      <c r="AI30" s="79"/>
      <c r="AJ30" s="79"/>
      <c r="AK30" s="79" t="s">
        <v>24</v>
      </c>
      <c r="AL30" s="79"/>
      <c r="AM30" s="79"/>
      <c r="AN30" s="79"/>
      <c r="AO30" s="79"/>
      <c r="AP30" s="79"/>
      <c r="AQ30" s="79" t="s">
        <v>27</v>
      </c>
      <c r="AR30" s="79"/>
      <c r="AS30" s="79"/>
      <c r="AT30" s="79"/>
      <c r="AU30" s="79"/>
      <c r="AV30" s="79"/>
      <c r="AW30" s="79" t="s">
        <v>28</v>
      </c>
      <c r="AX30" s="79"/>
      <c r="AY30" s="79"/>
      <c r="AZ30" s="79"/>
      <c r="BA30" s="79"/>
      <c r="BB30" s="79"/>
      <c r="BC30" s="79" t="s">
        <v>29</v>
      </c>
      <c r="BD30" s="79"/>
      <c r="BE30" s="79"/>
      <c r="BF30" s="79"/>
      <c r="BG30" s="79"/>
    </row>
    <row r="31" spans="1:59" ht="19.5" thickBot="1" x14ac:dyDescent="0.45">
      <c r="A31" s="103">
        <f>変換データ!A8</f>
        <v>0</v>
      </c>
      <c r="B31" s="103">
        <f>変換データ!B8</f>
        <v>0</v>
      </c>
      <c r="C31" s="103">
        <f>変換データ!C8</f>
        <v>0</v>
      </c>
      <c r="D31" s="103">
        <f>変換データ!D8</f>
        <v>0</v>
      </c>
      <c r="E31" s="103">
        <f>変換データ!E8</f>
        <v>0</v>
      </c>
      <c r="F31" s="79"/>
      <c r="G31" s="103">
        <f>変換データ!G8</f>
        <v>0</v>
      </c>
      <c r="H31" s="103">
        <f>変換データ!H8</f>
        <v>0</v>
      </c>
      <c r="I31" s="103">
        <f>変換データ!I8</f>
        <v>0</v>
      </c>
      <c r="J31" s="103">
        <f>変換データ!J8</f>
        <v>0</v>
      </c>
      <c r="K31" s="103">
        <f>変換データ!K8</f>
        <v>0</v>
      </c>
      <c r="L31" s="79"/>
      <c r="M31" s="103">
        <f>変換データ!M8</f>
        <v>0</v>
      </c>
      <c r="N31" s="103">
        <f>変換データ!N8</f>
        <v>0</v>
      </c>
      <c r="O31" s="103">
        <f>変換データ!O8</f>
        <v>0</v>
      </c>
      <c r="P31" s="103">
        <f>変換データ!P8</f>
        <v>0</v>
      </c>
      <c r="Q31" s="103">
        <f>変換データ!Q8</f>
        <v>0</v>
      </c>
      <c r="R31" s="79"/>
      <c r="S31" s="103">
        <f>変換データ!S8</f>
        <v>0</v>
      </c>
      <c r="T31" s="103">
        <f>変換データ!T8</f>
        <v>0</v>
      </c>
      <c r="U31" s="103">
        <f>変換データ!U8</f>
        <v>0</v>
      </c>
      <c r="V31" s="103">
        <f>変換データ!V8</f>
        <v>0</v>
      </c>
      <c r="W31" s="103">
        <f>変換データ!W8</f>
        <v>0</v>
      </c>
      <c r="X31" s="79"/>
      <c r="Y31" s="103">
        <f>変換データ!Y8</f>
        <v>0</v>
      </c>
      <c r="Z31" s="103">
        <f>変換データ!Z8</f>
        <v>0</v>
      </c>
      <c r="AA31" s="103">
        <f>変換データ!AA8</f>
        <v>0</v>
      </c>
      <c r="AB31" s="103">
        <f>変換データ!AB8</f>
        <v>0</v>
      </c>
      <c r="AC31" s="103">
        <f>変換データ!AC8</f>
        <v>0</v>
      </c>
      <c r="AD31" s="79"/>
      <c r="AE31" s="103">
        <f>変換データ!AE8</f>
        <v>0</v>
      </c>
      <c r="AF31" s="103">
        <f>変換データ!AF8</f>
        <v>0</v>
      </c>
      <c r="AG31" s="103">
        <f>変換データ!AG8</f>
        <v>0</v>
      </c>
      <c r="AH31" s="103">
        <f>変換データ!AH8</f>
        <v>0</v>
      </c>
      <c r="AI31" s="103">
        <f>変換データ!AI8</f>
        <v>0</v>
      </c>
      <c r="AJ31" s="79"/>
      <c r="AK31" s="103">
        <f>変換データ!AK8</f>
        <v>0</v>
      </c>
      <c r="AL31" s="103">
        <f>変換データ!AL8</f>
        <v>0</v>
      </c>
      <c r="AM31" s="103">
        <f>変換データ!AM8</f>
        <v>0</v>
      </c>
      <c r="AN31" s="103">
        <f>変換データ!AN8</f>
        <v>0</v>
      </c>
      <c r="AO31" s="103">
        <f>変換データ!AO8</f>
        <v>0</v>
      </c>
      <c r="AP31" s="79"/>
      <c r="AQ31" s="103">
        <f>変換データ!AQ8</f>
        <v>0</v>
      </c>
      <c r="AR31" s="103">
        <f>変換データ!AR8</f>
        <v>0</v>
      </c>
      <c r="AS31" s="103">
        <f>変換データ!AS8</f>
        <v>0</v>
      </c>
      <c r="AT31" s="103">
        <f>変換データ!AT8</f>
        <v>0</v>
      </c>
      <c r="AU31" s="103">
        <f>変換データ!AU8</f>
        <v>0</v>
      </c>
      <c r="AV31" s="79"/>
      <c r="AW31" s="103">
        <f>変換データ!AW8</f>
        <v>0</v>
      </c>
      <c r="AX31" s="103">
        <f>変換データ!AX8</f>
        <v>0</v>
      </c>
      <c r="AY31" s="103">
        <f>変換データ!AY8</f>
        <v>0</v>
      </c>
      <c r="AZ31" s="103">
        <f>変換データ!AZ8</f>
        <v>0</v>
      </c>
      <c r="BA31" s="103">
        <f>変換データ!BA8</f>
        <v>0</v>
      </c>
      <c r="BB31" s="79"/>
      <c r="BC31" s="103">
        <f>変換データ!BC8</f>
        <v>0</v>
      </c>
      <c r="BD31" s="103">
        <f>変換データ!BD8</f>
        <v>0</v>
      </c>
      <c r="BE31" s="103">
        <f>変換データ!BE8</f>
        <v>0</v>
      </c>
      <c r="BF31" s="103">
        <f>変換データ!BF8</f>
        <v>0</v>
      </c>
      <c r="BG31" s="103">
        <f>変換データ!BG8</f>
        <v>0</v>
      </c>
    </row>
    <row r="32" spans="1:59" ht="19.5" thickBot="1" x14ac:dyDescent="0.45">
      <c r="A32" s="105">
        <f>変換データ!A9</f>
        <v>0</v>
      </c>
      <c r="B32" s="103">
        <f>変換データ!B9</f>
        <v>0</v>
      </c>
      <c r="C32" s="103">
        <f>変換データ!C9</f>
        <v>0</v>
      </c>
      <c r="D32" s="102">
        <f>変換データ!D9</f>
        <v>0</v>
      </c>
      <c r="E32" s="103">
        <f>変換データ!E9</f>
        <v>0</v>
      </c>
      <c r="F32" s="79"/>
      <c r="G32" s="103">
        <f>変換データ!G9</f>
        <v>0</v>
      </c>
      <c r="H32" s="104">
        <f>変換データ!H9</f>
        <v>0</v>
      </c>
      <c r="I32" s="103">
        <f>変換データ!I9</f>
        <v>0</v>
      </c>
      <c r="J32" s="102">
        <f>変換データ!J9</f>
        <v>0</v>
      </c>
      <c r="K32" s="103">
        <f>変換データ!K9</f>
        <v>0</v>
      </c>
      <c r="L32" s="79"/>
      <c r="M32" s="103">
        <f>変換データ!M9</f>
        <v>0</v>
      </c>
      <c r="N32" s="103">
        <f>変換データ!N9</f>
        <v>0</v>
      </c>
      <c r="O32" s="104">
        <f>変換データ!O9</f>
        <v>0</v>
      </c>
      <c r="P32" s="102">
        <f>変換データ!P9</f>
        <v>0</v>
      </c>
      <c r="Q32" s="103">
        <f>変換データ!Q9</f>
        <v>0</v>
      </c>
      <c r="R32" s="79"/>
      <c r="S32" s="103">
        <f>変換データ!S9</f>
        <v>0</v>
      </c>
      <c r="T32" s="103">
        <f>変換データ!T9</f>
        <v>0</v>
      </c>
      <c r="U32" s="103">
        <f>変換データ!U9</f>
        <v>0</v>
      </c>
      <c r="V32" s="104">
        <f>変換データ!V9</f>
        <v>0</v>
      </c>
      <c r="W32" s="103">
        <f>変換データ!W9</f>
        <v>0</v>
      </c>
      <c r="X32" s="79"/>
      <c r="Y32" s="103">
        <f>変換データ!Y9</f>
        <v>0</v>
      </c>
      <c r="Z32" s="103">
        <f>変換データ!Z9</f>
        <v>0</v>
      </c>
      <c r="AA32" s="103">
        <f>変換データ!AA9</f>
        <v>0</v>
      </c>
      <c r="AB32" s="102">
        <f>変換データ!AB9</f>
        <v>0</v>
      </c>
      <c r="AC32" s="104">
        <f>変換データ!AC9</f>
        <v>0</v>
      </c>
      <c r="AD32" s="79"/>
      <c r="AE32" s="104">
        <f>変換データ!AE9</f>
        <v>0</v>
      </c>
      <c r="AF32" s="102">
        <f>変換データ!AF9</f>
        <v>0</v>
      </c>
      <c r="AG32" s="103">
        <f>変換データ!AG9</f>
        <v>0</v>
      </c>
      <c r="AH32" s="103">
        <f>変換データ!AH9</f>
        <v>0</v>
      </c>
      <c r="AI32" s="103">
        <f>変換データ!AI9</f>
        <v>0</v>
      </c>
      <c r="AJ32" s="79"/>
      <c r="AK32" s="103">
        <f>変換データ!AK9</f>
        <v>0</v>
      </c>
      <c r="AL32" s="104">
        <f>変換データ!AL9</f>
        <v>0</v>
      </c>
      <c r="AM32" s="103">
        <f>変換データ!AM9</f>
        <v>0</v>
      </c>
      <c r="AN32" s="103">
        <f>変換データ!AN9</f>
        <v>0</v>
      </c>
      <c r="AO32" s="103">
        <f>変換データ!AO9</f>
        <v>0</v>
      </c>
      <c r="AP32" s="79"/>
      <c r="AQ32" s="103">
        <f>変換データ!AQ9</f>
        <v>0</v>
      </c>
      <c r="AR32" s="103">
        <f>変換データ!AR9</f>
        <v>0</v>
      </c>
      <c r="AS32" s="104">
        <f>変換データ!AS9</f>
        <v>0</v>
      </c>
      <c r="AT32" s="103">
        <f>変換データ!AT9</f>
        <v>0</v>
      </c>
      <c r="AU32" s="103">
        <f>変換データ!AU9</f>
        <v>0</v>
      </c>
      <c r="AV32" s="79"/>
      <c r="AW32" s="103">
        <f>変換データ!AW9</f>
        <v>0</v>
      </c>
      <c r="AX32" s="102">
        <f>変換データ!AX9</f>
        <v>0</v>
      </c>
      <c r="AY32" s="103">
        <f>変換データ!AY9</f>
        <v>0</v>
      </c>
      <c r="AZ32" s="104">
        <f>変換データ!AZ9</f>
        <v>0</v>
      </c>
      <c r="BA32" s="103">
        <f>変換データ!BA9</f>
        <v>0</v>
      </c>
      <c r="BB32" s="79"/>
      <c r="BC32" s="103">
        <f>変換データ!BC9</f>
        <v>0</v>
      </c>
      <c r="BD32" s="103">
        <f>変換データ!BD9</f>
        <v>0</v>
      </c>
      <c r="BE32" s="103">
        <f>変換データ!BE9</f>
        <v>0</v>
      </c>
      <c r="BF32" s="103">
        <f>変換データ!BF9</f>
        <v>0</v>
      </c>
      <c r="BG32" s="104">
        <f>変換データ!BG9</f>
        <v>0</v>
      </c>
    </row>
    <row r="33" spans="1:59" ht="19.5" thickBot="1" x14ac:dyDescent="0.45">
      <c r="A33" s="103">
        <f>変換データ!A10</f>
        <v>0</v>
      </c>
      <c r="B33" s="103">
        <f>変換データ!B10</f>
        <v>0</v>
      </c>
      <c r="C33" s="103">
        <f>変換データ!C10</f>
        <v>0</v>
      </c>
      <c r="D33" s="103">
        <f>変換データ!D10</f>
        <v>0</v>
      </c>
      <c r="E33" s="103">
        <f>変換データ!E10</f>
        <v>0</v>
      </c>
      <c r="F33" s="79"/>
      <c r="G33" s="103">
        <f>変換データ!G10</f>
        <v>0</v>
      </c>
      <c r="H33" s="103">
        <f>変換データ!H10</f>
        <v>0</v>
      </c>
      <c r="I33" s="103">
        <f>変換データ!I10</f>
        <v>0</v>
      </c>
      <c r="J33" s="103">
        <f>変換データ!J10</f>
        <v>0</v>
      </c>
      <c r="K33" s="103">
        <f>変換データ!K10</f>
        <v>0</v>
      </c>
      <c r="L33" s="79"/>
      <c r="M33" s="103">
        <f>変換データ!M10</f>
        <v>0</v>
      </c>
      <c r="N33" s="103">
        <f>変換データ!N10</f>
        <v>0</v>
      </c>
      <c r="O33" s="103">
        <f>変換データ!O10</f>
        <v>0</v>
      </c>
      <c r="P33" s="103">
        <f>変換データ!P10</f>
        <v>0</v>
      </c>
      <c r="Q33" s="103">
        <f>変換データ!Q10</f>
        <v>0</v>
      </c>
      <c r="R33" s="79"/>
      <c r="S33" s="103">
        <f>変換データ!S10</f>
        <v>0</v>
      </c>
      <c r="T33" s="103">
        <f>変換データ!T10</f>
        <v>0</v>
      </c>
      <c r="U33" s="103">
        <f>変換データ!U10</f>
        <v>0</v>
      </c>
      <c r="V33" s="103">
        <f>変換データ!V10</f>
        <v>0</v>
      </c>
      <c r="W33" s="103">
        <f>変換データ!W10</f>
        <v>0</v>
      </c>
      <c r="X33" s="79"/>
      <c r="Y33" s="103">
        <f>変換データ!Y10</f>
        <v>0</v>
      </c>
      <c r="Z33" s="103">
        <f>変換データ!Z10</f>
        <v>0</v>
      </c>
      <c r="AA33" s="103">
        <f>変換データ!AA10</f>
        <v>0</v>
      </c>
      <c r="AB33" s="103">
        <f>変換データ!AB10</f>
        <v>0</v>
      </c>
      <c r="AC33" s="103">
        <f>変換データ!AC10</f>
        <v>0</v>
      </c>
      <c r="AD33" s="79"/>
      <c r="AE33" s="103">
        <f>変換データ!AE10</f>
        <v>0</v>
      </c>
      <c r="AF33" s="103">
        <f>変換データ!AF10</f>
        <v>0</v>
      </c>
      <c r="AG33" s="103">
        <f>変換データ!AG10</f>
        <v>0</v>
      </c>
      <c r="AH33" s="103">
        <f>変換データ!AH10</f>
        <v>0</v>
      </c>
      <c r="AI33" s="103">
        <f>変換データ!AI10</f>
        <v>0</v>
      </c>
      <c r="AJ33" s="79"/>
      <c r="AK33" s="103">
        <f>変換データ!AK10</f>
        <v>0</v>
      </c>
      <c r="AL33" s="103">
        <f>変換データ!AL10</f>
        <v>0</v>
      </c>
      <c r="AM33" s="103">
        <f>変換データ!AM10</f>
        <v>0</v>
      </c>
      <c r="AN33" s="103">
        <f>変換データ!AN10</f>
        <v>0</v>
      </c>
      <c r="AO33" s="103">
        <f>変換データ!AO10</f>
        <v>0</v>
      </c>
      <c r="AP33" s="79"/>
      <c r="AQ33" s="103">
        <f>変換データ!AQ10</f>
        <v>0</v>
      </c>
      <c r="AR33" s="102">
        <f>変換データ!AR10</f>
        <v>0</v>
      </c>
      <c r="AS33" s="103">
        <f>変換データ!AS10</f>
        <v>0</v>
      </c>
      <c r="AT33" s="103">
        <f>変換データ!AT10</f>
        <v>0</v>
      </c>
      <c r="AU33" s="103">
        <f>変換データ!AU10</f>
        <v>0</v>
      </c>
      <c r="AV33" s="79"/>
      <c r="AW33" s="103">
        <f>変換データ!AW10</f>
        <v>0</v>
      </c>
      <c r="AX33" s="103">
        <f>変換データ!AX10</f>
        <v>0</v>
      </c>
      <c r="AY33" s="103">
        <f>変換データ!AY10</f>
        <v>0</v>
      </c>
      <c r="AZ33" s="103">
        <f>変換データ!AZ10</f>
        <v>0</v>
      </c>
      <c r="BA33" s="103">
        <f>変換データ!BA10</f>
        <v>0</v>
      </c>
      <c r="BB33" s="79"/>
      <c r="BC33" s="103">
        <f>変換データ!BC10</f>
        <v>0</v>
      </c>
      <c r="BD33" s="102">
        <f>変換データ!BD10</f>
        <v>0</v>
      </c>
      <c r="BE33" s="103">
        <f>変換データ!BE10</f>
        <v>0</v>
      </c>
      <c r="BF33" s="103">
        <f>変換データ!BF10</f>
        <v>0</v>
      </c>
      <c r="BG33" s="103">
        <f>変換データ!BG10</f>
        <v>0</v>
      </c>
    </row>
    <row r="34" spans="1:59" x14ac:dyDescent="0.4">
      <c r="A34" s="79" t="s">
        <v>5</v>
      </c>
      <c r="B34" s="79"/>
      <c r="C34" s="79"/>
      <c r="D34" s="79"/>
      <c r="E34" s="79"/>
      <c r="F34" s="79"/>
      <c r="G34" s="79" t="s">
        <v>15</v>
      </c>
      <c r="H34" s="79"/>
      <c r="I34" s="79"/>
      <c r="J34" s="79"/>
      <c r="K34" s="79"/>
      <c r="L34" s="79"/>
      <c r="M34" s="79" t="s">
        <v>13</v>
      </c>
      <c r="N34" s="79"/>
      <c r="O34" s="79"/>
      <c r="P34" s="79"/>
      <c r="Q34" s="79"/>
      <c r="R34" s="79"/>
      <c r="S34" s="79" t="s">
        <v>14</v>
      </c>
      <c r="T34" s="79"/>
      <c r="U34" s="79"/>
      <c r="V34" s="79"/>
      <c r="W34" s="79"/>
      <c r="X34" s="79"/>
      <c r="Y34" s="79" t="s">
        <v>12</v>
      </c>
      <c r="Z34" s="79"/>
      <c r="AA34" s="79"/>
      <c r="AB34" s="79"/>
      <c r="AC34" s="79"/>
      <c r="AD34" s="79"/>
      <c r="AE34" s="79" t="s">
        <v>23</v>
      </c>
      <c r="AF34" s="79"/>
      <c r="AG34" s="79"/>
      <c r="AH34" s="79"/>
      <c r="AI34" s="79"/>
      <c r="AJ34" s="79"/>
      <c r="AK34" s="79" t="s">
        <v>25</v>
      </c>
      <c r="AL34" s="79"/>
      <c r="AM34" s="79"/>
      <c r="AN34" s="79"/>
      <c r="AO34" s="79"/>
      <c r="AP34" s="79"/>
      <c r="AQ34" s="79" t="s">
        <v>26</v>
      </c>
      <c r="AR34" s="79"/>
      <c r="AS34" s="79"/>
      <c r="AT34" s="79"/>
      <c r="AU34" s="79"/>
      <c r="AV34" s="79"/>
      <c r="AW34" s="79" t="s">
        <v>30</v>
      </c>
      <c r="AX34" s="79"/>
      <c r="AY34" s="79"/>
      <c r="AZ34" s="79"/>
      <c r="BA34" s="79"/>
      <c r="BB34" s="79"/>
      <c r="BC34" s="79" t="s">
        <v>31</v>
      </c>
      <c r="BD34" s="79"/>
      <c r="BE34" s="79"/>
      <c r="BF34" s="79"/>
      <c r="BG34" s="79"/>
    </row>
    <row r="35" spans="1:59" x14ac:dyDescent="0.4">
      <c r="A35" s="103">
        <f>変換データ!A12</f>
        <v>0</v>
      </c>
      <c r="B35" s="103">
        <f>変換データ!B12</f>
        <v>0</v>
      </c>
      <c r="C35" s="103">
        <f>変換データ!C12</f>
        <v>0</v>
      </c>
      <c r="D35" s="103">
        <f>変換データ!D12</f>
        <v>0</v>
      </c>
      <c r="E35" s="103">
        <f>変換データ!E12</f>
        <v>0</v>
      </c>
      <c r="F35" s="79"/>
      <c r="G35" s="103">
        <f>変換データ!G12</f>
        <v>0</v>
      </c>
      <c r="H35" s="103">
        <f>変換データ!H12</f>
        <v>0</v>
      </c>
      <c r="I35" s="103">
        <f>変換データ!I12</f>
        <v>0</v>
      </c>
      <c r="J35" s="103">
        <f>変換データ!J12</f>
        <v>0</v>
      </c>
      <c r="K35" s="103">
        <f>変換データ!K12</f>
        <v>0</v>
      </c>
      <c r="L35" s="79"/>
      <c r="M35" s="103">
        <f>変換データ!M12</f>
        <v>0</v>
      </c>
      <c r="N35" s="103">
        <f>変換データ!N12</f>
        <v>0</v>
      </c>
      <c r="O35" s="103">
        <f>変換データ!O12</f>
        <v>0</v>
      </c>
      <c r="P35" s="103">
        <f>変換データ!P12</f>
        <v>0</v>
      </c>
      <c r="Q35" s="103">
        <f>変換データ!Q12</f>
        <v>0</v>
      </c>
      <c r="R35" s="79"/>
      <c r="S35" s="103">
        <f>変換データ!S12</f>
        <v>0</v>
      </c>
      <c r="T35" s="103">
        <f>変換データ!T12</f>
        <v>0</v>
      </c>
      <c r="U35" s="103">
        <f>変換データ!U12</f>
        <v>0</v>
      </c>
      <c r="V35" s="103">
        <f>変換データ!V12</f>
        <v>0</v>
      </c>
      <c r="W35" s="103">
        <f>変換データ!W12</f>
        <v>0</v>
      </c>
      <c r="X35" s="79"/>
      <c r="Y35" s="103">
        <f>変換データ!Y12</f>
        <v>0</v>
      </c>
      <c r="Z35" s="103">
        <f>変換データ!Z12</f>
        <v>0</v>
      </c>
      <c r="AA35" s="103">
        <f>変換データ!AA12</f>
        <v>0</v>
      </c>
      <c r="AB35" s="103">
        <f>変換データ!AB12</f>
        <v>0</v>
      </c>
      <c r="AC35" s="103">
        <f>変換データ!AC12</f>
        <v>0</v>
      </c>
      <c r="AD35" s="79"/>
      <c r="AE35" s="103">
        <f>変換データ!AE12</f>
        <v>0</v>
      </c>
      <c r="AF35" s="103">
        <f>変換データ!AF12</f>
        <v>0</v>
      </c>
      <c r="AG35" s="103">
        <f>変換データ!AG12</f>
        <v>0</v>
      </c>
      <c r="AH35" s="103">
        <f>変換データ!AH12</f>
        <v>0</v>
      </c>
      <c r="AI35" s="103">
        <f>変換データ!AI12</f>
        <v>0</v>
      </c>
      <c r="AJ35" s="79"/>
      <c r="AK35" s="103">
        <f>変換データ!AK12</f>
        <v>0</v>
      </c>
      <c r="AL35" s="103">
        <f>変換データ!AL12</f>
        <v>0</v>
      </c>
      <c r="AM35" s="103">
        <f>変換データ!AM12</f>
        <v>0</v>
      </c>
      <c r="AN35" s="103">
        <f>変換データ!AN12</f>
        <v>0</v>
      </c>
      <c r="AO35" s="103">
        <f>変換データ!AO12</f>
        <v>0</v>
      </c>
      <c r="AP35" s="79"/>
      <c r="AQ35" s="103">
        <f>変換データ!AQ12</f>
        <v>0</v>
      </c>
      <c r="AR35" s="103">
        <f>変換データ!AR12</f>
        <v>0</v>
      </c>
      <c r="AS35" s="103">
        <f>変換データ!AS12</f>
        <v>0</v>
      </c>
      <c r="AT35" s="103">
        <f>変換データ!AT12</f>
        <v>0</v>
      </c>
      <c r="AU35" s="103">
        <f>変換データ!AU12</f>
        <v>0</v>
      </c>
      <c r="AV35" s="79"/>
      <c r="AW35" s="103">
        <f>変換データ!AW12</f>
        <v>0</v>
      </c>
      <c r="AX35" s="103">
        <f>変換データ!AX12</f>
        <v>0</v>
      </c>
      <c r="AY35" s="103">
        <f>変換データ!AY12</f>
        <v>0</v>
      </c>
      <c r="AZ35" s="103">
        <f>変換データ!AZ12</f>
        <v>0</v>
      </c>
      <c r="BA35" s="103">
        <f>変換データ!BA12</f>
        <v>0</v>
      </c>
      <c r="BB35" s="79"/>
      <c r="BC35" s="103">
        <f>変換データ!BC12</f>
        <v>0</v>
      </c>
      <c r="BD35" s="103">
        <f>変換データ!BD12</f>
        <v>0</v>
      </c>
      <c r="BE35" s="103">
        <f>変換データ!BE12</f>
        <v>0</v>
      </c>
      <c r="BF35" s="103">
        <f>変換データ!BF12</f>
        <v>0</v>
      </c>
      <c r="BG35" s="103">
        <f>変換データ!BG12</f>
        <v>0</v>
      </c>
    </row>
    <row r="36" spans="1:59" ht="19.5" thickBot="1" x14ac:dyDescent="0.45">
      <c r="A36" s="103">
        <f>変換データ!A13</f>
        <v>0</v>
      </c>
      <c r="B36" s="103">
        <f>変換データ!B13</f>
        <v>0</v>
      </c>
      <c r="C36" s="103">
        <f>変換データ!C13</f>
        <v>0</v>
      </c>
      <c r="D36" s="102">
        <f>変換データ!D13</f>
        <v>0</v>
      </c>
      <c r="E36" s="103">
        <f>変換データ!E13</f>
        <v>0</v>
      </c>
      <c r="F36" s="79"/>
      <c r="G36" s="103">
        <f>変換データ!G13</f>
        <v>0</v>
      </c>
      <c r="H36" s="103">
        <f>変換データ!H13</f>
        <v>0</v>
      </c>
      <c r="I36" s="103">
        <f>変換データ!I13</f>
        <v>0</v>
      </c>
      <c r="J36" s="102">
        <f>変換データ!J13</f>
        <v>0</v>
      </c>
      <c r="K36" s="103">
        <f>変換データ!K13</f>
        <v>0</v>
      </c>
      <c r="L36" s="79"/>
      <c r="M36" s="103">
        <f>変換データ!M13</f>
        <v>0</v>
      </c>
      <c r="N36" s="103">
        <f>変換データ!N13</f>
        <v>0</v>
      </c>
      <c r="O36" s="103">
        <f>変換データ!O13</f>
        <v>0</v>
      </c>
      <c r="P36" s="102">
        <f>変換データ!P13</f>
        <v>0</v>
      </c>
      <c r="Q36" s="103">
        <f>変換データ!Q13</f>
        <v>0</v>
      </c>
      <c r="R36" s="79"/>
      <c r="S36" s="103">
        <f>変換データ!S13</f>
        <v>0</v>
      </c>
      <c r="T36" s="103">
        <f>変換データ!T13</f>
        <v>0</v>
      </c>
      <c r="U36" s="103">
        <f>変換データ!U13</f>
        <v>0</v>
      </c>
      <c r="V36" s="102">
        <f>変換データ!V13</f>
        <v>0</v>
      </c>
      <c r="W36" s="103">
        <f>変換データ!W13</f>
        <v>0</v>
      </c>
      <c r="X36" s="79"/>
      <c r="Y36" s="103">
        <f>変換データ!Y13</f>
        <v>0</v>
      </c>
      <c r="Z36" s="103">
        <f>変換データ!Z13</f>
        <v>0</v>
      </c>
      <c r="AA36" s="103">
        <f>変換データ!AA13</f>
        <v>0</v>
      </c>
      <c r="AB36" s="102">
        <f>変換データ!AB13</f>
        <v>0</v>
      </c>
      <c r="AC36" s="103">
        <f>変換データ!AC13</f>
        <v>0</v>
      </c>
      <c r="AD36" s="79"/>
      <c r="AE36" s="103">
        <f>変換データ!AE13</f>
        <v>0</v>
      </c>
      <c r="AF36" s="102">
        <f>変換データ!AF13</f>
        <v>0</v>
      </c>
      <c r="AG36" s="103">
        <f>変換データ!AG13</f>
        <v>0</v>
      </c>
      <c r="AH36" s="103">
        <f>変換データ!AH13</f>
        <v>0</v>
      </c>
      <c r="AI36" s="103">
        <f>変換データ!AI13</f>
        <v>0</v>
      </c>
      <c r="AJ36" s="79"/>
      <c r="AK36" s="103">
        <f>変換データ!AK13</f>
        <v>0</v>
      </c>
      <c r="AL36" s="102">
        <f>変換データ!AL13</f>
        <v>0</v>
      </c>
      <c r="AM36" s="103">
        <f>変換データ!AM13</f>
        <v>0</v>
      </c>
      <c r="AN36" s="103">
        <f>変換データ!AN13</f>
        <v>0</v>
      </c>
      <c r="AO36" s="103">
        <f>変換データ!AO13</f>
        <v>0</v>
      </c>
      <c r="AP36" s="79"/>
      <c r="AQ36" s="103">
        <f>変換データ!AQ13</f>
        <v>0</v>
      </c>
      <c r="AR36" s="102">
        <f>変換データ!AR13</f>
        <v>0</v>
      </c>
      <c r="AS36" s="103">
        <f>変換データ!AS13</f>
        <v>0</v>
      </c>
      <c r="AT36" s="103">
        <f>変換データ!AT13</f>
        <v>0</v>
      </c>
      <c r="AU36" s="103">
        <f>変換データ!AU13</f>
        <v>0</v>
      </c>
      <c r="AV36" s="79"/>
      <c r="AW36" s="103">
        <f>変換データ!AW13</f>
        <v>0</v>
      </c>
      <c r="AX36" s="102">
        <f>変換データ!AX13</f>
        <v>0</v>
      </c>
      <c r="AY36" s="103">
        <f>変換データ!AY13</f>
        <v>0</v>
      </c>
      <c r="AZ36" s="103">
        <f>変換データ!AZ13</f>
        <v>0</v>
      </c>
      <c r="BA36" s="103">
        <f>変換データ!BA13</f>
        <v>0</v>
      </c>
      <c r="BB36" s="79"/>
      <c r="BC36" s="103">
        <f>変換データ!BC13</f>
        <v>0</v>
      </c>
      <c r="BD36" s="102">
        <f>変換データ!BD13</f>
        <v>0</v>
      </c>
      <c r="BE36" s="103">
        <f>変換データ!BE13</f>
        <v>0</v>
      </c>
      <c r="BF36" s="103">
        <f>変換データ!BF13</f>
        <v>0</v>
      </c>
      <c r="BG36" s="103">
        <f>変換データ!BG13</f>
        <v>0</v>
      </c>
    </row>
    <row r="37" spans="1:59" ht="19.5" thickBot="1" x14ac:dyDescent="0.45">
      <c r="A37" s="104">
        <f>変換データ!A14</f>
        <v>0</v>
      </c>
      <c r="B37" s="103">
        <f>変換データ!B14</f>
        <v>0</v>
      </c>
      <c r="C37" s="103">
        <f>変換データ!C14</f>
        <v>0</v>
      </c>
      <c r="D37" s="103">
        <f>変換データ!D14</f>
        <v>0</v>
      </c>
      <c r="E37" s="103">
        <f>変換データ!E14</f>
        <v>0</v>
      </c>
      <c r="F37" s="79"/>
      <c r="G37" s="103">
        <f>変換データ!G14</f>
        <v>0</v>
      </c>
      <c r="H37" s="104">
        <f>変換データ!H14</f>
        <v>0</v>
      </c>
      <c r="I37" s="103">
        <f>変換データ!I14</f>
        <v>0</v>
      </c>
      <c r="J37" s="103">
        <f>変換データ!J14</f>
        <v>0</v>
      </c>
      <c r="K37" s="103">
        <f>変換データ!K14</f>
        <v>0</v>
      </c>
      <c r="L37" s="79"/>
      <c r="M37" s="103">
        <f>変換データ!M14</f>
        <v>0</v>
      </c>
      <c r="N37" s="103">
        <f>変換データ!N14</f>
        <v>0</v>
      </c>
      <c r="O37" s="104">
        <f>変換データ!O14</f>
        <v>0</v>
      </c>
      <c r="P37" s="103">
        <f>変換データ!P14</f>
        <v>0</v>
      </c>
      <c r="Q37" s="103">
        <f>変換データ!Q14</f>
        <v>0</v>
      </c>
      <c r="R37" s="79"/>
      <c r="S37" s="103">
        <f>変換データ!S14</f>
        <v>0</v>
      </c>
      <c r="T37" s="103">
        <f>変換データ!T14</f>
        <v>0</v>
      </c>
      <c r="U37" s="103">
        <f>変換データ!U14</f>
        <v>0</v>
      </c>
      <c r="V37" s="106">
        <f>変換データ!V14</f>
        <v>0</v>
      </c>
      <c r="W37" s="103">
        <f>変換データ!W14</f>
        <v>0</v>
      </c>
      <c r="X37" s="79"/>
      <c r="Y37" s="103">
        <f>変換データ!Y14</f>
        <v>0</v>
      </c>
      <c r="Z37" s="103">
        <f>変換データ!Z14</f>
        <v>0</v>
      </c>
      <c r="AA37" s="103">
        <f>変換データ!AA14</f>
        <v>0</v>
      </c>
      <c r="AB37" s="103">
        <f>変換データ!AB14</f>
        <v>0</v>
      </c>
      <c r="AC37" s="104">
        <f>変換データ!AC14</f>
        <v>0</v>
      </c>
      <c r="AD37" s="79"/>
      <c r="AE37" s="104">
        <f>変換データ!AE14</f>
        <v>0</v>
      </c>
      <c r="AF37" s="103">
        <f>変換データ!AF14</f>
        <v>0</v>
      </c>
      <c r="AG37" s="103">
        <f>変換データ!AG14</f>
        <v>0</v>
      </c>
      <c r="AH37" s="103">
        <f>変換データ!AH14</f>
        <v>0</v>
      </c>
      <c r="AI37" s="103">
        <f>変換データ!AI14</f>
        <v>0</v>
      </c>
      <c r="AJ37" s="79"/>
      <c r="AK37" s="103">
        <f>変換データ!AK14</f>
        <v>0</v>
      </c>
      <c r="AL37" s="106">
        <f>変換データ!AL14</f>
        <v>0</v>
      </c>
      <c r="AM37" s="103">
        <f>変換データ!AM14</f>
        <v>0</v>
      </c>
      <c r="AN37" s="103">
        <f>変換データ!AN14</f>
        <v>0</v>
      </c>
      <c r="AO37" s="103">
        <f>変換データ!AO14</f>
        <v>0</v>
      </c>
      <c r="AP37" s="79"/>
      <c r="AQ37" s="103">
        <f>変換データ!AQ14</f>
        <v>0</v>
      </c>
      <c r="AR37" s="103">
        <f>変換データ!AR14</f>
        <v>0</v>
      </c>
      <c r="AS37" s="104">
        <f>変換データ!AS14</f>
        <v>0</v>
      </c>
      <c r="AT37" s="103">
        <f>変換データ!AT14</f>
        <v>0</v>
      </c>
      <c r="AU37" s="103">
        <f>変換データ!AU14</f>
        <v>0</v>
      </c>
      <c r="AV37" s="79"/>
      <c r="AW37" s="103">
        <f>変換データ!AW14</f>
        <v>0</v>
      </c>
      <c r="AX37" s="103">
        <f>変換データ!AX14</f>
        <v>0</v>
      </c>
      <c r="AY37" s="103">
        <f>変換データ!AY14</f>
        <v>0</v>
      </c>
      <c r="AZ37" s="104">
        <f>変換データ!AZ14</f>
        <v>0</v>
      </c>
      <c r="BA37" s="103">
        <f>変換データ!BA14</f>
        <v>0</v>
      </c>
      <c r="BB37" s="79"/>
      <c r="BC37" s="103">
        <f>変換データ!BC14</f>
        <v>0</v>
      </c>
      <c r="BD37" s="103">
        <f>変換データ!BD14</f>
        <v>0</v>
      </c>
      <c r="BE37" s="103">
        <f>変換データ!BE14</f>
        <v>0</v>
      </c>
      <c r="BF37" s="103">
        <f>変換データ!BF14</f>
        <v>0</v>
      </c>
      <c r="BG37" s="104">
        <f>変換データ!BG14</f>
        <v>0</v>
      </c>
    </row>
    <row r="38" spans="1:59" x14ac:dyDescent="0.4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 x14ac:dyDescent="0.4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 x14ac:dyDescent="0.4">
      <c r="A40" s="79" t="s">
        <v>114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 t="s">
        <v>115</v>
      </c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107"/>
      <c r="Y40" s="79"/>
      <c r="Z40" s="79" t="s">
        <v>95</v>
      </c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 x14ac:dyDescent="0.4">
      <c r="A41" s="79" t="s">
        <v>62</v>
      </c>
      <c r="B41" s="79" t="s">
        <v>63</v>
      </c>
      <c r="C41" s="79" t="s">
        <v>64</v>
      </c>
      <c r="D41" s="79" t="s">
        <v>65</v>
      </c>
      <c r="E41" s="79" t="s">
        <v>66</v>
      </c>
      <c r="F41" s="79"/>
      <c r="G41" s="79" t="s">
        <v>67</v>
      </c>
      <c r="H41" s="79" t="s">
        <v>68</v>
      </c>
      <c r="I41" s="79" t="s">
        <v>69</v>
      </c>
      <c r="J41" s="79" t="s">
        <v>70</v>
      </c>
      <c r="K41" s="79" t="s">
        <v>71</v>
      </c>
      <c r="L41" s="79"/>
      <c r="M41" s="79" t="s">
        <v>62</v>
      </c>
      <c r="N41" s="79" t="s">
        <v>63</v>
      </c>
      <c r="O41" s="79" t="s">
        <v>64</v>
      </c>
      <c r="P41" s="79" t="s">
        <v>65</v>
      </c>
      <c r="Q41" s="79" t="s">
        <v>66</v>
      </c>
      <c r="R41" s="79"/>
      <c r="S41" s="79" t="s">
        <v>67</v>
      </c>
      <c r="T41" s="79" t="s">
        <v>68</v>
      </c>
      <c r="U41" s="79" t="s">
        <v>69</v>
      </c>
      <c r="V41" s="79" t="s">
        <v>70</v>
      </c>
      <c r="W41" s="79" t="s">
        <v>71</v>
      </c>
      <c r="X41" s="107"/>
      <c r="Y41" s="79"/>
      <c r="Z41" s="79" t="s">
        <v>62</v>
      </c>
      <c r="AA41" s="79" t="s">
        <v>63</v>
      </c>
      <c r="AB41" s="79" t="s">
        <v>64</v>
      </c>
      <c r="AC41" s="79" t="s">
        <v>65</v>
      </c>
      <c r="AD41" s="79" t="s">
        <v>66</v>
      </c>
      <c r="AE41" s="79"/>
      <c r="AF41" s="79" t="s">
        <v>67</v>
      </c>
      <c r="AG41" s="79" t="s">
        <v>68</v>
      </c>
      <c r="AH41" s="79" t="s">
        <v>69</v>
      </c>
      <c r="AI41" s="79" t="s">
        <v>70</v>
      </c>
      <c r="AJ41" s="79" t="s">
        <v>71</v>
      </c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 x14ac:dyDescent="0.4">
      <c r="A42" s="103" t="e">
        <f>AVERAGE(入力!E8:S8)</f>
        <v>#DIV/0!</v>
      </c>
      <c r="B42" s="103" t="e">
        <f>AVERAGE(入力!E9:S9)</f>
        <v>#DIV/0!</v>
      </c>
      <c r="C42" s="103" t="e">
        <f>AVERAGE(入力!E10:S10)</f>
        <v>#DIV/0!</v>
      </c>
      <c r="D42" s="103" t="e">
        <f>AVERAGE(入力!E11:S11)</f>
        <v>#DIV/0!</v>
      </c>
      <c r="E42" s="103" t="e">
        <f>AVERAGE(入力!E12:S12)</f>
        <v>#DIV/0!</v>
      </c>
      <c r="F42" s="79"/>
      <c r="G42" s="103" t="e">
        <f>AVERAGE(入力!T23:AH23)</f>
        <v>#DIV/0!</v>
      </c>
      <c r="H42" s="103" t="e">
        <f>AVERAGE(入力!T24:AH24)</f>
        <v>#DIV/0!</v>
      </c>
      <c r="I42" s="103" t="e">
        <f>AVERAGE(入力!T25:AH25)</f>
        <v>#DIV/0!</v>
      </c>
      <c r="J42" s="103" t="e">
        <f>AVERAGE(入力!T26:AH26)</f>
        <v>#DIV/0!</v>
      </c>
      <c r="K42" s="103" t="e">
        <f>AVERAGE(入力!T27:AH27)</f>
        <v>#DIV/0!</v>
      </c>
      <c r="L42" s="79"/>
      <c r="M42" s="103" t="e">
        <f>AVERAGE(入力!T8:AH8)</f>
        <v>#DIV/0!</v>
      </c>
      <c r="N42" s="103" t="e">
        <f>AVERAGE(入力!T9:AH9)</f>
        <v>#DIV/0!</v>
      </c>
      <c r="O42" s="103" t="e">
        <f>AVERAGE(入力!T10:AH10)</f>
        <v>#DIV/0!</v>
      </c>
      <c r="P42" s="103" t="e">
        <f>AVERAGE(入力!T11:AH11)</f>
        <v>#DIV/0!</v>
      </c>
      <c r="Q42" s="103" t="e">
        <f>AVERAGE(入力!T12:AH12)</f>
        <v>#DIV/0!</v>
      </c>
      <c r="R42" s="79"/>
      <c r="S42" s="103" t="e">
        <f>AVERAGE(入力!E23:S23)</f>
        <v>#DIV/0!</v>
      </c>
      <c r="T42" s="103" t="e">
        <f>AVERAGE(入力!E24:S24)</f>
        <v>#DIV/0!</v>
      </c>
      <c r="U42" s="103" t="e">
        <f>AVERAGE(入力!E25:S25)</f>
        <v>#DIV/0!</v>
      </c>
      <c r="V42" s="103" t="e">
        <f>AVERAGE(入力!E26:S26)</f>
        <v>#DIV/0!</v>
      </c>
      <c r="W42" s="103" t="e">
        <f>AVERAGE(入力!E27:S27)</f>
        <v>#DIV/0!</v>
      </c>
      <c r="X42" s="107"/>
      <c r="Y42" s="79"/>
      <c r="Z42" s="103" t="e">
        <f>AVERAGE(入力!E8:AH8)</f>
        <v>#DIV/0!</v>
      </c>
      <c r="AA42" s="103" t="e">
        <f>AVERAGE(入力!E9:AH9)</f>
        <v>#DIV/0!</v>
      </c>
      <c r="AB42" s="103" t="e">
        <f>AVERAGE(入力!E10:AH10)</f>
        <v>#DIV/0!</v>
      </c>
      <c r="AC42" s="103" t="e">
        <f>AVERAGE(入力!E11:AH11)</f>
        <v>#DIV/0!</v>
      </c>
      <c r="AD42" s="103" t="e">
        <f>AVERAGE(入力!E12:AH12)</f>
        <v>#DIV/0!</v>
      </c>
      <c r="AE42" s="79"/>
      <c r="AF42" s="103" t="e">
        <f>AVERAGE(入力!E23:AH23)</f>
        <v>#DIV/0!</v>
      </c>
      <c r="AG42" s="103" t="e">
        <f>AVERAGE(入力!E24:AH24)</f>
        <v>#DIV/0!</v>
      </c>
      <c r="AH42" s="103" t="e">
        <f>AVERAGE(入力!E25:AH25)</f>
        <v>#DIV/0!</v>
      </c>
      <c r="AI42" s="103" t="e">
        <f>AVERAGE(入力!E26:AH26)</f>
        <v>#DIV/0!</v>
      </c>
      <c r="AJ42" s="103" t="e">
        <f>AVERAGE(入力!E27:AH27)</f>
        <v>#DIV/0!</v>
      </c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 x14ac:dyDescent="0.4">
      <c r="A43" s="79" t="s">
        <v>72</v>
      </c>
      <c r="B43" s="79" t="s">
        <v>73</v>
      </c>
      <c r="C43" s="79" t="s">
        <v>74</v>
      </c>
      <c r="D43" s="79" t="s">
        <v>75</v>
      </c>
      <c r="E43" s="79" t="s">
        <v>76</v>
      </c>
      <c r="F43" s="79"/>
      <c r="G43" s="79" t="s">
        <v>77</v>
      </c>
      <c r="H43" s="79" t="s">
        <v>78</v>
      </c>
      <c r="I43" s="79" t="s">
        <v>79</v>
      </c>
      <c r="J43" s="79" t="s">
        <v>80</v>
      </c>
      <c r="K43" s="79" t="s">
        <v>81</v>
      </c>
      <c r="L43" s="79"/>
      <c r="M43" s="79" t="s">
        <v>72</v>
      </c>
      <c r="N43" s="79" t="s">
        <v>73</v>
      </c>
      <c r="O43" s="79" t="s">
        <v>74</v>
      </c>
      <c r="P43" s="79" t="s">
        <v>75</v>
      </c>
      <c r="Q43" s="79" t="s">
        <v>76</v>
      </c>
      <c r="R43" s="79"/>
      <c r="S43" s="79" t="s">
        <v>77</v>
      </c>
      <c r="T43" s="79" t="s">
        <v>78</v>
      </c>
      <c r="U43" s="79" t="s">
        <v>79</v>
      </c>
      <c r="V43" s="79" t="s">
        <v>80</v>
      </c>
      <c r="W43" s="79" t="s">
        <v>81</v>
      </c>
      <c r="X43" s="107"/>
      <c r="Y43" s="79"/>
      <c r="Z43" s="79" t="s">
        <v>72</v>
      </c>
      <c r="AA43" s="79" t="s">
        <v>73</v>
      </c>
      <c r="AB43" s="79" t="s">
        <v>74</v>
      </c>
      <c r="AC43" s="79" t="s">
        <v>75</v>
      </c>
      <c r="AD43" s="79" t="s">
        <v>76</v>
      </c>
      <c r="AE43" s="79"/>
      <c r="AF43" s="79" t="s">
        <v>77</v>
      </c>
      <c r="AG43" s="79" t="s">
        <v>78</v>
      </c>
      <c r="AH43" s="79" t="s">
        <v>79</v>
      </c>
      <c r="AI43" s="79" t="s">
        <v>80</v>
      </c>
      <c r="AJ43" s="79" t="s">
        <v>81</v>
      </c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 x14ac:dyDescent="0.4">
      <c r="A44" s="103" t="e">
        <f>AVERAGE(入力!E13:S13)</f>
        <v>#DIV/0!</v>
      </c>
      <c r="B44" s="103" t="e">
        <f>AVERAGE(入力!E14:S14)</f>
        <v>#DIV/0!</v>
      </c>
      <c r="C44" s="103" t="e">
        <f>AVERAGE(入力!E15:S15)</f>
        <v>#DIV/0!</v>
      </c>
      <c r="D44" s="103" t="e">
        <f>AVERAGE(入力!E16:S16)</f>
        <v>#DIV/0!</v>
      </c>
      <c r="E44" s="103" t="e">
        <f>AVERAGE(入力!E17:S17)</f>
        <v>#DIV/0!</v>
      </c>
      <c r="F44" s="79"/>
      <c r="G44" s="103" t="e">
        <f>AVERAGE(入力!T28:AH28)</f>
        <v>#DIV/0!</v>
      </c>
      <c r="H44" s="103" t="e">
        <f>AVERAGE(入力!T29:AH29)</f>
        <v>#DIV/0!</v>
      </c>
      <c r="I44" s="103" t="e">
        <f>AVERAGE(入力!T30:AH30)</f>
        <v>#DIV/0!</v>
      </c>
      <c r="J44" s="103" t="e">
        <f>AVERAGE(入力!T31:AH31)</f>
        <v>#DIV/0!</v>
      </c>
      <c r="K44" s="103" t="e">
        <f>AVERAGE(入力!T32:AH32)</f>
        <v>#DIV/0!</v>
      </c>
      <c r="L44" s="79"/>
      <c r="M44" s="103" t="e">
        <f>AVERAGE(入力!T13:AH13)</f>
        <v>#DIV/0!</v>
      </c>
      <c r="N44" s="103" t="e">
        <f>AVERAGE(入力!T14:AH14)</f>
        <v>#DIV/0!</v>
      </c>
      <c r="O44" s="103" t="e">
        <f>AVERAGE(入力!T15:AH15)</f>
        <v>#DIV/0!</v>
      </c>
      <c r="P44" s="103" t="e">
        <f>AVERAGE(入力!T16:AH16)</f>
        <v>#DIV/0!</v>
      </c>
      <c r="Q44" s="103" t="e">
        <f>AVERAGE(入力!T17:AH17)</f>
        <v>#DIV/0!</v>
      </c>
      <c r="R44" s="79"/>
      <c r="S44" s="103" t="e">
        <f>AVERAGE(入力!E28:S28)</f>
        <v>#DIV/0!</v>
      </c>
      <c r="T44" s="103" t="e">
        <f>AVERAGE(入力!E29:S29)</f>
        <v>#DIV/0!</v>
      </c>
      <c r="U44" s="103" t="e">
        <f>AVERAGE(入力!E30:S30)</f>
        <v>#DIV/0!</v>
      </c>
      <c r="V44" s="103" t="e">
        <f>AVERAGE(入力!E31:S31)</f>
        <v>#DIV/0!</v>
      </c>
      <c r="W44" s="103" t="e">
        <f>AVERAGE(入力!E32:S32)</f>
        <v>#DIV/0!</v>
      </c>
      <c r="X44" s="107"/>
      <c r="Y44" s="79"/>
      <c r="Z44" s="103" t="e">
        <f>AVERAGE(入力!E13:AH13)</f>
        <v>#DIV/0!</v>
      </c>
      <c r="AA44" s="103" t="e">
        <f>AVERAGE(入力!E14:AH14)</f>
        <v>#DIV/0!</v>
      </c>
      <c r="AB44" s="103" t="e">
        <f>AVERAGE(入力!E15:AH15)</f>
        <v>#DIV/0!</v>
      </c>
      <c r="AC44" s="103" t="e">
        <f>AVERAGE(入力!E16:AH16)</f>
        <v>#DIV/0!</v>
      </c>
      <c r="AD44" s="103" t="e">
        <f>AVERAGE(入力!E17:AH17)</f>
        <v>#DIV/0!</v>
      </c>
      <c r="AE44" s="79"/>
      <c r="AF44" s="103" t="e">
        <f>AVERAGE(入力!E28:AH28)</f>
        <v>#DIV/0!</v>
      </c>
      <c r="AG44" s="103" t="e">
        <f>AVERAGE(入力!E29:AH29)</f>
        <v>#DIV/0!</v>
      </c>
      <c r="AH44" s="103" t="e">
        <f>AVERAGE(入力!E30:AH30)</f>
        <v>#DIV/0!</v>
      </c>
      <c r="AI44" s="103" t="e">
        <f>AVERAGE(入力!E31:AH31)</f>
        <v>#DIV/0!</v>
      </c>
      <c r="AJ44" s="103" t="e">
        <f>AVERAGE(入力!E32:AH32)</f>
        <v>#DIV/0!</v>
      </c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x14ac:dyDescent="0.4">
      <c r="A45" s="79" t="s">
        <v>82</v>
      </c>
      <c r="B45" s="79" t="s">
        <v>83</v>
      </c>
      <c r="C45" s="79" t="s">
        <v>84</v>
      </c>
      <c r="D45" s="79" t="s">
        <v>85</v>
      </c>
      <c r="E45" s="79" t="s">
        <v>86</v>
      </c>
      <c r="F45" s="79"/>
      <c r="G45" s="79" t="s">
        <v>87</v>
      </c>
      <c r="H45" s="79" t="s">
        <v>88</v>
      </c>
      <c r="I45" s="79" t="s">
        <v>89</v>
      </c>
      <c r="J45" s="79" t="s">
        <v>90</v>
      </c>
      <c r="K45" s="79" t="s">
        <v>91</v>
      </c>
      <c r="L45" s="79"/>
      <c r="M45" s="79" t="s">
        <v>82</v>
      </c>
      <c r="N45" s="79" t="s">
        <v>83</v>
      </c>
      <c r="O45" s="79" t="s">
        <v>84</v>
      </c>
      <c r="P45" s="79" t="s">
        <v>85</v>
      </c>
      <c r="Q45" s="79" t="s">
        <v>86</v>
      </c>
      <c r="R45" s="79"/>
      <c r="S45" s="79" t="s">
        <v>87</v>
      </c>
      <c r="T45" s="79" t="s">
        <v>88</v>
      </c>
      <c r="U45" s="79" t="s">
        <v>127</v>
      </c>
      <c r="V45" s="79" t="s">
        <v>125</v>
      </c>
      <c r="W45" s="79" t="s">
        <v>91</v>
      </c>
      <c r="X45" s="107"/>
      <c r="Y45" s="79"/>
      <c r="Z45" s="79" t="s">
        <v>82</v>
      </c>
      <c r="AA45" s="79" t="s">
        <v>83</v>
      </c>
      <c r="AB45" s="79" t="s">
        <v>84</v>
      </c>
      <c r="AC45" s="79" t="s">
        <v>85</v>
      </c>
      <c r="AD45" s="79" t="s">
        <v>86</v>
      </c>
      <c r="AE45" s="79"/>
      <c r="AF45" s="79" t="s">
        <v>87</v>
      </c>
      <c r="AG45" s="79" t="s">
        <v>88</v>
      </c>
      <c r="AH45" s="79" t="s">
        <v>127</v>
      </c>
      <c r="AI45" s="79" t="s">
        <v>125</v>
      </c>
      <c r="AJ45" s="79" t="s">
        <v>91</v>
      </c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103" t="e">
        <f>AVERAGE(入力!E18:S18)</f>
        <v>#DIV/0!</v>
      </c>
      <c r="B46" s="103" t="e">
        <f>AVERAGE(入力!E19:S19)</f>
        <v>#DIV/0!</v>
      </c>
      <c r="C46" s="103" t="e">
        <f>AVERAGE(入力!E20:S20)</f>
        <v>#DIV/0!</v>
      </c>
      <c r="D46" s="103" t="e">
        <f>AVERAGE(入力!E21:S21)</f>
        <v>#DIV/0!</v>
      </c>
      <c r="E46" s="103" t="e">
        <f>AVERAGE(入力!E22:S22)</f>
        <v>#DIV/0!</v>
      </c>
      <c r="F46" s="79"/>
      <c r="G46" s="103" t="e">
        <f>AVERAGE(入力!T33:AH33)</f>
        <v>#DIV/0!</v>
      </c>
      <c r="H46" s="103" t="e">
        <f>AVERAGE(入力!T34:AH34)</f>
        <v>#DIV/0!</v>
      </c>
      <c r="I46" s="103" t="e">
        <f>AVERAGE(入力!T35:AH35)</f>
        <v>#DIV/0!</v>
      </c>
      <c r="J46" s="103" t="e">
        <f>AVERAGE(入力!T36:AH36)</f>
        <v>#DIV/0!</v>
      </c>
      <c r="K46" s="103" t="e">
        <f>AVERAGE(入力!T37:AH37)</f>
        <v>#DIV/0!</v>
      </c>
      <c r="L46" s="79"/>
      <c r="M46" s="103" t="e">
        <f>AVERAGE(入力!T18:AH18)</f>
        <v>#DIV/0!</v>
      </c>
      <c r="N46" s="103" t="e">
        <f>AVERAGE(入力!T19:AH19)</f>
        <v>#DIV/0!</v>
      </c>
      <c r="O46" s="103" t="e">
        <f>AVERAGE(入力!T20:AH20)</f>
        <v>#DIV/0!</v>
      </c>
      <c r="P46" s="103" t="e">
        <f>AVERAGE(入力!T21:AH21)</f>
        <v>#DIV/0!</v>
      </c>
      <c r="Q46" s="103" t="e">
        <f>AVERAGE(入力!T22:AH22)</f>
        <v>#DIV/0!</v>
      </c>
      <c r="R46" s="79"/>
      <c r="S46" s="103" t="e">
        <f>AVERAGE(入力!E33:S33)</f>
        <v>#DIV/0!</v>
      </c>
      <c r="T46" s="103" t="e">
        <f>AVERAGE(入力!E34:S34)</f>
        <v>#DIV/0!</v>
      </c>
      <c r="U46" s="103" t="e">
        <f>AVERAGE(入力!E35:S35)</f>
        <v>#DIV/0!</v>
      </c>
      <c r="V46" s="103" t="e">
        <f>AVERAGE(入力!E36:S36)</f>
        <v>#DIV/0!</v>
      </c>
      <c r="W46" s="103" t="e">
        <f>AVERAGE(入力!E37:S37)</f>
        <v>#DIV/0!</v>
      </c>
      <c r="X46" s="107"/>
      <c r="Y46" s="79"/>
      <c r="Z46" s="103" t="e">
        <f>AVERAGE(入力!E18:AH18)</f>
        <v>#DIV/0!</v>
      </c>
      <c r="AA46" s="103" t="e">
        <f>AVERAGE(入力!E19:AH19)</f>
        <v>#DIV/0!</v>
      </c>
      <c r="AB46" s="103" t="e">
        <f>AVERAGE(入力!E20:AH20)</f>
        <v>#DIV/0!</v>
      </c>
      <c r="AC46" s="103" t="e">
        <f>AVERAGE(入力!E21:AH21)</f>
        <v>#DIV/0!</v>
      </c>
      <c r="AD46" s="103" t="e">
        <f>AVERAGE(入力!E22:AH22)</f>
        <v>#DIV/0!</v>
      </c>
      <c r="AE46" s="79"/>
      <c r="AF46" s="103" t="e">
        <f>AVERAGE(入力!E33:AH33)</f>
        <v>#DIV/0!</v>
      </c>
      <c r="AG46" s="103" t="e">
        <f>AVERAGE(入力!E34:AH34)</f>
        <v>#DIV/0!</v>
      </c>
      <c r="AH46" s="103" t="e">
        <f>AVERAGE(入力!E35:AH35)</f>
        <v>#DIV/0!</v>
      </c>
      <c r="AI46" s="103" t="e">
        <f>AVERAGE(入力!E36:AH36)</f>
        <v>#DIV/0!</v>
      </c>
      <c r="AJ46" s="103" t="e">
        <f>AVERAGE(入力!E37:AH37)</f>
        <v>#DIV/0!</v>
      </c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 x14ac:dyDescent="0.4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107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 x14ac:dyDescent="0.4">
      <c r="A48" s="79" t="s">
        <v>116</v>
      </c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 t="s">
        <v>117</v>
      </c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107"/>
      <c r="Y48" s="79"/>
      <c r="Z48" s="79" t="s">
        <v>96</v>
      </c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 x14ac:dyDescent="0.4">
      <c r="A49" s="79" t="s">
        <v>62</v>
      </c>
      <c r="B49" s="79" t="s">
        <v>63</v>
      </c>
      <c r="C49" s="79" t="s">
        <v>64</v>
      </c>
      <c r="D49" s="79" t="s">
        <v>65</v>
      </c>
      <c r="E49" s="79" t="s">
        <v>66</v>
      </c>
      <c r="F49" s="79"/>
      <c r="G49" s="79" t="s">
        <v>67</v>
      </c>
      <c r="H49" s="79" t="s">
        <v>68</v>
      </c>
      <c r="I49" s="79" t="s">
        <v>69</v>
      </c>
      <c r="J49" s="79" t="s">
        <v>70</v>
      </c>
      <c r="K49" s="79" t="s">
        <v>71</v>
      </c>
      <c r="L49" s="79"/>
      <c r="M49" s="79" t="s">
        <v>62</v>
      </c>
      <c r="N49" s="79" t="s">
        <v>63</v>
      </c>
      <c r="O49" s="79" t="s">
        <v>64</v>
      </c>
      <c r="P49" s="79" t="s">
        <v>65</v>
      </c>
      <c r="Q49" s="79" t="s">
        <v>66</v>
      </c>
      <c r="R49" s="79"/>
      <c r="S49" s="79" t="s">
        <v>67</v>
      </c>
      <c r="T49" s="79" t="s">
        <v>68</v>
      </c>
      <c r="U49" s="79" t="s">
        <v>69</v>
      </c>
      <c r="V49" s="79" t="s">
        <v>70</v>
      </c>
      <c r="W49" s="79" t="s">
        <v>71</v>
      </c>
      <c r="X49" s="107"/>
      <c r="Y49" s="79"/>
      <c r="Z49" s="79" t="s">
        <v>62</v>
      </c>
      <c r="AA49" s="79" t="s">
        <v>63</v>
      </c>
      <c r="AB49" s="79" t="s">
        <v>64</v>
      </c>
      <c r="AC49" s="79" t="s">
        <v>65</v>
      </c>
      <c r="AD49" s="79" t="s">
        <v>66</v>
      </c>
      <c r="AE49" s="79"/>
      <c r="AF49" s="79" t="s">
        <v>67</v>
      </c>
      <c r="AG49" s="79" t="s">
        <v>68</v>
      </c>
      <c r="AH49" s="79" t="s">
        <v>69</v>
      </c>
      <c r="AI49" s="79" t="s">
        <v>70</v>
      </c>
      <c r="AJ49" s="79" t="s">
        <v>71</v>
      </c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 x14ac:dyDescent="0.4">
      <c r="A50" s="103" t="e">
        <f>AVERAGE(入力!E8:E22)</f>
        <v>#DIV/0!</v>
      </c>
      <c r="B50" s="103" t="e">
        <f>AVERAGE(入力!F8:F22)</f>
        <v>#DIV/0!</v>
      </c>
      <c r="C50" s="103" t="e">
        <f>AVERAGE(入力!G8:G22)</f>
        <v>#DIV/0!</v>
      </c>
      <c r="D50" s="103" t="e">
        <f>AVERAGE(入力!H8:H22)</f>
        <v>#DIV/0!</v>
      </c>
      <c r="E50" s="103" t="e">
        <f>AVERAGE(入力!I8:I22)</f>
        <v>#DIV/0!</v>
      </c>
      <c r="F50" s="79"/>
      <c r="G50" s="103" t="e">
        <f>AVERAGE(入力!T23:T37)</f>
        <v>#DIV/0!</v>
      </c>
      <c r="H50" s="103" t="e">
        <f>AVERAGE(入力!U23:U37)</f>
        <v>#DIV/0!</v>
      </c>
      <c r="I50" s="103" t="e">
        <f>AVERAGE(入力!V23:V37)</f>
        <v>#DIV/0!</v>
      </c>
      <c r="J50" s="103" t="e">
        <f>AVERAGE(入力!W23:W37)</f>
        <v>#DIV/0!</v>
      </c>
      <c r="K50" s="103" t="e">
        <f>AVERAGE(入力!X23:X37)</f>
        <v>#DIV/0!</v>
      </c>
      <c r="L50" s="79"/>
      <c r="M50" s="103" t="e">
        <f>AVERAGE(入力!E23:E37)</f>
        <v>#DIV/0!</v>
      </c>
      <c r="N50" s="103" t="e">
        <f>AVERAGE(入力!F23:F37)</f>
        <v>#DIV/0!</v>
      </c>
      <c r="O50" s="103" t="e">
        <f>AVERAGE(入力!G23:G37)</f>
        <v>#DIV/0!</v>
      </c>
      <c r="P50" s="103" t="e">
        <f>AVERAGE(入力!H23:H37)</f>
        <v>#DIV/0!</v>
      </c>
      <c r="Q50" s="103" t="e">
        <f>AVERAGE(入力!I23:I37)</f>
        <v>#DIV/0!</v>
      </c>
      <c r="R50" s="79"/>
      <c r="S50" s="103" t="e">
        <f>AVERAGE(入力!T8:T22)</f>
        <v>#DIV/0!</v>
      </c>
      <c r="T50" s="103" t="e">
        <f>AVERAGE(入力!U8:U22)</f>
        <v>#DIV/0!</v>
      </c>
      <c r="U50" s="103" t="e">
        <f>AVERAGE(入力!V8:V22)</f>
        <v>#DIV/0!</v>
      </c>
      <c r="V50" s="103" t="e">
        <f>AVERAGE(入力!W8:W22)</f>
        <v>#DIV/0!</v>
      </c>
      <c r="W50" s="103" t="e">
        <f>AVERAGE(入力!X8:X22)</f>
        <v>#DIV/0!</v>
      </c>
      <c r="X50" s="107"/>
      <c r="Y50" s="79"/>
      <c r="Z50" s="103" t="e">
        <f>AVERAGE(入力!E8:E37)</f>
        <v>#DIV/0!</v>
      </c>
      <c r="AA50" s="103" t="e">
        <f>AVERAGE(入力!F8:F37)</f>
        <v>#DIV/0!</v>
      </c>
      <c r="AB50" s="103" t="e">
        <f>AVERAGE(入力!G8:G37)</f>
        <v>#DIV/0!</v>
      </c>
      <c r="AC50" s="103" t="e">
        <f>AVERAGE(入力!H8:H37)</f>
        <v>#DIV/0!</v>
      </c>
      <c r="AD50" s="103" t="e">
        <f>AVERAGE(入力!I8:I37)</f>
        <v>#DIV/0!</v>
      </c>
      <c r="AE50" s="79"/>
      <c r="AF50" s="103" t="e">
        <f>AVERAGE(入力!T8:T37)</f>
        <v>#DIV/0!</v>
      </c>
      <c r="AG50" s="103" t="e">
        <f>AVERAGE(入力!U8:U37)</f>
        <v>#DIV/0!</v>
      </c>
      <c r="AH50" s="103" t="e">
        <f>AVERAGE(入力!V8:V37)</f>
        <v>#DIV/0!</v>
      </c>
      <c r="AI50" s="103" t="e">
        <f>AVERAGE(入力!W8:W37)</f>
        <v>#DIV/0!</v>
      </c>
      <c r="AJ50" s="103" t="e">
        <f>AVERAGE(入力!X8:X37)</f>
        <v>#DIV/0!</v>
      </c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 x14ac:dyDescent="0.4">
      <c r="A51" s="79" t="s">
        <v>72</v>
      </c>
      <c r="B51" s="79" t="s">
        <v>73</v>
      </c>
      <c r="C51" s="79" t="s">
        <v>74</v>
      </c>
      <c r="D51" s="79" t="s">
        <v>75</v>
      </c>
      <c r="E51" s="79" t="s">
        <v>76</v>
      </c>
      <c r="F51" s="79"/>
      <c r="G51" s="79" t="s">
        <v>77</v>
      </c>
      <c r="H51" s="79" t="s">
        <v>78</v>
      </c>
      <c r="I51" s="79" t="s">
        <v>79</v>
      </c>
      <c r="J51" s="79" t="s">
        <v>80</v>
      </c>
      <c r="K51" s="79" t="s">
        <v>81</v>
      </c>
      <c r="L51" s="79"/>
      <c r="M51" s="79" t="s">
        <v>72</v>
      </c>
      <c r="N51" s="79" t="s">
        <v>73</v>
      </c>
      <c r="O51" s="79" t="s">
        <v>74</v>
      </c>
      <c r="P51" s="79" t="s">
        <v>75</v>
      </c>
      <c r="Q51" s="79" t="s">
        <v>76</v>
      </c>
      <c r="R51" s="79"/>
      <c r="S51" s="79" t="s">
        <v>77</v>
      </c>
      <c r="T51" s="79" t="s">
        <v>78</v>
      </c>
      <c r="U51" s="79" t="s">
        <v>79</v>
      </c>
      <c r="V51" s="79" t="s">
        <v>80</v>
      </c>
      <c r="W51" s="79" t="s">
        <v>81</v>
      </c>
      <c r="X51" s="107"/>
      <c r="Y51" s="79"/>
      <c r="Z51" s="79" t="s">
        <v>72</v>
      </c>
      <c r="AA51" s="79" t="s">
        <v>73</v>
      </c>
      <c r="AB51" s="79" t="s">
        <v>74</v>
      </c>
      <c r="AC51" s="79" t="s">
        <v>75</v>
      </c>
      <c r="AD51" s="79" t="s">
        <v>76</v>
      </c>
      <c r="AE51" s="79"/>
      <c r="AF51" s="79" t="s">
        <v>77</v>
      </c>
      <c r="AG51" s="79" t="s">
        <v>78</v>
      </c>
      <c r="AH51" s="79" t="s">
        <v>79</v>
      </c>
      <c r="AI51" s="79" t="s">
        <v>80</v>
      </c>
      <c r="AJ51" s="79" t="s">
        <v>81</v>
      </c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 x14ac:dyDescent="0.4">
      <c r="A52" s="103" t="e">
        <f>AVERAGE(入力!J8:J22)</f>
        <v>#DIV/0!</v>
      </c>
      <c r="B52" s="103" t="e">
        <f>AVERAGE(入力!K8:K22)</f>
        <v>#DIV/0!</v>
      </c>
      <c r="C52" s="103" t="e">
        <f>AVERAGE(入力!L8:L22)</f>
        <v>#DIV/0!</v>
      </c>
      <c r="D52" s="103" t="e">
        <f>AVERAGE(入力!M8:M22)</f>
        <v>#DIV/0!</v>
      </c>
      <c r="E52" s="103" t="e">
        <f>AVERAGE(入力!N8:N22)</f>
        <v>#DIV/0!</v>
      </c>
      <c r="F52" s="79"/>
      <c r="G52" s="103" t="e">
        <f>AVERAGE(入力!Y23:Y37)</f>
        <v>#DIV/0!</v>
      </c>
      <c r="H52" s="103" t="e">
        <f>AVERAGE(入力!Z23:Z37)</f>
        <v>#DIV/0!</v>
      </c>
      <c r="I52" s="103" t="e">
        <f>AVERAGE(入力!AA23:AA37)</f>
        <v>#DIV/0!</v>
      </c>
      <c r="J52" s="103" t="e">
        <f>AVERAGE(入力!AB23:AB37)</f>
        <v>#DIV/0!</v>
      </c>
      <c r="K52" s="103" t="e">
        <f>AVERAGE(入力!AC23:AC37)</f>
        <v>#DIV/0!</v>
      </c>
      <c r="L52" s="79"/>
      <c r="M52" s="103" t="e">
        <f>AVERAGE(入力!J23:J37)</f>
        <v>#DIV/0!</v>
      </c>
      <c r="N52" s="103" t="e">
        <f>AVERAGE(入力!K23:K37)</f>
        <v>#DIV/0!</v>
      </c>
      <c r="O52" s="103" t="e">
        <f>AVERAGE(入力!L23:L37)</f>
        <v>#DIV/0!</v>
      </c>
      <c r="P52" s="103" t="e">
        <f>AVERAGE(入力!M23:M37)</f>
        <v>#DIV/0!</v>
      </c>
      <c r="Q52" s="103" t="e">
        <f>AVERAGE(入力!N23:N37)</f>
        <v>#DIV/0!</v>
      </c>
      <c r="R52" s="79"/>
      <c r="S52" s="103" t="e">
        <f>AVERAGE(入力!Y8:Y22)</f>
        <v>#DIV/0!</v>
      </c>
      <c r="T52" s="103" t="e">
        <f>AVERAGE(入力!Z8:Z22)</f>
        <v>#DIV/0!</v>
      </c>
      <c r="U52" s="103" t="e">
        <f>AVERAGE(入力!AA8:AA22)</f>
        <v>#DIV/0!</v>
      </c>
      <c r="V52" s="103" t="e">
        <f>AVERAGE(入力!AB8:AB22)</f>
        <v>#DIV/0!</v>
      </c>
      <c r="W52" s="103" t="e">
        <f>AVERAGE(入力!AC8:AC22)</f>
        <v>#DIV/0!</v>
      </c>
      <c r="X52" s="107"/>
      <c r="Y52" s="79"/>
      <c r="Z52" s="103" t="e">
        <f>AVERAGE(入力!J8:J37)</f>
        <v>#DIV/0!</v>
      </c>
      <c r="AA52" s="103" t="e">
        <f>AVERAGE(入力!K8:K37)</f>
        <v>#DIV/0!</v>
      </c>
      <c r="AB52" s="103" t="e">
        <f>AVERAGE(入力!L8:L37)</f>
        <v>#DIV/0!</v>
      </c>
      <c r="AC52" s="103" t="e">
        <f>AVERAGE(入力!M8:M37)</f>
        <v>#DIV/0!</v>
      </c>
      <c r="AD52" s="103" t="e">
        <f>AVERAGE(入力!N8:N37)</f>
        <v>#DIV/0!</v>
      </c>
      <c r="AE52" s="79"/>
      <c r="AF52" s="103" t="e">
        <f>AVERAGE(入力!Y8:Y37)</f>
        <v>#DIV/0!</v>
      </c>
      <c r="AG52" s="103" t="e">
        <f>AVERAGE(入力!Z8:Z37)</f>
        <v>#DIV/0!</v>
      </c>
      <c r="AH52" s="103" t="e">
        <f>AVERAGE(入力!AA8:AA37)</f>
        <v>#DIV/0!</v>
      </c>
      <c r="AI52" s="103" t="e">
        <f>AVERAGE(入力!AB8:AB37)</f>
        <v>#DIV/0!</v>
      </c>
      <c r="AJ52" s="103" t="e">
        <f>AVERAGE(入力!AC8:AC37)</f>
        <v>#DIV/0!</v>
      </c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 x14ac:dyDescent="0.4">
      <c r="A53" s="79" t="s">
        <v>82</v>
      </c>
      <c r="B53" s="79" t="s">
        <v>83</v>
      </c>
      <c r="C53" s="79" t="s">
        <v>84</v>
      </c>
      <c r="D53" s="79" t="s">
        <v>85</v>
      </c>
      <c r="E53" s="79" t="s">
        <v>86</v>
      </c>
      <c r="F53" s="79"/>
      <c r="G53" s="79" t="s">
        <v>87</v>
      </c>
      <c r="H53" s="79" t="s">
        <v>88</v>
      </c>
      <c r="I53" s="79" t="s">
        <v>127</v>
      </c>
      <c r="J53" s="79" t="s">
        <v>125</v>
      </c>
      <c r="K53" s="79" t="s">
        <v>91</v>
      </c>
      <c r="L53" s="79"/>
      <c r="M53" s="79" t="s">
        <v>82</v>
      </c>
      <c r="N53" s="79" t="s">
        <v>83</v>
      </c>
      <c r="O53" s="79" t="s">
        <v>84</v>
      </c>
      <c r="P53" s="79" t="s">
        <v>85</v>
      </c>
      <c r="Q53" s="79" t="s">
        <v>86</v>
      </c>
      <c r="R53" s="79"/>
      <c r="S53" s="79" t="s">
        <v>87</v>
      </c>
      <c r="T53" s="79" t="s">
        <v>88</v>
      </c>
      <c r="U53" s="79" t="s">
        <v>127</v>
      </c>
      <c r="V53" s="79" t="s">
        <v>125</v>
      </c>
      <c r="W53" s="79" t="s">
        <v>91</v>
      </c>
      <c r="X53" s="107"/>
      <c r="Y53" s="79"/>
      <c r="Z53" s="79" t="s">
        <v>82</v>
      </c>
      <c r="AA53" s="79" t="s">
        <v>83</v>
      </c>
      <c r="AB53" s="79" t="s">
        <v>84</v>
      </c>
      <c r="AC53" s="79" t="s">
        <v>85</v>
      </c>
      <c r="AD53" s="79" t="s">
        <v>86</v>
      </c>
      <c r="AE53" s="79"/>
      <c r="AF53" s="79" t="s">
        <v>87</v>
      </c>
      <c r="AG53" s="79" t="s">
        <v>88</v>
      </c>
      <c r="AH53" s="79" t="s">
        <v>127</v>
      </c>
      <c r="AI53" s="79" t="s">
        <v>125</v>
      </c>
      <c r="AJ53" s="79" t="s">
        <v>91</v>
      </c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 x14ac:dyDescent="0.4">
      <c r="A54" s="103" t="e">
        <f>AVERAGE(入力!O8:O22)</f>
        <v>#DIV/0!</v>
      </c>
      <c r="B54" s="103" t="e">
        <f>AVERAGE(入力!P8:P22)</f>
        <v>#DIV/0!</v>
      </c>
      <c r="C54" s="103" t="e">
        <f>AVERAGE(入力!Q8:Q22)</f>
        <v>#DIV/0!</v>
      </c>
      <c r="D54" s="103" t="e">
        <f>AVERAGE(入力!R8:R22)</f>
        <v>#DIV/0!</v>
      </c>
      <c r="E54" s="103" t="e">
        <f>AVERAGE(入力!S8:S22)</f>
        <v>#DIV/0!</v>
      </c>
      <c r="F54" s="79"/>
      <c r="G54" s="103" t="e">
        <f>AVERAGE(入力!AD23:AD37)</f>
        <v>#DIV/0!</v>
      </c>
      <c r="H54" s="103" t="e">
        <f>AVERAGE(入力!AE23:AE37)</f>
        <v>#DIV/0!</v>
      </c>
      <c r="I54" s="103" t="e">
        <f>AVERAGE(入力!AF23:AF37)</f>
        <v>#DIV/0!</v>
      </c>
      <c r="J54" s="103" t="e">
        <f>AVERAGE(入力!AG23:AG37)</f>
        <v>#DIV/0!</v>
      </c>
      <c r="K54" s="103" t="e">
        <f>AVERAGE(入力!AH23:AH37)</f>
        <v>#DIV/0!</v>
      </c>
      <c r="L54" s="79"/>
      <c r="M54" s="103" t="e">
        <f>AVERAGE(入力!O23:O37)</f>
        <v>#DIV/0!</v>
      </c>
      <c r="N54" s="103" t="e">
        <f>AVERAGE(入力!P23:P37)</f>
        <v>#DIV/0!</v>
      </c>
      <c r="O54" s="103" t="e">
        <f>AVERAGE(入力!Q23:Q37)</f>
        <v>#DIV/0!</v>
      </c>
      <c r="P54" s="103" t="e">
        <f>AVERAGE(入力!R23:R37)</f>
        <v>#DIV/0!</v>
      </c>
      <c r="Q54" s="103" t="e">
        <f>AVERAGE(入力!S23:S37)</f>
        <v>#DIV/0!</v>
      </c>
      <c r="R54" s="79"/>
      <c r="S54" s="103" t="e">
        <f>AVERAGE(入力!AD8:AD22)</f>
        <v>#DIV/0!</v>
      </c>
      <c r="T54" s="103" t="e">
        <f>AVERAGE(入力!AE8:AE22)</f>
        <v>#DIV/0!</v>
      </c>
      <c r="U54" s="103" t="e">
        <f>AVERAGE(入力!AF8:AF22)</f>
        <v>#DIV/0!</v>
      </c>
      <c r="V54" s="103" t="e">
        <f>AVERAGE(入力!AG8:AG22)</f>
        <v>#DIV/0!</v>
      </c>
      <c r="W54" s="103" t="e">
        <f>AVERAGE(入力!AH8:AH22)</f>
        <v>#DIV/0!</v>
      </c>
      <c r="X54" s="107"/>
      <c r="Y54" s="79"/>
      <c r="Z54" s="103" t="e">
        <f>AVERAGE(入力!O8:O37)</f>
        <v>#DIV/0!</v>
      </c>
      <c r="AA54" s="103" t="e">
        <f>AVERAGE(入力!P8:P37)</f>
        <v>#DIV/0!</v>
      </c>
      <c r="AB54" s="103" t="e">
        <f>AVERAGE(入力!Q8:Q37)</f>
        <v>#DIV/0!</v>
      </c>
      <c r="AC54" s="103" t="e">
        <f>AVERAGE(入力!R8:R37)</f>
        <v>#DIV/0!</v>
      </c>
      <c r="AD54" s="103" t="e">
        <f>AVERAGE(入力!S8:S37)</f>
        <v>#DIV/0!</v>
      </c>
      <c r="AE54" s="79"/>
      <c r="AF54" s="103" t="e">
        <f>AVERAGE(入力!AD8:AD37)</f>
        <v>#DIV/0!</v>
      </c>
      <c r="AG54" s="103" t="e">
        <f>AVERAGE(入力!AE8:AE37)</f>
        <v>#DIV/0!</v>
      </c>
      <c r="AH54" s="103" t="e">
        <f>AVERAGE(入力!AF8:AF37)</f>
        <v>#DIV/0!</v>
      </c>
      <c r="AI54" s="103" t="e">
        <f>AVERAGE(入力!AG8:AG37)</f>
        <v>#DIV/0!</v>
      </c>
      <c r="AJ54" s="103" t="e">
        <f>AVERAGE(入力!AH8:AH37)</f>
        <v>#DIV/0!</v>
      </c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 x14ac:dyDescent="0.4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107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 x14ac:dyDescent="0.4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9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 x14ac:dyDescent="0.4">
      <c r="A57" s="79" t="s">
        <v>118</v>
      </c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 t="s">
        <v>99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107"/>
      <c r="Y57" s="79"/>
      <c r="Z57" s="79" t="s">
        <v>92</v>
      </c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 x14ac:dyDescent="0.4">
      <c r="A58" s="79" t="s">
        <v>62</v>
      </c>
      <c r="B58" s="79" t="s">
        <v>63</v>
      </c>
      <c r="C58" s="79" t="s">
        <v>64</v>
      </c>
      <c r="D58" s="79" t="s">
        <v>65</v>
      </c>
      <c r="E58" s="79" t="s">
        <v>66</v>
      </c>
      <c r="F58" s="79"/>
      <c r="G58" s="79" t="s">
        <v>67</v>
      </c>
      <c r="H58" s="79" t="s">
        <v>68</v>
      </c>
      <c r="I58" s="79" t="s">
        <v>69</v>
      </c>
      <c r="J58" s="79" t="s">
        <v>70</v>
      </c>
      <c r="K58" s="79" t="s">
        <v>71</v>
      </c>
      <c r="L58" s="79"/>
      <c r="M58" s="79" t="s">
        <v>62</v>
      </c>
      <c r="N58" s="79" t="s">
        <v>63</v>
      </c>
      <c r="O58" s="79" t="s">
        <v>64</v>
      </c>
      <c r="P58" s="79" t="s">
        <v>65</v>
      </c>
      <c r="Q58" s="79" t="s">
        <v>66</v>
      </c>
      <c r="R58" s="79"/>
      <c r="S58" s="79" t="s">
        <v>67</v>
      </c>
      <c r="T58" s="79" t="s">
        <v>68</v>
      </c>
      <c r="U58" s="79" t="s">
        <v>69</v>
      </c>
      <c r="V58" s="79" t="s">
        <v>70</v>
      </c>
      <c r="W58" s="79" t="s">
        <v>71</v>
      </c>
      <c r="X58" s="107"/>
      <c r="Y58" s="79"/>
      <c r="Z58" s="79" t="s">
        <v>62</v>
      </c>
      <c r="AA58" s="79" t="s">
        <v>63</v>
      </c>
      <c r="AB58" s="79" t="s">
        <v>64</v>
      </c>
      <c r="AC58" s="79" t="s">
        <v>65</v>
      </c>
      <c r="AD58" s="79" t="s">
        <v>66</v>
      </c>
      <c r="AE58" s="79"/>
      <c r="AF58" s="79" t="s">
        <v>67</v>
      </c>
      <c r="AG58" s="79" t="s">
        <v>68</v>
      </c>
      <c r="AH58" s="79" t="s">
        <v>69</v>
      </c>
      <c r="AI58" s="79" t="s">
        <v>70</v>
      </c>
      <c r="AJ58" s="79" t="s">
        <v>71</v>
      </c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 x14ac:dyDescent="0.4">
      <c r="A59" s="103" t="e">
        <f>AVERAGE(入力!E8:E22,入力!F8:S8)</f>
        <v>#DIV/0!</v>
      </c>
      <c r="B59" s="103" t="e">
        <f>AVERAGE(入力!F8:F22,入力!E9,入力!G9:S9)</f>
        <v>#DIV/0!</v>
      </c>
      <c r="C59" s="103" t="e">
        <f>AVERAGE(入力!G8:G22,入力!E10:F10,入力!H10:S10)</f>
        <v>#DIV/0!</v>
      </c>
      <c r="D59" s="103" t="e">
        <f>AVERAGE(入力!H8:H22,入力!E11:G11,入力!I11:S11)</f>
        <v>#DIV/0!</v>
      </c>
      <c r="E59" s="103" t="e">
        <f>AVERAGE(入力!I8:I22,入力!E12:H12,入力!J12:S12)</f>
        <v>#DIV/0!</v>
      </c>
      <c r="F59" s="79"/>
      <c r="G59" s="103" t="e">
        <f>AVERAGE(入力!T23:T37,入力!U23:AH23)</f>
        <v>#DIV/0!</v>
      </c>
      <c r="H59" s="103" t="e">
        <f>AVERAGE(入力!U23:U37,入力!T24,入力!V24:AH24)</f>
        <v>#DIV/0!</v>
      </c>
      <c r="I59" s="103" t="e">
        <f>AVERAGE(入力!V23:V37,入力!T25:U25,入力!W25:AH25)</f>
        <v>#DIV/0!</v>
      </c>
      <c r="J59" s="103" t="e">
        <f>AVERAGE(入力!W23:W37,入力!T26:V26,入力!X26:AH26)</f>
        <v>#DIV/0!</v>
      </c>
      <c r="K59" s="103" t="e">
        <f>AVERAGE(入力!X23:X37,入力!T27:W27,入力!Y27:AH27)</f>
        <v>#DIV/0!</v>
      </c>
      <c r="L59" s="79"/>
      <c r="M59" s="103" t="e">
        <f>AVERAGE(入力!E23:E37,入力!T8:AH8)</f>
        <v>#DIV/0!</v>
      </c>
      <c r="N59" s="103" t="e">
        <f>AVERAGE(入力!F23:F37,入力!T9:AH9)</f>
        <v>#DIV/0!</v>
      </c>
      <c r="O59" s="103" t="e">
        <f>AVERAGE(入力!G23:G37,入力!T10:AH10)</f>
        <v>#DIV/0!</v>
      </c>
      <c r="P59" s="103" t="e">
        <f>AVERAGE(入力!H23:H37,入力!T11:AH11)</f>
        <v>#DIV/0!</v>
      </c>
      <c r="Q59" s="103" t="e">
        <f>AVERAGE(入力!I23:I37,入力!T12:AH12)</f>
        <v>#DIV/0!</v>
      </c>
      <c r="R59" s="79"/>
      <c r="S59" s="103" t="e">
        <f>AVERAGE(入力!T8:T22,入力!E23:S23)</f>
        <v>#DIV/0!</v>
      </c>
      <c r="T59" s="103" t="e">
        <f>AVERAGE(入力!U8:U22,入力!E24:S24)</f>
        <v>#DIV/0!</v>
      </c>
      <c r="U59" s="103" t="e">
        <f>AVERAGE(入力!V8:V22,入力!E25:S25)</f>
        <v>#DIV/0!</v>
      </c>
      <c r="V59" s="103" t="e">
        <f>AVERAGE(入力!W8:W22,入力!E26:S26)</f>
        <v>#DIV/0!</v>
      </c>
      <c r="W59" s="103" t="e">
        <f>AVERAGE(入力!X8:X22,入力!E27:S27)</f>
        <v>#DIV/0!</v>
      </c>
      <c r="X59" s="107"/>
      <c r="Y59" s="79"/>
      <c r="Z59" s="103" t="e">
        <f>AVERAGE(入力!E8:E37,入力!F8:AH8)</f>
        <v>#DIV/0!</v>
      </c>
      <c r="AA59" s="103" t="e">
        <f>AVERAGE(入力!F8:F37,入力!E9,入力!G9:AH9)</f>
        <v>#DIV/0!</v>
      </c>
      <c r="AB59" s="103" t="e">
        <f>AVERAGE(入力!G8:G37,入力!E10:F10,入力!H10:AH10)</f>
        <v>#DIV/0!</v>
      </c>
      <c r="AC59" s="103" t="e">
        <f>AVERAGE(入力!H8:H37,入力!E11:G11,入力!I11:AH11)</f>
        <v>#DIV/0!</v>
      </c>
      <c r="AD59" s="103" t="e">
        <f>AVERAGE(入力!I8:I37,入力!E12:H12,入力!J12:AH12)</f>
        <v>#DIV/0!</v>
      </c>
      <c r="AE59" s="79"/>
      <c r="AF59" s="103" t="e">
        <f>AVERAGE(入力!T8:T37,入力!E23:S23,入力!U23:AH23)</f>
        <v>#DIV/0!</v>
      </c>
      <c r="AG59" s="103" t="e">
        <f>AVERAGE(入力!U8:U37,入力!E24:T24,入力!V24:AH24)</f>
        <v>#DIV/0!</v>
      </c>
      <c r="AH59" s="103" t="e">
        <f>AVERAGE(入力!V8:V37,入力!E25:U25,入力!W25:AH25)</f>
        <v>#DIV/0!</v>
      </c>
      <c r="AI59" s="103" t="e">
        <f>AVERAGE(入力!W8:W37,入力!E26:V26,入力!X26:AH26)</f>
        <v>#DIV/0!</v>
      </c>
      <c r="AJ59" s="103" t="e">
        <f>AVERAGE(入力!X8:X37,入力!E27:W27,入力!Y27:AH27)</f>
        <v>#DIV/0!</v>
      </c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 x14ac:dyDescent="0.4">
      <c r="A60" s="79" t="s">
        <v>72</v>
      </c>
      <c r="B60" s="79" t="s">
        <v>73</v>
      </c>
      <c r="C60" s="79" t="s">
        <v>74</v>
      </c>
      <c r="D60" s="79" t="s">
        <v>75</v>
      </c>
      <c r="E60" s="79" t="s">
        <v>76</v>
      </c>
      <c r="F60" s="79"/>
      <c r="G60" s="79" t="s">
        <v>77</v>
      </c>
      <c r="H60" s="79" t="s">
        <v>78</v>
      </c>
      <c r="I60" s="79" t="s">
        <v>79</v>
      </c>
      <c r="J60" s="79" t="s">
        <v>80</v>
      </c>
      <c r="K60" s="79" t="s">
        <v>81</v>
      </c>
      <c r="L60" s="79"/>
      <c r="M60" s="79" t="s">
        <v>72</v>
      </c>
      <c r="N60" s="79" t="s">
        <v>73</v>
      </c>
      <c r="O60" s="79" t="s">
        <v>74</v>
      </c>
      <c r="P60" s="79" t="s">
        <v>75</v>
      </c>
      <c r="Q60" s="79" t="s">
        <v>76</v>
      </c>
      <c r="R60" s="79"/>
      <c r="S60" s="79" t="s">
        <v>77</v>
      </c>
      <c r="T60" s="79" t="s">
        <v>78</v>
      </c>
      <c r="U60" s="79" t="s">
        <v>79</v>
      </c>
      <c r="V60" s="79" t="s">
        <v>80</v>
      </c>
      <c r="W60" s="79" t="s">
        <v>81</v>
      </c>
      <c r="X60" s="107"/>
      <c r="Y60" s="79"/>
      <c r="Z60" s="79" t="s">
        <v>72</v>
      </c>
      <c r="AA60" s="79" t="s">
        <v>73</v>
      </c>
      <c r="AB60" s="79" t="s">
        <v>74</v>
      </c>
      <c r="AC60" s="79" t="s">
        <v>75</v>
      </c>
      <c r="AD60" s="79" t="s">
        <v>76</v>
      </c>
      <c r="AE60" s="79"/>
      <c r="AF60" s="79" t="s">
        <v>77</v>
      </c>
      <c r="AG60" s="79" t="s">
        <v>78</v>
      </c>
      <c r="AH60" s="79" t="s">
        <v>79</v>
      </c>
      <c r="AI60" s="79" t="s">
        <v>80</v>
      </c>
      <c r="AJ60" s="79" t="s">
        <v>81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 x14ac:dyDescent="0.4">
      <c r="A61" s="103" t="e">
        <f>AVERAGE(入力!J8:J22,入力!E13:I13,入力!K13:S13)</f>
        <v>#DIV/0!</v>
      </c>
      <c r="B61" s="103" t="e">
        <f>AVERAGE(入力!K8:K22,入力!E14:J14,入力!L14:S14)</f>
        <v>#DIV/0!</v>
      </c>
      <c r="C61" s="103" t="e">
        <f>AVERAGE(入力!L8:L22,入力!E15:K15,入力!M15:S15)</f>
        <v>#DIV/0!</v>
      </c>
      <c r="D61" s="103" t="e">
        <f>AVERAGE(入力!M8:M22,入力!E16:L16,入力!N16:S16)</f>
        <v>#DIV/0!</v>
      </c>
      <c r="E61" s="103" t="e">
        <f>AVERAGE(入力!N8:N22,入力!E17:M17,入力!O17:S17)</f>
        <v>#DIV/0!</v>
      </c>
      <c r="F61" s="79"/>
      <c r="G61" s="103" t="e">
        <f>AVERAGE(入力!Y23:Y37,入力!T28:X28,入力!Z28:AH28)</f>
        <v>#DIV/0!</v>
      </c>
      <c r="H61" s="103" t="e">
        <f>AVERAGE(入力!Z23:Z37,入力!T29:Y29,入力!AA29:AH29)</f>
        <v>#DIV/0!</v>
      </c>
      <c r="I61" s="103" t="e">
        <f>AVERAGE(入力!AA23:AA37,入力!T30:Z30,入力!AB30:AH30)</f>
        <v>#DIV/0!</v>
      </c>
      <c r="J61" s="103" t="e">
        <f>AVERAGE(入力!AB23:AB37,入力!T31:AA31,入力!AC31:AH31)</f>
        <v>#DIV/0!</v>
      </c>
      <c r="K61" s="103" t="e">
        <f>AVERAGE(入力!AC23:AC37,入力!T32:AB32,入力!AD32:AH32)</f>
        <v>#DIV/0!</v>
      </c>
      <c r="L61" s="79"/>
      <c r="M61" s="103" t="e">
        <f>AVERAGE(入力!J23:J37,入力!T13:AH13)</f>
        <v>#DIV/0!</v>
      </c>
      <c r="N61" s="103" t="e">
        <f>AVERAGE(入力!K23:K37,入力!T14:AH14)</f>
        <v>#DIV/0!</v>
      </c>
      <c r="O61" s="103" t="e">
        <f>AVERAGE(入力!L23:L37,入力!T15:AH15)</f>
        <v>#DIV/0!</v>
      </c>
      <c r="P61" s="103" t="e">
        <f>AVERAGE(入力!M23:M37,入力!T16:AH16)</f>
        <v>#DIV/0!</v>
      </c>
      <c r="Q61" s="103" t="e">
        <f>AVERAGE(入力!N23:N37,入力!T17:AH17)</f>
        <v>#DIV/0!</v>
      </c>
      <c r="R61" s="79"/>
      <c r="S61" s="103" t="e">
        <f>AVERAGE(入力!Y8:Y22,入力!E28:S28)</f>
        <v>#DIV/0!</v>
      </c>
      <c r="T61" s="103" t="e">
        <f>AVERAGE(入力!Z8:Z22,入力!E29:S29)</f>
        <v>#DIV/0!</v>
      </c>
      <c r="U61" s="103" t="e">
        <f>AVERAGE(入力!AA8:AA22,入力!E30:S30)</f>
        <v>#DIV/0!</v>
      </c>
      <c r="V61" s="103" t="e">
        <f>AVERAGE(入力!AB8:AB22,入力!E31:S31)</f>
        <v>#DIV/0!</v>
      </c>
      <c r="W61" s="103" t="e">
        <f>AVERAGE(入力!AC8:AC22,入力!E32:S32)</f>
        <v>#DIV/0!</v>
      </c>
      <c r="X61" s="107"/>
      <c r="Y61" s="79"/>
      <c r="Z61" s="103" t="e">
        <f>AVERAGE(入力!J8:J37,入力!E13:I13,入力!K13:AH13)</f>
        <v>#DIV/0!</v>
      </c>
      <c r="AA61" s="103" t="e">
        <f>AVERAGE(入力!K8:K37,入力!E14:J14,入力!L14:AH14)</f>
        <v>#DIV/0!</v>
      </c>
      <c r="AB61" s="103" t="e">
        <f>AVERAGE(入力!L8:L37,入力!E15:K15,入力!M15:AH15)</f>
        <v>#DIV/0!</v>
      </c>
      <c r="AC61" s="103" t="e">
        <f>AVERAGE(入力!M8:M37,入力!E16:L16,入力!N16:AH16)</f>
        <v>#DIV/0!</v>
      </c>
      <c r="AD61" s="103" t="e">
        <f>AVERAGE(入力!N8:N37,入力!E17:M17,入力!O17:AH17)</f>
        <v>#DIV/0!</v>
      </c>
      <c r="AE61" s="79"/>
      <c r="AF61" s="103" t="e">
        <f>AVERAGE(入力!Y8:Y37,入力!E28:X28,入力!Z28:AH28)</f>
        <v>#DIV/0!</v>
      </c>
      <c r="AG61" s="103" t="e">
        <f>AVERAGE(入力!Z8:Z37,入力!E29:Y29,入力!AA29:AH29)</f>
        <v>#DIV/0!</v>
      </c>
      <c r="AH61" s="103" t="e">
        <f>AVERAGE(入力!AA8:AA37,入力!E30:Z30,入力!AB30:AH30)</f>
        <v>#DIV/0!</v>
      </c>
      <c r="AI61" s="103" t="e">
        <f>AVERAGE(入力!AB8:AB37,入力!E31:AA31,入力!AC31:AH31)</f>
        <v>#DIV/0!</v>
      </c>
      <c r="AJ61" s="103" t="e">
        <f>AVERAGE(入力!AC8:AC37,入力!E32:AB32,入力!AD32:AH32)</f>
        <v>#DIV/0!</v>
      </c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 x14ac:dyDescent="0.4">
      <c r="A62" s="79" t="s">
        <v>82</v>
      </c>
      <c r="B62" s="79" t="s">
        <v>83</v>
      </c>
      <c r="C62" s="79" t="s">
        <v>84</v>
      </c>
      <c r="D62" s="79" t="s">
        <v>85</v>
      </c>
      <c r="E62" s="79" t="s">
        <v>86</v>
      </c>
      <c r="F62" s="79"/>
      <c r="G62" s="79" t="s">
        <v>87</v>
      </c>
      <c r="H62" s="79" t="s">
        <v>88</v>
      </c>
      <c r="I62" s="79" t="s">
        <v>224</v>
      </c>
      <c r="J62" s="79" t="s">
        <v>225</v>
      </c>
      <c r="K62" s="79" t="s">
        <v>91</v>
      </c>
      <c r="L62" s="79"/>
      <c r="M62" s="79" t="s">
        <v>82</v>
      </c>
      <c r="N62" s="79" t="s">
        <v>83</v>
      </c>
      <c r="O62" s="79" t="s">
        <v>84</v>
      </c>
      <c r="P62" s="79" t="s">
        <v>85</v>
      </c>
      <c r="Q62" s="79" t="s">
        <v>86</v>
      </c>
      <c r="R62" s="79"/>
      <c r="S62" s="79" t="s">
        <v>87</v>
      </c>
      <c r="T62" s="79" t="s">
        <v>88</v>
      </c>
      <c r="U62" s="79" t="s">
        <v>224</v>
      </c>
      <c r="V62" s="79" t="s">
        <v>225</v>
      </c>
      <c r="W62" s="79" t="s">
        <v>91</v>
      </c>
      <c r="X62" s="107"/>
      <c r="Y62" s="79"/>
      <c r="Z62" s="79" t="s">
        <v>82</v>
      </c>
      <c r="AA62" s="79" t="s">
        <v>83</v>
      </c>
      <c r="AB62" s="79" t="s">
        <v>84</v>
      </c>
      <c r="AC62" s="79" t="s">
        <v>85</v>
      </c>
      <c r="AD62" s="79" t="s">
        <v>86</v>
      </c>
      <c r="AE62" s="79"/>
      <c r="AF62" s="79" t="s">
        <v>87</v>
      </c>
      <c r="AG62" s="79" t="s">
        <v>88</v>
      </c>
      <c r="AH62" s="79" t="s">
        <v>127</v>
      </c>
      <c r="AI62" s="79" t="s">
        <v>125</v>
      </c>
      <c r="AJ62" s="79" t="s">
        <v>91</v>
      </c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 x14ac:dyDescent="0.4">
      <c r="A63" s="103" t="e">
        <f>AVERAGE(入力!O8:O22,入力!E18:N18,入力!P18:S18)</f>
        <v>#DIV/0!</v>
      </c>
      <c r="B63" s="103" t="e">
        <f>AVERAGE(入力!P8:P22,入力!E19:O19,入力!Q19:S19)</f>
        <v>#DIV/0!</v>
      </c>
      <c r="C63" s="103" t="e">
        <f>AVERAGE(入力!Q8:Q22,入力!E20:P20,入力!R20:S20)</f>
        <v>#DIV/0!</v>
      </c>
      <c r="D63" s="103" t="e">
        <f>AVERAGE(入力!R8:R22,入力!E21:Q21,入力!S21)</f>
        <v>#DIV/0!</v>
      </c>
      <c r="E63" s="103" t="e">
        <f>AVERAGE(入力!S8:S22,入力!E22:R22)</f>
        <v>#DIV/0!</v>
      </c>
      <c r="F63" s="79"/>
      <c r="G63" s="103" t="e">
        <f>AVERAGE(入力!AD23:AD37,入力!T33:AC33,入力!AE33:AH33)</f>
        <v>#DIV/0!</v>
      </c>
      <c r="H63" s="103" t="e">
        <f>AVERAGE(入力!AE23:AE37,入力!T34:AD34,入力!AF34:AH34)</f>
        <v>#DIV/0!</v>
      </c>
      <c r="I63" s="103" t="e">
        <f>AVERAGE(入力!AF23:AF37,入力!T35:AE35,入力!AG35:AH35)</f>
        <v>#DIV/0!</v>
      </c>
      <c r="J63" s="103" t="e">
        <f>AVERAGE(入力!AG23:AG37,入力!T36:AF36,入力!AH36)</f>
        <v>#DIV/0!</v>
      </c>
      <c r="K63" s="103" t="e">
        <f>AVERAGE(入力!AH23:AH37,入力!T37:AG37)</f>
        <v>#DIV/0!</v>
      </c>
      <c r="L63" s="79"/>
      <c r="M63" s="103" t="e">
        <f>AVERAGE(入力!O23:O37,入力!T18:AH18)</f>
        <v>#DIV/0!</v>
      </c>
      <c r="N63" s="103" t="e">
        <f>AVERAGE(入力!P23:P37,入力!T19:AH19)</f>
        <v>#DIV/0!</v>
      </c>
      <c r="O63" s="103" t="e">
        <f>AVERAGE(入力!Q23:Q37,入力!T20:AH20)</f>
        <v>#DIV/0!</v>
      </c>
      <c r="P63" s="103" t="e">
        <f>AVERAGE(入力!R23:R37,入力!T21:AH21)</f>
        <v>#DIV/0!</v>
      </c>
      <c r="Q63" s="103" t="e">
        <f>AVERAGE(入力!S23:S37,入力!T22:AH22)</f>
        <v>#DIV/0!</v>
      </c>
      <c r="R63" s="79"/>
      <c r="S63" s="103" t="e">
        <f>AVERAGE(入力!AD8:AD22,入力!E33:S33)</f>
        <v>#DIV/0!</v>
      </c>
      <c r="T63" s="103" t="e">
        <f>AVERAGE(入力!AE8:AE22,入力!E34:S34)</f>
        <v>#DIV/0!</v>
      </c>
      <c r="U63" s="103" t="e">
        <f>AVERAGE(入力!AF8:AF22,入力!E35:S35)</f>
        <v>#DIV/0!</v>
      </c>
      <c r="V63" s="103" t="e">
        <f>AVERAGE(入力!AG8:AG22,入力!E36:S36)</f>
        <v>#DIV/0!</v>
      </c>
      <c r="W63" s="103" t="e">
        <f>AVERAGE(入力!AH8:AH22,入力!E37:S37)</f>
        <v>#DIV/0!</v>
      </c>
      <c r="X63" s="107"/>
      <c r="Y63" s="79"/>
      <c r="Z63" s="103" t="e">
        <f>AVERAGE(入力!O8:O37,入力!E18:N18,入力!P18:AH18)</f>
        <v>#DIV/0!</v>
      </c>
      <c r="AA63" s="103" t="e">
        <f>AVERAGE(入力!P8:P37,入力!E19:O19,入力!Q19:AH19)</f>
        <v>#DIV/0!</v>
      </c>
      <c r="AB63" s="103" t="e">
        <f>AVERAGE(入力!Q8:Q37,入力!E20:P20,入力!R20:AH20)</f>
        <v>#DIV/0!</v>
      </c>
      <c r="AC63" s="103" t="e">
        <f>AVERAGE(入力!R8:R37,入力!E21:Q21,入力!S21:AH21)</f>
        <v>#DIV/0!</v>
      </c>
      <c r="AD63" s="103" t="e">
        <f>AVERAGE(入力!S8:S37,入力!E22:R22,入力!T22:AH22)</f>
        <v>#DIV/0!</v>
      </c>
      <c r="AE63" s="79"/>
      <c r="AF63" s="103" t="e">
        <f>AVERAGE(入力!AD8:AD37,入力!E33:AC33,入力!AE33:AH33)</f>
        <v>#DIV/0!</v>
      </c>
      <c r="AG63" s="103" t="e">
        <f>AVERAGE(入力!AE8:AE37,入力!E34:AD34,入力!AF34:AH34)</f>
        <v>#DIV/0!</v>
      </c>
      <c r="AH63" s="103" t="e">
        <f>AVERAGE(入力!AF8:AF37,入力!E35:AE35,入力!AG35:AH35)</f>
        <v>#DIV/0!</v>
      </c>
      <c r="AI63" s="103" t="e">
        <f>AVERAGE(入力!AG8:AG37,入力!E36:AF36,入力!AH36)</f>
        <v>#DIV/0!</v>
      </c>
      <c r="AJ63" s="103" t="e">
        <f>AVERAGE(入力!AH8:AH37,入力!E37:AG37)</f>
        <v>#DIV/0!</v>
      </c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 x14ac:dyDescent="0.4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 x14ac:dyDescent="0.4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 t="s">
        <v>93</v>
      </c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 x14ac:dyDescent="0.4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 t="s">
        <v>62</v>
      </c>
      <c r="AA66" s="79" t="s">
        <v>63</v>
      </c>
      <c r="AB66" s="79" t="s">
        <v>64</v>
      </c>
      <c r="AC66" s="79" t="s">
        <v>65</v>
      </c>
      <c r="AD66" s="79" t="s">
        <v>66</v>
      </c>
      <c r="AE66" s="79"/>
      <c r="AF66" s="79" t="s">
        <v>67</v>
      </c>
      <c r="AG66" s="79" t="s">
        <v>68</v>
      </c>
      <c r="AH66" s="79" t="s">
        <v>69</v>
      </c>
      <c r="AI66" s="79" t="s">
        <v>70</v>
      </c>
      <c r="AJ66" s="79" t="s">
        <v>71</v>
      </c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 x14ac:dyDescent="0.4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103">
        <f>A27</f>
        <v>0</v>
      </c>
      <c r="AA67" s="103">
        <f>H27</f>
        <v>0</v>
      </c>
      <c r="AB67" s="103">
        <f>O27</f>
        <v>0</v>
      </c>
      <c r="AC67" s="103">
        <f>V27</f>
        <v>0</v>
      </c>
      <c r="AD67" s="103">
        <f>AC27</f>
        <v>0</v>
      </c>
      <c r="AE67" s="79"/>
      <c r="AF67" s="103">
        <f>AE27</f>
        <v>0</v>
      </c>
      <c r="AG67" s="103">
        <f>AL27</f>
        <v>0</v>
      </c>
      <c r="AH67" s="103">
        <f>AS27</f>
        <v>0</v>
      </c>
      <c r="AI67" s="103">
        <f>AZ27</f>
        <v>0</v>
      </c>
      <c r="AJ67" s="103">
        <f>BG27</f>
        <v>0</v>
      </c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 x14ac:dyDescent="0.4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 t="s">
        <v>72</v>
      </c>
      <c r="AA68" s="79" t="s">
        <v>73</v>
      </c>
      <c r="AB68" s="79" t="s">
        <v>74</v>
      </c>
      <c r="AC68" s="79" t="s">
        <v>75</v>
      </c>
      <c r="AD68" s="79" t="s">
        <v>76</v>
      </c>
      <c r="AE68" s="79"/>
      <c r="AF68" s="79" t="s">
        <v>77</v>
      </c>
      <c r="AG68" s="79" t="s">
        <v>78</v>
      </c>
      <c r="AH68" s="79" t="s">
        <v>79</v>
      </c>
      <c r="AI68" s="79" t="s">
        <v>80</v>
      </c>
      <c r="AJ68" s="79" t="s">
        <v>81</v>
      </c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 x14ac:dyDescent="0.4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103">
        <f>A32</f>
        <v>0</v>
      </c>
      <c r="AA69" s="103">
        <f>H32</f>
        <v>0</v>
      </c>
      <c r="AB69" s="103">
        <f>O32</f>
        <v>0</v>
      </c>
      <c r="AC69" s="103">
        <f>V32</f>
        <v>0</v>
      </c>
      <c r="AD69" s="103">
        <f>AC32</f>
        <v>0</v>
      </c>
      <c r="AE69" s="79"/>
      <c r="AF69" s="103">
        <f>AE32</f>
        <v>0</v>
      </c>
      <c r="AG69" s="103">
        <f>AL32</f>
        <v>0</v>
      </c>
      <c r="AH69" s="103">
        <f>AS32</f>
        <v>0</v>
      </c>
      <c r="AI69" s="103">
        <f>AZ32</f>
        <v>0</v>
      </c>
      <c r="AJ69" s="103">
        <f>BG32</f>
        <v>0</v>
      </c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 x14ac:dyDescent="0.4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 t="s">
        <v>82</v>
      </c>
      <c r="AA70" s="79" t="s">
        <v>83</v>
      </c>
      <c r="AB70" s="79" t="s">
        <v>84</v>
      </c>
      <c r="AC70" s="79" t="s">
        <v>85</v>
      </c>
      <c r="AD70" s="79" t="s">
        <v>86</v>
      </c>
      <c r="AE70" s="79"/>
      <c r="AF70" s="79" t="s">
        <v>87</v>
      </c>
      <c r="AG70" s="79" t="s">
        <v>88</v>
      </c>
      <c r="AH70" s="79" t="s">
        <v>127</v>
      </c>
      <c r="AI70" s="79" t="s">
        <v>125</v>
      </c>
      <c r="AJ70" s="79" t="s">
        <v>91</v>
      </c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 x14ac:dyDescent="0.4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103">
        <f>A37</f>
        <v>0</v>
      </c>
      <c r="AA71" s="103">
        <f>H37</f>
        <v>0</v>
      </c>
      <c r="AB71" s="103">
        <f>O37</f>
        <v>0</v>
      </c>
      <c r="AC71" s="103">
        <f>V37</f>
        <v>0</v>
      </c>
      <c r="AD71" s="103">
        <f>AC37</f>
        <v>0</v>
      </c>
      <c r="AE71" s="79"/>
      <c r="AF71" s="103">
        <f>AE37</f>
        <v>0</v>
      </c>
      <c r="AG71" s="103">
        <f>AL37</f>
        <v>0</v>
      </c>
      <c r="AH71" s="103">
        <f>AS37</f>
        <v>0</v>
      </c>
      <c r="AI71" s="103">
        <f>AZ37</f>
        <v>0</v>
      </c>
      <c r="AJ71" s="103">
        <f>BG37</f>
        <v>0</v>
      </c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</sheetData>
  <sheetProtection sheet="1" objects="1" scenarios="1"/>
  <mergeCells count="1">
    <mergeCell ref="C6:D6"/>
  </mergeCells>
  <phoneticPr fontId="5"/>
  <conditionalFormatting sqref="A27:E29">
    <cfRule type="cellIs" dxfId="74" priority="68" operator="lessThan">
      <formula>$A$27</formula>
    </cfRule>
    <cfRule type="cellIs" dxfId="73" priority="69" operator="greaterThan">
      <formula>$A$27</formula>
    </cfRule>
  </conditionalFormatting>
  <conditionalFormatting sqref="G27:K29">
    <cfRule type="cellIs" dxfId="72" priority="66" operator="lessThan">
      <formula>$H$27</formula>
    </cfRule>
    <cfRule type="cellIs" dxfId="71" priority="67" operator="greaterThan">
      <formula>$H$27</formula>
    </cfRule>
  </conditionalFormatting>
  <conditionalFormatting sqref="M27:Q29">
    <cfRule type="cellIs" dxfId="70" priority="64" operator="lessThan">
      <formula>$O$27</formula>
    </cfRule>
    <cfRule type="cellIs" dxfId="69" priority="65" operator="greaterThan">
      <formula>$O$27</formula>
    </cfRule>
  </conditionalFormatting>
  <conditionalFormatting sqref="S27:W29">
    <cfRule type="cellIs" dxfId="68" priority="62" operator="lessThan">
      <formula>$V$27</formula>
    </cfRule>
    <cfRule type="cellIs" dxfId="67" priority="63" operator="greaterThan">
      <formula>$V$27</formula>
    </cfRule>
  </conditionalFormatting>
  <conditionalFormatting sqref="Y27:AC29">
    <cfRule type="cellIs" dxfId="66" priority="60" operator="lessThan">
      <formula>$AC$27</formula>
    </cfRule>
    <cfRule type="cellIs" dxfId="65" priority="61" operator="greaterThan">
      <formula>$AC$27</formula>
    </cfRule>
  </conditionalFormatting>
  <conditionalFormatting sqref="AE27:AI29">
    <cfRule type="cellIs" dxfId="64" priority="58" operator="lessThan">
      <formula>$AE$27</formula>
    </cfRule>
    <cfRule type="cellIs" dxfId="63" priority="59" operator="greaterThan">
      <formula>$AE$27</formula>
    </cfRule>
  </conditionalFormatting>
  <conditionalFormatting sqref="AK27:AO29">
    <cfRule type="cellIs" dxfId="62" priority="56" operator="lessThan">
      <formula>$AL$27</formula>
    </cfRule>
    <cfRule type="cellIs" dxfId="61" priority="57" operator="greaterThan">
      <formula>$AL$27</formula>
    </cfRule>
  </conditionalFormatting>
  <conditionalFormatting sqref="AQ27:AU29">
    <cfRule type="cellIs" dxfId="60" priority="54" operator="lessThan">
      <formula>$AS$27</formula>
    </cfRule>
    <cfRule type="cellIs" dxfId="59" priority="55" operator="greaterThan">
      <formula>$AS$27</formula>
    </cfRule>
  </conditionalFormatting>
  <conditionalFormatting sqref="AW27:BA29">
    <cfRule type="cellIs" dxfId="58" priority="52" operator="lessThan">
      <formula>$AZ$27</formula>
    </cfRule>
    <cfRule type="cellIs" dxfId="57" priority="53" operator="greaterThan">
      <formula>$AZ$27</formula>
    </cfRule>
  </conditionalFormatting>
  <conditionalFormatting sqref="BC27:BG29">
    <cfRule type="cellIs" dxfId="56" priority="50" operator="lessThan">
      <formula>$BG$27</formula>
    </cfRule>
    <cfRule type="cellIs" dxfId="55" priority="51" operator="greaterThan">
      <formula>$BG$27</formula>
    </cfRule>
  </conditionalFormatting>
  <conditionalFormatting sqref="A31:E33">
    <cfRule type="cellIs" dxfId="54" priority="48" operator="lessThan">
      <formula>$A$32</formula>
    </cfRule>
    <cfRule type="cellIs" dxfId="53" priority="49" operator="greaterThan">
      <formula>$A$32</formula>
    </cfRule>
  </conditionalFormatting>
  <conditionalFormatting sqref="G31:K33">
    <cfRule type="cellIs" dxfId="52" priority="46" operator="lessThan">
      <formula>$H$32</formula>
    </cfRule>
    <cfRule type="cellIs" dxfId="51" priority="47" operator="greaterThan">
      <formula>$H$32</formula>
    </cfRule>
  </conditionalFormatting>
  <conditionalFormatting sqref="M31:Q33">
    <cfRule type="cellIs" dxfId="50" priority="44" operator="lessThan">
      <formula>$O$32</formula>
    </cfRule>
    <cfRule type="cellIs" dxfId="49" priority="45" operator="greaterThan">
      <formula>$O$32</formula>
    </cfRule>
  </conditionalFormatting>
  <conditionalFormatting sqref="S31:W33">
    <cfRule type="cellIs" dxfId="48" priority="42" operator="lessThan">
      <formula>$V$32</formula>
    </cfRule>
    <cfRule type="cellIs" dxfId="47" priority="43" operator="greaterThan">
      <formula>$V$32</formula>
    </cfRule>
  </conditionalFormatting>
  <conditionalFormatting sqref="Y31:AC33">
    <cfRule type="cellIs" dxfId="46" priority="40" operator="lessThan">
      <formula>$AC$32</formula>
    </cfRule>
    <cfRule type="cellIs" dxfId="45" priority="41" operator="greaterThan">
      <formula>$AC$32</formula>
    </cfRule>
  </conditionalFormatting>
  <conditionalFormatting sqref="AE31:AI33">
    <cfRule type="cellIs" dxfId="44" priority="38" operator="lessThan">
      <formula>$AE$32</formula>
    </cfRule>
    <cfRule type="cellIs" dxfId="43" priority="39" operator="greaterThan">
      <formula>$AE$32</formula>
    </cfRule>
  </conditionalFormatting>
  <conditionalFormatting sqref="AK31:AO33">
    <cfRule type="cellIs" dxfId="42" priority="36" operator="lessThan">
      <formula>$AL$32</formula>
    </cfRule>
    <cfRule type="cellIs" dxfId="41" priority="37" operator="greaterThan">
      <formula>$AL$32</formula>
    </cfRule>
  </conditionalFormatting>
  <conditionalFormatting sqref="AQ31:AU33">
    <cfRule type="cellIs" dxfId="40" priority="34" operator="lessThan">
      <formula>$AS$32</formula>
    </cfRule>
    <cfRule type="cellIs" dxfId="39" priority="35" operator="greaterThan">
      <formula>$AS$32</formula>
    </cfRule>
  </conditionalFormatting>
  <conditionalFormatting sqref="AW31:BA33">
    <cfRule type="cellIs" dxfId="38" priority="32" operator="lessThan">
      <formula>$AZ$32</formula>
    </cfRule>
    <cfRule type="cellIs" dxfId="37" priority="33" operator="greaterThan">
      <formula>$AZ$32</formula>
    </cfRule>
  </conditionalFormatting>
  <conditionalFormatting sqref="BC31:BG33">
    <cfRule type="cellIs" dxfId="36" priority="30" operator="lessThan">
      <formula>$BG$32</formula>
    </cfRule>
    <cfRule type="cellIs" dxfId="35" priority="31" operator="greaterThan">
      <formula>$BG$32</formula>
    </cfRule>
  </conditionalFormatting>
  <conditionalFormatting sqref="A35:E37">
    <cfRule type="cellIs" dxfId="34" priority="28" operator="lessThan">
      <formula>$A$37</formula>
    </cfRule>
    <cfRule type="cellIs" dxfId="33" priority="29" operator="greaterThan">
      <formula>$A$37</formula>
    </cfRule>
  </conditionalFormatting>
  <conditionalFormatting sqref="G35:K37">
    <cfRule type="cellIs" dxfId="32" priority="26" operator="lessThan">
      <formula>$H$37</formula>
    </cfRule>
    <cfRule type="cellIs" dxfId="31" priority="27" operator="greaterThan">
      <formula>$H$37</formula>
    </cfRule>
  </conditionalFormatting>
  <conditionalFormatting sqref="M35:Q37">
    <cfRule type="cellIs" dxfId="30" priority="24" operator="lessThan">
      <formula>$O$37</formula>
    </cfRule>
    <cfRule type="cellIs" dxfId="29" priority="25" operator="greaterThan">
      <formula>$O$37</formula>
    </cfRule>
  </conditionalFormatting>
  <conditionalFormatting sqref="S35:W37">
    <cfRule type="cellIs" dxfId="28" priority="22" operator="lessThan">
      <formula>$V$37</formula>
    </cfRule>
    <cfRule type="cellIs" dxfId="27" priority="23" operator="greaterThan">
      <formula>$V$37</formula>
    </cfRule>
  </conditionalFormatting>
  <conditionalFormatting sqref="Y35:AC37">
    <cfRule type="cellIs" dxfId="26" priority="20" operator="lessThan">
      <formula>$AC$37</formula>
    </cfRule>
    <cfRule type="cellIs" dxfId="25" priority="21" operator="greaterThan">
      <formula>$AC$37</formula>
    </cfRule>
  </conditionalFormatting>
  <conditionalFormatting sqref="AE35:AI37">
    <cfRule type="cellIs" dxfId="24" priority="18" operator="lessThan">
      <formula>$AE$37</formula>
    </cfRule>
    <cfRule type="cellIs" dxfId="23" priority="19" operator="greaterThan">
      <formula>$AE$37</formula>
    </cfRule>
  </conditionalFormatting>
  <conditionalFormatting sqref="AK35:AO37">
    <cfRule type="cellIs" dxfId="22" priority="16" operator="lessThan">
      <formula>$AL$37</formula>
    </cfRule>
    <cfRule type="cellIs" dxfId="21" priority="17" operator="greaterThan">
      <formula>$AL$37</formula>
    </cfRule>
  </conditionalFormatting>
  <conditionalFormatting sqref="AQ35:AU37">
    <cfRule type="cellIs" dxfId="20" priority="13" operator="lessThan">
      <formula>$AS$37</formula>
    </cfRule>
    <cfRule type="cellIs" dxfId="19" priority="15" operator="greaterThan">
      <formula>$AS$37</formula>
    </cfRule>
  </conditionalFormatting>
  <conditionalFormatting sqref="AW35:BA37">
    <cfRule type="cellIs" dxfId="18" priority="11" operator="lessThan">
      <formula>$AZ$37</formula>
    </cfRule>
    <cfRule type="cellIs" dxfId="17" priority="12" operator="greaterThan">
      <formula>$AZ$37</formula>
    </cfRule>
  </conditionalFormatting>
  <conditionalFormatting sqref="BC35:BG37">
    <cfRule type="cellIs" dxfId="16" priority="9" operator="lessThan">
      <formula>$BG$37</formula>
    </cfRule>
    <cfRule type="cellIs" dxfId="15" priority="10" operator="greaterThan">
      <formula>$BG$37</formula>
    </cfRule>
  </conditionalFormatting>
  <conditionalFormatting sqref="B9:AE9 B17:AE17 A41:BG71">
    <cfRule type="expression" priority="70" stopIfTrue="1">
      <formula>OR(ISNUMBER(A9)=FALSE,A9&lt;=0)</formula>
    </cfRule>
    <cfRule type="cellIs" dxfId="14" priority="71" stopIfTrue="1" operator="lessThan">
      <formula>4</formula>
    </cfRule>
    <cfRule type="cellIs" dxfId="13" priority="72" stopIfTrue="1" operator="lessThan">
      <formula>5</formula>
    </cfRule>
    <cfRule type="cellIs" dxfId="12" priority="73" stopIfTrue="1" operator="lessThan">
      <formula>6</formula>
    </cfRule>
    <cfRule type="cellIs" dxfId="11" priority="74" stopIfTrue="1" operator="greaterThanOrEqual">
      <formula>10</formula>
    </cfRule>
    <cfRule type="cellIs" dxfId="10" priority="75" stopIfTrue="1" operator="greaterThanOrEqual">
      <formula>9</formula>
    </cfRule>
    <cfRule type="cellIs" dxfId="9" priority="76" stopIfTrue="1" operator="greaterThanOrEqual">
      <formula>8</formula>
    </cfRule>
    <cfRule type="cellIs" dxfId="8" priority="77" stopIfTrue="1" operator="greaterThanOrEqual">
      <formula>7</formula>
    </cfRule>
  </conditionalFormatting>
  <conditionalFormatting sqref="B11:AE12">
    <cfRule type="expression" dxfId="7" priority="5">
      <formula>AND(B$14=0,B11&lt;&gt;0)</formula>
    </cfRule>
    <cfRule type="expression" dxfId="6" priority="6">
      <formula>AND(B$14=1,B11&lt;&gt;0)</formula>
    </cfRule>
    <cfRule type="expression" dxfId="5" priority="7">
      <formula>AND(B$14=2,B11&lt;&gt;0)</formula>
    </cfRule>
    <cfRule type="expression" dxfId="4" priority="8">
      <formula>AND(B$14=3,B11&lt;&gt;0)</formula>
    </cfRule>
  </conditionalFormatting>
  <conditionalFormatting sqref="B19:AE20">
    <cfRule type="expression" dxfId="3" priority="1">
      <formula>AND(B$22=0,B19&lt;&gt;0)</formula>
    </cfRule>
    <cfRule type="expression" dxfId="2" priority="2">
      <formula>AND(B$22=1,B19&lt;&gt;0)</formula>
    </cfRule>
    <cfRule type="expression" dxfId="1" priority="3">
      <formula>AND(B$22=2,B19&lt;&gt;0)</formula>
    </cfRule>
    <cfRule type="expression" dxfId="0" priority="4">
      <formula>AND(B$22=3,B19&lt;&gt;0)</formula>
    </cfRule>
  </conditionalFormatting>
  <pageMargins left="0.3543307086614173" right="0.3543307086614173" top="0.94488188976377951" bottom="0.3543307086614173" header="0.31496062992125984" footer="0.31496062992125984"/>
  <pageSetup paperSize="9" scale="2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入力</vt:lpstr>
      <vt:lpstr>順位一覧</vt:lpstr>
      <vt:lpstr>変換データ</vt:lpstr>
      <vt:lpstr>結果まとめ</vt:lpstr>
      <vt:lpstr>ColKana</vt:lpstr>
      <vt:lpstr>ColName</vt:lpstr>
      <vt:lpstr>CountBlank</vt:lpstr>
      <vt:lpstr>InputArea</vt:lpstr>
      <vt:lpstr>順位一覧!Print_Area</vt:lpstr>
      <vt:lpstr>入力!Print_Area</vt:lpstr>
      <vt:lpstr>変換データ!Print_Area</vt:lpstr>
      <vt:lpstr>順位一覧!Print_Titles</vt:lpstr>
      <vt:lpstr>RowKana</vt:lpstr>
      <vt:lpstr>RowName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電通</dc:creator>
  <cp:lastModifiedBy>Satoru NAKAYA</cp:lastModifiedBy>
  <cp:lastPrinted>2023-11-09T10:44:17Z</cp:lastPrinted>
  <dcterms:created xsi:type="dcterms:W3CDTF">2022-08-18T13:37:35Z</dcterms:created>
  <dcterms:modified xsi:type="dcterms:W3CDTF">2023-11-09T10:47:18Z</dcterms:modified>
</cp:coreProperties>
</file>